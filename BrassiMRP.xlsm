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35240D1D-A52E-47AD-BE67-52886D6315BC}" xr6:coauthVersionLast="47" xr6:coauthVersionMax="47" xr10:uidLastSave="{00000000-0000-0000-0000-000000000000}"/>
  <bookViews>
    <workbookView xWindow="-120" yWindow="-120" windowWidth="29040" windowHeight="15720" tabRatio="827" xr2:uid="{00000000-000D-0000-FFFF-FFFF00000000}"/>
  </bookViews>
  <sheets>
    <sheet name="planner" sheetId="1" r:id="rId1"/>
    <sheet name="product-view" sheetId="2" r:id="rId2"/>
    <sheet name="stock_on_hand" sheetId="3" r:id="rId3"/>
    <sheet name="stock_on_hand_pro" sheetId="32" r:id="rId4"/>
    <sheet name="orders" sheetId="17" r:id="rId5"/>
    <sheet name="material_list" sheetId="19" r:id="rId6"/>
    <sheet name="commodities" sheetId="26" r:id="rId7"/>
    <sheet name="units" sheetId="28" r:id="rId8"/>
    <sheet name="locations" sheetId="30" r:id="rId9"/>
    <sheet name="mynotes" sheetId="15" r:id="rId10"/>
  </sheets>
  <functionGroups builtInGroupCount="19"/>
  <definedNames>
    <definedName name="_xlnm._FilterDatabase" localSheetId="2" hidden="1">stock_on_hand!#REF!</definedName>
    <definedName name="ExternalData_1" localSheetId="6" hidden="1">'commodities'!$A$1:$D$31</definedName>
    <definedName name="ExternalData_1" localSheetId="8" hidden="1">locations!$A$1:$B$5</definedName>
    <definedName name="ExternalData_1" localSheetId="5" hidden="1">material_list!$A$1:$E$333</definedName>
    <definedName name="ExternalData_1" localSheetId="2" hidden="1">stock_on_hand!$A$1:$E$664</definedName>
    <definedName name="ExternalData_1" localSheetId="3" hidden="1">stock_on_hand_pro!$A$1:$D$157</definedName>
    <definedName name="ExternalData_1" localSheetId="7" hidden="1">units!$A$1:$B$4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58" i="1" l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AY58" i="1"/>
  <c r="AZ58" i="1"/>
  <c r="BA58" i="1"/>
  <c r="BB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N52" i="1"/>
  <c r="AZ52" i="1"/>
  <c r="AY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O52" i="1"/>
  <c r="BP52" i="1"/>
  <c r="BQ52" i="1"/>
  <c r="BR52" i="1"/>
  <c r="F168" i="1"/>
  <c r="F165" i="1"/>
  <c r="F162" i="1"/>
  <c r="F159" i="1"/>
  <c r="F156" i="1"/>
  <c r="F153" i="1"/>
  <c r="F150" i="1"/>
  <c r="F147" i="1"/>
  <c r="F144" i="1"/>
  <c r="F141" i="1"/>
  <c r="F138" i="1"/>
  <c r="F135" i="1"/>
  <c r="F132" i="1"/>
  <c r="F129" i="1"/>
  <c r="F126" i="1"/>
  <c r="F123" i="1"/>
  <c r="F120" i="1"/>
  <c r="F117" i="1"/>
  <c r="F114" i="1"/>
  <c r="F111" i="1"/>
  <c r="AY2" i="1"/>
  <c r="AY165" i="1" l="1"/>
  <c r="AZ165" i="1" s="1"/>
  <c r="BA165" i="1" s="1"/>
  <c r="BB165" i="1" s="1"/>
  <c r="BC165" i="1" s="1"/>
  <c r="BD165" i="1" s="1"/>
  <c r="BE165" i="1" s="1"/>
  <c r="BF165" i="1" s="1"/>
  <c r="BG165" i="1" s="1"/>
  <c r="BH165" i="1" s="1"/>
  <c r="BI165" i="1" s="1"/>
  <c r="BJ165" i="1" s="1"/>
  <c r="BK165" i="1" s="1"/>
  <c r="BL165" i="1" s="1"/>
  <c r="BM165" i="1" s="1"/>
  <c r="BN165" i="1" s="1"/>
  <c r="BO165" i="1" s="1"/>
  <c r="BP165" i="1" s="1"/>
  <c r="BQ165" i="1" s="1"/>
  <c r="BR165" i="1" s="1"/>
  <c r="AY159" i="1"/>
  <c r="AZ159" i="1" s="1"/>
  <c r="BA159" i="1" s="1"/>
  <c r="BB159" i="1" s="1"/>
  <c r="BC159" i="1" s="1"/>
  <c r="BD159" i="1" s="1"/>
  <c r="BE159" i="1" s="1"/>
  <c r="BF159" i="1" s="1"/>
  <c r="BG159" i="1" s="1"/>
  <c r="BH159" i="1" s="1"/>
  <c r="BI159" i="1" s="1"/>
  <c r="BJ159" i="1" s="1"/>
  <c r="BK159" i="1" s="1"/>
  <c r="BL159" i="1" s="1"/>
  <c r="BM159" i="1" s="1"/>
  <c r="BN159" i="1" s="1"/>
  <c r="BO159" i="1" s="1"/>
  <c r="BP159" i="1" s="1"/>
  <c r="BQ159" i="1" s="1"/>
  <c r="BR159" i="1" s="1"/>
  <c r="AY153" i="1"/>
  <c r="AZ153" i="1" s="1"/>
  <c r="BA153" i="1" s="1"/>
  <c r="BB153" i="1" s="1"/>
  <c r="BC153" i="1" s="1"/>
  <c r="BD153" i="1" s="1"/>
  <c r="BE153" i="1" s="1"/>
  <c r="BF153" i="1" s="1"/>
  <c r="BG153" i="1" s="1"/>
  <c r="BH153" i="1" s="1"/>
  <c r="BI153" i="1" s="1"/>
  <c r="BJ153" i="1" s="1"/>
  <c r="BK153" i="1" s="1"/>
  <c r="BL153" i="1" s="1"/>
  <c r="BM153" i="1" s="1"/>
  <c r="BN153" i="1" s="1"/>
  <c r="BO153" i="1" s="1"/>
  <c r="BP153" i="1" s="1"/>
  <c r="BQ153" i="1" s="1"/>
  <c r="BR153" i="1" s="1"/>
  <c r="AY147" i="1"/>
  <c r="AZ147" i="1" s="1"/>
  <c r="BA147" i="1" s="1"/>
  <c r="BB147" i="1" s="1"/>
  <c r="BC147" i="1" s="1"/>
  <c r="BD147" i="1" s="1"/>
  <c r="BE147" i="1" s="1"/>
  <c r="BF147" i="1" s="1"/>
  <c r="BG147" i="1" s="1"/>
  <c r="BH147" i="1" s="1"/>
  <c r="BI147" i="1" s="1"/>
  <c r="BJ147" i="1" s="1"/>
  <c r="BK147" i="1" s="1"/>
  <c r="BL147" i="1" s="1"/>
  <c r="BM147" i="1" s="1"/>
  <c r="BN147" i="1" s="1"/>
  <c r="BO147" i="1" s="1"/>
  <c r="BP147" i="1" s="1"/>
  <c r="BQ147" i="1" s="1"/>
  <c r="BR147" i="1" s="1"/>
  <c r="AY141" i="1"/>
  <c r="AZ141" i="1" s="1"/>
  <c r="BA141" i="1" s="1"/>
  <c r="BB141" i="1" s="1"/>
  <c r="BC141" i="1" s="1"/>
  <c r="BD141" i="1" s="1"/>
  <c r="BE141" i="1" s="1"/>
  <c r="BF141" i="1" s="1"/>
  <c r="BG141" i="1" s="1"/>
  <c r="BH141" i="1" s="1"/>
  <c r="BI141" i="1" s="1"/>
  <c r="BJ141" i="1" s="1"/>
  <c r="BK141" i="1" s="1"/>
  <c r="BL141" i="1" s="1"/>
  <c r="BM141" i="1" s="1"/>
  <c r="BN141" i="1" s="1"/>
  <c r="BO141" i="1" s="1"/>
  <c r="BP141" i="1" s="1"/>
  <c r="BQ141" i="1" s="1"/>
  <c r="BR141" i="1" s="1"/>
  <c r="AY135" i="1"/>
  <c r="AZ135" i="1" s="1"/>
  <c r="BA135" i="1" s="1"/>
  <c r="BB135" i="1" s="1"/>
  <c r="BC135" i="1" s="1"/>
  <c r="BD135" i="1" s="1"/>
  <c r="BE135" i="1" s="1"/>
  <c r="BF135" i="1" s="1"/>
  <c r="BG135" i="1" s="1"/>
  <c r="BH135" i="1" s="1"/>
  <c r="BI135" i="1" s="1"/>
  <c r="BJ135" i="1" s="1"/>
  <c r="BK135" i="1" s="1"/>
  <c r="BL135" i="1" s="1"/>
  <c r="BM135" i="1" s="1"/>
  <c r="BN135" i="1" s="1"/>
  <c r="BO135" i="1" s="1"/>
  <c r="BP135" i="1" s="1"/>
  <c r="BQ135" i="1" s="1"/>
  <c r="BR135" i="1" s="1"/>
  <c r="AY129" i="1"/>
  <c r="AZ129" i="1" s="1"/>
  <c r="BA129" i="1" s="1"/>
  <c r="BB129" i="1" s="1"/>
  <c r="BC129" i="1" s="1"/>
  <c r="BD129" i="1" s="1"/>
  <c r="BE129" i="1" s="1"/>
  <c r="BF129" i="1" s="1"/>
  <c r="BG129" i="1" s="1"/>
  <c r="BH129" i="1" s="1"/>
  <c r="BI129" i="1" s="1"/>
  <c r="BJ129" i="1" s="1"/>
  <c r="BK129" i="1" s="1"/>
  <c r="BL129" i="1" s="1"/>
  <c r="BM129" i="1" s="1"/>
  <c r="BN129" i="1" s="1"/>
  <c r="BO129" i="1" s="1"/>
  <c r="BP129" i="1" s="1"/>
  <c r="BQ129" i="1" s="1"/>
  <c r="BR129" i="1" s="1"/>
  <c r="AY123" i="1"/>
  <c r="AZ123" i="1" s="1"/>
  <c r="BA123" i="1" s="1"/>
  <c r="BB123" i="1" s="1"/>
  <c r="BC123" i="1" s="1"/>
  <c r="BD123" i="1" s="1"/>
  <c r="BE123" i="1" s="1"/>
  <c r="BF123" i="1" s="1"/>
  <c r="BG123" i="1" s="1"/>
  <c r="BH123" i="1" s="1"/>
  <c r="BI123" i="1" s="1"/>
  <c r="BJ123" i="1" s="1"/>
  <c r="BK123" i="1" s="1"/>
  <c r="BL123" i="1" s="1"/>
  <c r="BM123" i="1" s="1"/>
  <c r="BN123" i="1" s="1"/>
  <c r="BO123" i="1" s="1"/>
  <c r="BP123" i="1" s="1"/>
  <c r="BQ123" i="1" s="1"/>
  <c r="BR123" i="1" s="1"/>
  <c r="AY117" i="1"/>
  <c r="AZ117" i="1" s="1"/>
  <c r="BA117" i="1" s="1"/>
  <c r="BB117" i="1" s="1"/>
  <c r="BC117" i="1" s="1"/>
  <c r="BD117" i="1" s="1"/>
  <c r="BE117" i="1" s="1"/>
  <c r="BF117" i="1" s="1"/>
  <c r="BG117" i="1" s="1"/>
  <c r="BH117" i="1" s="1"/>
  <c r="BI117" i="1" s="1"/>
  <c r="BJ117" i="1" s="1"/>
  <c r="BK117" i="1" s="1"/>
  <c r="BL117" i="1" s="1"/>
  <c r="BM117" i="1" s="1"/>
  <c r="BN117" i="1" s="1"/>
  <c r="BO117" i="1" s="1"/>
  <c r="BP117" i="1" s="1"/>
  <c r="BQ117" i="1" s="1"/>
  <c r="BR117" i="1" s="1"/>
  <c r="AY111" i="1"/>
  <c r="AZ111" i="1" s="1"/>
  <c r="BA111" i="1" s="1"/>
  <c r="BB111" i="1" s="1"/>
  <c r="BC111" i="1" s="1"/>
  <c r="BD111" i="1" s="1"/>
  <c r="BE111" i="1" s="1"/>
  <c r="BF111" i="1" s="1"/>
  <c r="BG111" i="1" s="1"/>
  <c r="BH111" i="1" s="1"/>
  <c r="BI111" i="1" s="1"/>
  <c r="BJ111" i="1" s="1"/>
  <c r="BK111" i="1" s="1"/>
  <c r="BL111" i="1" s="1"/>
  <c r="BM111" i="1" s="1"/>
  <c r="BN111" i="1" s="1"/>
  <c r="BO111" i="1" s="1"/>
  <c r="BP111" i="1" s="1"/>
  <c r="BQ111" i="1" s="1"/>
  <c r="BR111" i="1" s="1"/>
  <c r="AY168" i="1"/>
  <c r="AZ168" i="1" s="1"/>
  <c r="BA168" i="1" s="1"/>
  <c r="BB168" i="1" s="1"/>
  <c r="BC168" i="1" s="1"/>
  <c r="BD168" i="1" s="1"/>
  <c r="BE168" i="1" s="1"/>
  <c r="BF168" i="1" s="1"/>
  <c r="BG168" i="1" s="1"/>
  <c r="BH168" i="1" s="1"/>
  <c r="BI168" i="1" s="1"/>
  <c r="BJ168" i="1" s="1"/>
  <c r="BK168" i="1" s="1"/>
  <c r="BL168" i="1" s="1"/>
  <c r="BM168" i="1" s="1"/>
  <c r="BN168" i="1" s="1"/>
  <c r="BO168" i="1" s="1"/>
  <c r="BP168" i="1" s="1"/>
  <c r="BQ168" i="1" s="1"/>
  <c r="BR168" i="1" s="1"/>
  <c r="AY162" i="1"/>
  <c r="AZ162" i="1" s="1"/>
  <c r="BA162" i="1" s="1"/>
  <c r="BB162" i="1" s="1"/>
  <c r="BC162" i="1" s="1"/>
  <c r="BD162" i="1" s="1"/>
  <c r="BE162" i="1" s="1"/>
  <c r="BF162" i="1" s="1"/>
  <c r="BG162" i="1" s="1"/>
  <c r="BH162" i="1" s="1"/>
  <c r="BI162" i="1" s="1"/>
  <c r="BJ162" i="1" s="1"/>
  <c r="BK162" i="1" s="1"/>
  <c r="BL162" i="1" s="1"/>
  <c r="BM162" i="1" s="1"/>
  <c r="BN162" i="1" s="1"/>
  <c r="BO162" i="1" s="1"/>
  <c r="BP162" i="1" s="1"/>
  <c r="BQ162" i="1" s="1"/>
  <c r="BR162" i="1" s="1"/>
  <c r="AY156" i="1"/>
  <c r="AZ156" i="1" s="1"/>
  <c r="BA156" i="1" s="1"/>
  <c r="BB156" i="1" s="1"/>
  <c r="BC156" i="1" s="1"/>
  <c r="BD156" i="1" s="1"/>
  <c r="BE156" i="1" s="1"/>
  <c r="BF156" i="1" s="1"/>
  <c r="BG156" i="1" s="1"/>
  <c r="BH156" i="1" s="1"/>
  <c r="BI156" i="1" s="1"/>
  <c r="BJ156" i="1" s="1"/>
  <c r="BK156" i="1" s="1"/>
  <c r="BL156" i="1" s="1"/>
  <c r="BM156" i="1" s="1"/>
  <c r="BN156" i="1" s="1"/>
  <c r="BO156" i="1" s="1"/>
  <c r="BP156" i="1" s="1"/>
  <c r="BQ156" i="1" s="1"/>
  <c r="BR156" i="1" s="1"/>
  <c r="AY150" i="1"/>
  <c r="AZ150" i="1" s="1"/>
  <c r="BA150" i="1" s="1"/>
  <c r="BB150" i="1" s="1"/>
  <c r="BC150" i="1" s="1"/>
  <c r="BD150" i="1" s="1"/>
  <c r="BE150" i="1" s="1"/>
  <c r="BF150" i="1" s="1"/>
  <c r="BG150" i="1" s="1"/>
  <c r="BH150" i="1" s="1"/>
  <c r="BI150" i="1" s="1"/>
  <c r="BJ150" i="1" s="1"/>
  <c r="BK150" i="1" s="1"/>
  <c r="BL150" i="1" s="1"/>
  <c r="BM150" i="1" s="1"/>
  <c r="BN150" i="1" s="1"/>
  <c r="BO150" i="1" s="1"/>
  <c r="BP150" i="1" s="1"/>
  <c r="BQ150" i="1" s="1"/>
  <c r="BR150" i="1" s="1"/>
  <c r="AY144" i="1"/>
  <c r="AZ144" i="1" s="1"/>
  <c r="BA144" i="1" s="1"/>
  <c r="BB144" i="1" s="1"/>
  <c r="BC144" i="1" s="1"/>
  <c r="BD144" i="1" s="1"/>
  <c r="BE144" i="1" s="1"/>
  <c r="BF144" i="1" s="1"/>
  <c r="BG144" i="1" s="1"/>
  <c r="BH144" i="1" s="1"/>
  <c r="BI144" i="1" s="1"/>
  <c r="BJ144" i="1" s="1"/>
  <c r="BK144" i="1" s="1"/>
  <c r="BL144" i="1" s="1"/>
  <c r="BM144" i="1" s="1"/>
  <c r="BN144" i="1" s="1"/>
  <c r="BO144" i="1" s="1"/>
  <c r="BP144" i="1" s="1"/>
  <c r="BQ144" i="1" s="1"/>
  <c r="BR144" i="1" s="1"/>
  <c r="AY138" i="1"/>
  <c r="AZ138" i="1" s="1"/>
  <c r="BA138" i="1" s="1"/>
  <c r="BB138" i="1" s="1"/>
  <c r="BC138" i="1" s="1"/>
  <c r="BD138" i="1" s="1"/>
  <c r="BE138" i="1" s="1"/>
  <c r="BF138" i="1" s="1"/>
  <c r="BG138" i="1" s="1"/>
  <c r="BH138" i="1" s="1"/>
  <c r="BI138" i="1" s="1"/>
  <c r="BJ138" i="1" s="1"/>
  <c r="BK138" i="1" s="1"/>
  <c r="BL138" i="1" s="1"/>
  <c r="BM138" i="1" s="1"/>
  <c r="BN138" i="1" s="1"/>
  <c r="BO138" i="1" s="1"/>
  <c r="BP138" i="1" s="1"/>
  <c r="BQ138" i="1" s="1"/>
  <c r="BR138" i="1" s="1"/>
  <c r="AY132" i="1"/>
  <c r="AZ132" i="1" s="1"/>
  <c r="BA132" i="1" s="1"/>
  <c r="BB132" i="1" s="1"/>
  <c r="BC132" i="1" s="1"/>
  <c r="BD132" i="1" s="1"/>
  <c r="BE132" i="1" s="1"/>
  <c r="BF132" i="1" s="1"/>
  <c r="BG132" i="1" s="1"/>
  <c r="BH132" i="1" s="1"/>
  <c r="BI132" i="1" s="1"/>
  <c r="BJ132" i="1" s="1"/>
  <c r="BK132" i="1" s="1"/>
  <c r="BL132" i="1" s="1"/>
  <c r="BM132" i="1" s="1"/>
  <c r="BN132" i="1" s="1"/>
  <c r="BO132" i="1" s="1"/>
  <c r="BP132" i="1" s="1"/>
  <c r="BQ132" i="1" s="1"/>
  <c r="BR132" i="1" s="1"/>
  <c r="AY126" i="1"/>
  <c r="AZ126" i="1" s="1"/>
  <c r="BA126" i="1" s="1"/>
  <c r="BB126" i="1" s="1"/>
  <c r="BC126" i="1" s="1"/>
  <c r="BD126" i="1" s="1"/>
  <c r="BE126" i="1" s="1"/>
  <c r="BF126" i="1" s="1"/>
  <c r="BG126" i="1" s="1"/>
  <c r="BH126" i="1" s="1"/>
  <c r="BI126" i="1" s="1"/>
  <c r="BJ126" i="1" s="1"/>
  <c r="BK126" i="1" s="1"/>
  <c r="BL126" i="1" s="1"/>
  <c r="BM126" i="1" s="1"/>
  <c r="BN126" i="1" s="1"/>
  <c r="BO126" i="1" s="1"/>
  <c r="BP126" i="1" s="1"/>
  <c r="BQ126" i="1" s="1"/>
  <c r="BR126" i="1" s="1"/>
  <c r="AY120" i="1"/>
  <c r="AZ120" i="1" s="1"/>
  <c r="BA120" i="1" s="1"/>
  <c r="BB120" i="1" s="1"/>
  <c r="BC120" i="1" s="1"/>
  <c r="BD120" i="1" s="1"/>
  <c r="BE120" i="1" s="1"/>
  <c r="BF120" i="1" s="1"/>
  <c r="BG120" i="1" s="1"/>
  <c r="BH120" i="1" s="1"/>
  <c r="BI120" i="1" s="1"/>
  <c r="BJ120" i="1" s="1"/>
  <c r="BK120" i="1" s="1"/>
  <c r="BL120" i="1" s="1"/>
  <c r="BM120" i="1" s="1"/>
  <c r="BN120" i="1" s="1"/>
  <c r="BO120" i="1" s="1"/>
  <c r="BP120" i="1" s="1"/>
  <c r="BQ120" i="1" s="1"/>
  <c r="BR120" i="1" s="1"/>
  <c r="AY114" i="1"/>
  <c r="AZ114" i="1" s="1"/>
  <c r="BA114" i="1" s="1"/>
  <c r="BB114" i="1" s="1"/>
  <c r="BC114" i="1" s="1"/>
  <c r="BD114" i="1" s="1"/>
  <c r="BE114" i="1" s="1"/>
  <c r="BF114" i="1" s="1"/>
  <c r="BG114" i="1" s="1"/>
  <c r="BH114" i="1" s="1"/>
  <c r="BI114" i="1" s="1"/>
  <c r="BJ114" i="1" s="1"/>
  <c r="BK114" i="1" s="1"/>
  <c r="BL114" i="1" s="1"/>
  <c r="BM114" i="1" s="1"/>
  <c r="BN114" i="1" s="1"/>
  <c r="BO114" i="1" s="1"/>
  <c r="BP114" i="1" s="1"/>
  <c r="BQ114" i="1" s="1"/>
  <c r="BR114" i="1" s="1"/>
  <c r="F108" i="1"/>
  <c r="AY108" i="1" s="1"/>
  <c r="AZ108" i="1" s="1"/>
  <c r="BA108" i="1" s="1"/>
  <c r="BB108" i="1" s="1"/>
  <c r="BC108" i="1" s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F105" i="1"/>
  <c r="AY105" i="1" s="1"/>
  <c r="AZ105" i="1" s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F102" i="1"/>
  <c r="AY102" i="1" s="1"/>
  <c r="AZ102" i="1" s="1"/>
  <c r="BA102" i="1" s="1"/>
  <c r="BB102" i="1" s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F99" i="1"/>
  <c r="AY99" i="1" s="1"/>
  <c r="AZ99" i="1" s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F96" i="1"/>
  <c r="AY96" i="1" s="1"/>
  <c r="AZ96" i="1" s="1"/>
  <c r="BA96" i="1" s="1"/>
  <c r="BB96" i="1" s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F90" i="1"/>
  <c r="AY90" i="1" s="1"/>
  <c r="AZ90" i="1" s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F87" i="1"/>
  <c r="AY87" i="1" s="1"/>
  <c r="AZ87" i="1" s="1"/>
  <c r="BA87" i="1" s="1"/>
  <c r="BB87" i="1" s="1"/>
  <c r="BC87" i="1" s="1"/>
  <c r="BD87" i="1" s="1"/>
  <c r="BE87" i="1" s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F84" i="1"/>
  <c r="AY84" i="1" s="1"/>
  <c r="AZ84" i="1" s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F81" i="1"/>
  <c r="AY81" i="1" s="1"/>
  <c r="AZ81" i="1" s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F78" i="1"/>
  <c r="AY78" i="1" s="1"/>
  <c r="AZ78" i="1" s="1"/>
  <c r="BA78" i="1" s="1"/>
  <c r="BB78" i="1" s="1"/>
  <c r="BC78" i="1" s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F75" i="1"/>
  <c r="AY75" i="1" s="1"/>
  <c r="AZ75" i="1" s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F72" i="1"/>
  <c r="AY72" i="1" s="1"/>
  <c r="AZ72" i="1" s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F69" i="1"/>
  <c r="AY69" i="1" s="1"/>
  <c r="AZ69" i="1" s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F66" i="1"/>
  <c r="AY66" i="1" s="1"/>
  <c r="AZ66" i="1" s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F63" i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F60" i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F57" i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F54" i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F51" i="1"/>
  <c r="F93" i="1"/>
  <c r="AY93" i="1" s="1"/>
  <c r="AZ93" i="1" s="1"/>
  <c r="BA93" i="1" s="1"/>
  <c r="BB93" i="1" s="1"/>
  <c r="BC93" i="1" s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50" i="1"/>
  <c r="AX165" i="1" l="1"/>
  <c r="AY51" i="1"/>
  <c r="AX51" i="1" s="1"/>
  <c r="AX69" i="1"/>
  <c r="AX120" i="1" l="1"/>
  <c r="AX138" i="1"/>
  <c r="AX144" i="1"/>
  <c r="AX156" i="1"/>
  <c r="AX147" i="1"/>
  <c r="AX135" i="1"/>
  <c r="AZ51" i="1"/>
  <c r="BA51" i="1" s="1"/>
  <c r="AX99" i="1"/>
  <c r="AX117" i="1" l="1"/>
  <c r="AX141" i="1"/>
  <c r="AX114" i="1"/>
  <c r="AX126" i="1"/>
  <c r="BB51" i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X111" i="1"/>
  <c r="AX123" i="1"/>
  <c r="AX129" i="1"/>
  <c r="AX93" i="1"/>
  <c r="AX57" i="1"/>
  <c r="AX90" i="1"/>
  <c r="AX60" i="1" l="1"/>
  <c r="AX84" i="1"/>
  <c r="AX81" i="1"/>
  <c r="AX162" i="1"/>
  <c r="AX108" i="1"/>
  <c r="AX150" i="1"/>
  <c r="AX105" i="1"/>
  <c r="AX168" i="1"/>
  <c r="AX132" i="1"/>
  <c r="AX87" i="1"/>
  <c r="AX72" i="1"/>
  <c r="AX159" i="1"/>
  <c r="AX153" i="1"/>
  <c r="AX66" i="1"/>
  <c r="AX75" i="1"/>
  <c r="AX102" i="1"/>
  <c r="AX63" i="1"/>
  <c r="AX54" i="1"/>
  <c r="AX78" i="1"/>
  <c r="AX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C8688F-DC56-4FBE-A5D5-4EF754F33117}" keepAlive="1" name="Query - commodities" description="Connection to the 'commodities' query in the workbook." type="5" refreshedVersion="8" background="1" saveData="1">
    <dbPr connection="Provider=Microsoft.Mashup.OleDb.1;Data Source=$Workbook$;Location=commodities;Extended Properties=&quot;&quot;" command="SELECT * FROM [commodities]"/>
  </connection>
  <connection id="2" xr16:uid="{A250B31C-2584-4749-9743-DD1C10F45817}" keepAlive="1" name="Query - locations" description="Connection to the 'locations' query in the workbook." type="5" refreshedVersion="8" background="1" saveData="1">
    <dbPr connection="Provider=Microsoft.Mashup.OleDb.1;Data Source=$Workbook$;Location=locations;Extended Properties=&quot;&quot;" command="SELECT * FROM [locations]"/>
  </connection>
  <connection id="3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4" xr16:uid="{46767980-D659-4FCE-9CB3-9CE7D99F6C1A}" keepAlive="1" name="Query - soh" description="Connection to the 'soh' query in the workbook." type="5" refreshedVersion="8" background="1" saveData="1">
    <dbPr connection="Provider=Microsoft.Mashup.OleDb.1;Data Source=$Workbook$;Location=soh;Extended Properties=&quot;&quot;" command="SELECT * FROM [soh]"/>
  </connection>
  <connection id="5" xr16:uid="{E9FFD191-22CB-4CD6-A380-2590187E4D3F}" keepAlive="1" name="Query - soh_pro" description="Connection to the 'soh_pro' query in the workbook." type="5" refreshedVersion="8" background="1" saveData="1">
    <dbPr connection="Provider=Microsoft.Mashup.OleDb.1;Data Source=$Workbook$;Location=soh_pro;Extended Properties=&quot;&quot;" command="SELECT * FROM [soh_pro]"/>
  </connection>
  <connection id="6" xr16:uid="{7A5449A4-8131-4E56-B0F2-A4E79F6419AB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</connections>
</file>

<file path=xl/sharedStrings.xml><?xml version="1.0" encoding="utf-8"?>
<sst xmlns="http://schemas.openxmlformats.org/spreadsheetml/2006/main" count="5272" uniqueCount="974">
  <si>
    <t xml:space="preserve"> </t>
  </si>
  <si>
    <t>Noir</t>
  </si>
  <si>
    <t>Min</t>
  </si>
  <si>
    <t>xx</t>
  </si>
  <si>
    <t>Status</t>
  </si>
  <si>
    <t>popruh černý PAD 20 mm</t>
  </si>
  <si>
    <t>Popruh</t>
  </si>
  <si>
    <t>m</t>
  </si>
  <si>
    <t>spotřeba</t>
  </si>
  <si>
    <t>dodávka</t>
  </si>
  <si>
    <t>Branding</t>
  </si>
  <si>
    <t>ks</t>
  </si>
  <si>
    <t>tkaná etiketa přežehlená černobílá B/IN</t>
  </si>
  <si>
    <t>YKK samice 20 mm černá</t>
  </si>
  <si>
    <t>Hardware</t>
  </si>
  <si>
    <t>YKK samec 20 mm černá</t>
  </si>
  <si>
    <t>YKK žebříček 20 mm černá</t>
  </si>
  <si>
    <t>YKK 5 zip černý reverzní</t>
  </si>
  <si>
    <t>YKK jezdec 5E černá</t>
  </si>
  <si>
    <t>černý PES s PVC zátěrem</t>
  </si>
  <si>
    <t>Molitan 2 cm</t>
  </si>
  <si>
    <t>podložení molitanu záda</t>
  </si>
  <si>
    <t>Bavlna IT impregnace černá</t>
  </si>
  <si>
    <t>SILK 0842 černá</t>
  </si>
  <si>
    <t>papírová karta příběh + označení batohu</t>
  </si>
  <si>
    <t>igelitový pytel s logem</t>
  </si>
  <si>
    <t>krabice 51x38x7</t>
  </si>
  <si>
    <t>lepící páska Braasi Industry</t>
  </si>
  <si>
    <t>štítek GLS</t>
  </si>
  <si>
    <t>štítek Zásilkovna</t>
  </si>
  <si>
    <t>formát dodá denisa</t>
  </si>
  <si>
    <t>popruh černý PAD 16 mm</t>
  </si>
  <si>
    <t>popruh černý PAD 25 mm</t>
  </si>
  <si>
    <t>popruh černý PAD 40 mm</t>
  </si>
  <si>
    <t>lemovka černá PAD 25 mm</t>
  </si>
  <si>
    <t>lemovka černá PES 25 mm</t>
  </si>
  <si>
    <t>pruženka černá 25 mm</t>
  </si>
  <si>
    <t>popruh černý bavlna 20 mm</t>
  </si>
  <si>
    <t>popruh bílý PAD 20 mm</t>
  </si>
  <si>
    <t>popruh přírodní bavlna 20 mm</t>
  </si>
  <si>
    <t>popruh přírodní bavlna 30 mm</t>
  </si>
  <si>
    <t>popruh modrý PAD 20 mm</t>
  </si>
  <si>
    <t>popruh pruhovaný č,o,z,m,ž 25 mm</t>
  </si>
  <si>
    <t>popruh pruhovaný š,f,š 30 mm</t>
  </si>
  <si>
    <t>pryžové vlákno černá PES</t>
  </si>
  <si>
    <t>gumolano červené 4mm</t>
  </si>
  <si>
    <t>oděvní vázačka bílý PES 3,5mm</t>
  </si>
  <si>
    <t>oděvní vázačka černý PES 3,5 mm</t>
  </si>
  <si>
    <t>oděvní vázačka žlutý PES 3,5 mm</t>
  </si>
  <si>
    <t>paracorde červený 3,5 mm</t>
  </si>
  <si>
    <t>paracorde černý 3,5 mm</t>
  </si>
  <si>
    <t>automobilové pásy 45mm</t>
  </si>
  <si>
    <t>suché zipy 10 mm háček</t>
  </si>
  <si>
    <t>suché zipy 10 mm plyš</t>
  </si>
  <si>
    <t>suché zipy 25 mm háček</t>
  </si>
  <si>
    <t>suché zipy 25 mm plyš</t>
  </si>
  <si>
    <t>suché zipy 30 mm háček</t>
  </si>
  <si>
    <t>suché zipy 30 mm plyš</t>
  </si>
  <si>
    <t>YKK samice 25 mm černá</t>
  </si>
  <si>
    <t>YKK samec 25 mm černá</t>
  </si>
  <si>
    <t>YKK samec 25 mm černá EVO</t>
  </si>
  <si>
    <t>YKK samice 25 mm černá EVO</t>
  </si>
  <si>
    <t>YKK samec 16 mm černá</t>
  </si>
  <si>
    <t>YKK samice 16 mm černá</t>
  </si>
  <si>
    <t>YKK žebříček 16 mm černá</t>
  </si>
  <si>
    <t>YKK žebříček 25 mm černá</t>
  </si>
  <si>
    <t>YKK žebříček 25 mm černá WICKER</t>
  </si>
  <si>
    <t>YKK očko 18 mm černá</t>
  </si>
  <si>
    <t>YKK očko 20 mm černá</t>
  </si>
  <si>
    <t>YKK očko 25 mm černá</t>
  </si>
  <si>
    <t>YKK očko 40 mm černá</t>
  </si>
  <si>
    <t>YKK zip černý pogumovaný</t>
  </si>
  <si>
    <t>YKK jezdec 5EJ černá</t>
  </si>
  <si>
    <t>YKK klíčenka černá</t>
  </si>
  <si>
    <t>YKK D-kroužek černá</t>
  </si>
  <si>
    <t>YKK karabina černá</t>
  </si>
  <si>
    <t>YKK trojzubec 50 mm černá (samec+samice)</t>
  </si>
  <si>
    <t>YKK bikeroller přezka</t>
  </si>
  <si>
    <t>YKK jezdec 5E bílý</t>
  </si>
  <si>
    <t>YKK průvleky 20 mm</t>
  </si>
  <si>
    <t>trojzubec 40 mm černá (samec+samice)</t>
  </si>
  <si>
    <t>žebříček 40 mm černá CROSSBODY</t>
  </si>
  <si>
    <t>YKK zip 28 cm žlutý</t>
  </si>
  <si>
    <t>YKK zip 28 cm bílý</t>
  </si>
  <si>
    <t>YKK zip kovový 18 cm černý</t>
  </si>
  <si>
    <t>YKK zip kovový 18 cm bílý</t>
  </si>
  <si>
    <t>YKK zip spirálový reverzní 5 CI černá</t>
  </si>
  <si>
    <t>Fidlock V-BUCKLE 20 mm jednostranně nastavitelná</t>
  </si>
  <si>
    <t>Fidlock V-BUCKLE 25 mm jednostranně nastavitelná</t>
  </si>
  <si>
    <t>Fidlock V-BUCKLE 40 LL 40 mm nastavitelná černá</t>
  </si>
  <si>
    <t>Fidlock V-BUCKLE 40 SB 40 mm fix černá</t>
  </si>
  <si>
    <t>Fidlock HOOK 40 belt LL</t>
  </si>
  <si>
    <t>Fidlock přezka 20 mm stříbrná</t>
  </si>
  <si>
    <t>Fidlock Stripe X3</t>
  </si>
  <si>
    <t>Fidlock Coinstrap 15 mm na helmu</t>
  </si>
  <si>
    <t>Fidlock SNAP špuntík samec M kulatá nízká černá</t>
  </si>
  <si>
    <t>Fidlock SNAP špuntík samice M kulatá nízká černá</t>
  </si>
  <si>
    <t>Fidlock SNAP samec S na gumičku</t>
  </si>
  <si>
    <t>Fidlock SNAP samice S kulatá nízká černá</t>
  </si>
  <si>
    <t>Fidlock SNAP male M 25 adjuster k rolce</t>
  </si>
  <si>
    <t>Fidlock HOOK 20 na gumičku černá</t>
  </si>
  <si>
    <t>WeTool kovový žebříček 20 mm černá</t>
  </si>
  <si>
    <t>WeTool kovový žebříček 25 mm černá</t>
  </si>
  <si>
    <t>WeTool kovový G-Hook 20 mm levá černá</t>
  </si>
  <si>
    <t>WeTool kovový G-Hook 20 mm pravá černá</t>
  </si>
  <si>
    <t>WeTool kovový H-Hook 25 mm černá</t>
  </si>
  <si>
    <t>WeTool kovový karabina 20 mm černá</t>
  </si>
  <si>
    <t>WeTool kovový protikus karabina 20 mm černá</t>
  </si>
  <si>
    <t>WeTool kovová karabina obdélníková 20 mm černá</t>
  </si>
  <si>
    <t>WeTool kovová karabina obdélníková 10 mm černá</t>
  </si>
  <si>
    <t>WeTool kovová karabina otočná 20 mm černá</t>
  </si>
  <si>
    <t>WeTool kovové D-očko 20 mm černá</t>
  </si>
  <si>
    <t>PJ trojzubec 25 mm bílá (samec+samice)</t>
  </si>
  <si>
    <t>PJ žebříček 25 mm bílá</t>
  </si>
  <si>
    <t>PJ žebříček 20 mm bílá</t>
  </si>
  <si>
    <t>PJ samec 20 mm bílá</t>
  </si>
  <si>
    <t>PJ samice 20 mm bílá</t>
  </si>
  <si>
    <t>PJ očko 20 mm bílá</t>
  </si>
  <si>
    <t>PJ očko 20 mm černá</t>
  </si>
  <si>
    <t>PJ očko 40 mm černá</t>
  </si>
  <si>
    <t>PJ spona 20 mm bílá</t>
  </si>
  <si>
    <t>PJ trojzubec 10 mm bílá (samec+samice)</t>
  </si>
  <si>
    <t>PJ trojzubec 10 mm černá</t>
  </si>
  <si>
    <t>PJ karabina 20 mm černá</t>
  </si>
  <si>
    <t>PJ karabina 30 mm černá</t>
  </si>
  <si>
    <t>PJ trojzubec 30 mm černá</t>
  </si>
  <si>
    <t>PJ žebříček 40 mm černá</t>
  </si>
  <si>
    <t>PJ D-kroužek černá 20 mm</t>
  </si>
  <si>
    <t>Massag kovový zebříček 20 mm měděný</t>
  </si>
  <si>
    <t>Metal clash hook</t>
  </si>
  <si>
    <t>Kortexin černý</t>
  </si>
  <si>
    <t>Kortexin žlutý</t>
  </si>
  <si>
    <t>Kortexin bílý</t>
  </si>
  <si>
    <t>Kortexin červený</t>
  </si>
  <si>
    <t>Kortexin sv.šedá</t>
  </si>
  <si>
    <t>Kortexin hnědý</t>
  </si>
  <si>
    <t>Kortexin oranžový</t>
  </si>
  <si>
    <t>žlutý PES s PVC zátěrem</t>
  </si>
  <si>
    <t>EVA pěna 10 mm</t>
  </si>
  <si>
    <t>Eva pěna 6 mm</t>
  </si>
  <si>
    <t>Eva pěna 2 mm</t>
  </si>
  <si>
    <t>3D tkanina</t>
  </si>
  <si>
    <t>Outlast</t>
  </si>
  <si>
    <t>Ubeon žlutá</t>
  </si>
  <si>
    <t>Ubeon světle šedá</t>
  </si>
  <si>
    <t>Ubeon modrá</t>
  </si>
  <si>
    <t>Ulsedan zářivě žlutá</t>
  </si>
  <si>
    <t>Ulsedan zářivě oranžová</t>
  </si>
  <si>
    <t>Ulsedan modrá</t>
  </si>
  <si>
    <t>Ulsedan černá</t>
  </si>
  <si>
    <t>Ulsedan zelená plzeňská</t>
  </si>
  <si>
    <t>Ulsedan červená</t>
  </si>
  <si>
    <t>Ulsedan fialová</t>
  </si>
  <si>
    <t>Uzaron fialová</t>
  </si>
  <si>
    <t>Uzaron červená</t>
  </si>
  <si>
    <t>Uzaron růžová</t>
  </si>
  <si>
    <t>Uzaron žlutá</t>
  </si>
  <si>
    <t>Uzaron královská modrá</t>
  </si>
  <si>
    <t>Uzaron černá</t>
  </si>
  <si>
    <t>Padákovina černá</t>
  </si>
  <si>
    <t>Padákovina khaki</t>
  </si>
  <si>
    <t>Padákovina stříbrná</t>
  </si>
  <si>
    <t>Padákovina navy</t>
  </si>
  <si>
    <t>Cordura CZ 1100 černá PU zátěr</t>
  </si>
  <si>
    <t>Cordura CZ 1100 khaki PU zátěr</t>
  </si>
  <si>
    <t>Cordura DE 1100 černá AC zátěr</t>
  </si>
  <si>
    <t>Cordura DE 1100 navy AC zátěr</t>
  </si>
  <si>
    <t>Cordura DE 1100 oranžová AC zátěr</t>
  </si>
  <si>
    <t>Cordura DE 1100 červená AC zátěr</t>
  </si>
  <si>
    <t>Cordura DE 1100 modrá AC zátěr</t>
  </si>
  <si>
    <t>Cordura DE 1100 žlutá AC zátěr</t>
  </si>
  <si>
    <t>Cordura DE 1100 ecru AC zátěr</t>
  </si>
  <si>
    <t>Cordura DE 1100 tmavě šedá AC zátěr</t>
  </si>
  <si>
    <t>Cordura DE 1100 khaki AC zátěr</t>
  </si>
  <si>
    <t>Cordura DE 1100 kávová AC zátěr</t>
  </si>
  <si>
    <t>Cordura Belgická "UKORET" 1100 černá</t>
  </si>
  <si>
    <t>Cordura DE 1100 trávově zelená AC zátěr</t>
  </si>
  <si>
    <t>Cordura DE 1100 coyote AC zátěr</t>
  </si>
  <si>
    <t>Cordura DE 1100 jarní zelená AC zátěr</t>
  </si>
  <si>
    <t>Cordura DE 1100 tan AC zátěr</t>
  </si>
  <si>
    <t>Cordura DE 1100 akvamarin AC zátěr</t>
  </si>
  <si>
    <t>Cordura DE 1100 khaki PVC zátěr</t>
  </si>
  <si>
    <t>Cordura DE 1100 šedá AC zátěr</t>
  </si>
  <si>
    <t>Cordura DE 1100 fialová AC zátěr</t>
  </si>
  <si>
    <t>Cordura DE 1100 zlatá AC zátěr</t>
  </si>
  <si>
    <t>Cordura DE 1100 tmavě zelená AC zátěr</t>
  </si>
  <si>
    <t>Cordura DE 1100 armádní zelená AC zátěr</t>
  </si>
  <si>
    <t>Cordura DE 1100 olivově zelená AC zátěr</t>
  </si>
  <si>
    <t>Cordura DE 1100 růžová AC zátěr</t>
  </si>
  <si>
    <t>Cordura CZ 500 černá PU zátěr</t>
  </si>
  <si>
    <t>Cordura DE 500 černá PU zátěr</t>
  </si>
  <si>
    <t>Cordura DE 500 navy AC zátěr</t>
  </si>
  <si>
    <t>Cordura DE 500 oranžová AC zátěr</t>
  </si>
  <si>
    <t>Cordura DE 500 žlutá AC zátěr</t>
  </si>
  <si>
    <t>Cordura DE 500 bílá AC zátěr</t>
  </si>
  <si>
    <t>Cordura DE 500 světle modrá AC zátěr</t>
  </si>
  <si>
    <t>Cordura DE 500 hnědá AC zátěr</t>
  </si>
  <si>
    <t>Cordura DE 500 zářivě žlutá AC zátěr</t>
  </si>
  <si>
    <t>Cordura DE 500 blankytně modrá AC zátěr</t>
  </si>
  <si>
    <t>Cordura DE 500 světle šedá AC zátěr</t>
  </si>
  <si>
    <t>Cordura DE 500 červená AC zátěr</t>
  </si>
  <si>
    <t>Cordura DE 500 khaki AC zátěr</t>
  </si>
  <si>
    <t>Cordura DE 500 vínová AC zátěr</t>
  </si>
  <si>
    <t>Cordura DE 500 tan AC zátěr</t>
  </si>
  <si>
    <t>Xpac VX21 black</t>
  </si>
  <si>
    <t>Xpac VX21 purple</t>
  </si>
  <si>
    <t>Xpac VX21 yellow</t>
  </si>
  <si>
    <t>Xpac VX21 white</t>
  </si>
  <si>
    <t>Xpac RX36/DWR black</t>
  </si>
  <si>
    <t>Xpac RX36/DWR white</t>
  </si>
  <si>
    <t>Xpac RX30/DWR black</t>
  </si>
  <si>
    <t>Xpac RX15/DWR white</t>
  </si>
  <si>
    <t>Patrik Antzcak tisk</t>
  </si>
  <si>
    <t>Paperjoe tisk</t>
  </si>
  <si>
    <t>Bavlna CZ černá</t>
  </si>
  <si>
    <t>Bavlna IT oranžová</t>
  </si>
  <si>
    <t>Bavlna CZ khaki</t>
  </si>
  <si>
    <t>Bavlna IT přírodní</t>
  </si>
  <si>
    <t>Bavlna CZ přírodn</t>
  </si>
  <si>
    <t>Bavlna CZ žlutá</t>
  </si>
  <si>
    <t>Bavlna CZ tmavě žlutá</t>
  </si>
  <si>
    <t>Bavlna CZ magenta</t>
  </si>
  <si>
    <t>Bavlna CZ modrá</t>
  </si>
  <si>
    <t>Bavlna England (monocle) khaki</t>
  </si>
  <si>
    <t>Bavlna England (monocle) navy</t>
  </si>
  <si>
    <t>tkaná etiketa přežehlená úzká čepice</t>
  </si>
  <si>
    <t>tkaná etiketa kosočtverec meděná Braasi Industry</t>
  </si>
  <si>
    <t>tkaná etiketa ROBE</t>
  </si>
  <si>
    <t>tkaná etiketa DIRECT</t>
  </si>
  <si>
    <t>tkaná etiketa SEYFOR</t>
  </si>
  <si>
    <t>tkaná etiketa PPF/ BRAASI</t>
  </si>
  <si>
    <t>tkaná etiketa ČESKO DIGITAL</t>
  </si>
  <si>
    <t>tkaná etiketa WE ARE PUBLICIS</t>
  </si>
  <si>
    <t>tkaná etiketa CLEVERHOOD</t>
  </si>
  <si>
    <t>tkaná etiketa CLEVERHOOD/ BRAASI</t>
  </si>
  <si>
    <t>tkaná etiketa WINQS</t>
  </si>
  <si>
    <t>tkaná etiketa GARAGE 22</t>
  </si>
  <si>
    <t>tkaná etiketa BEEFEATER</t>
  </si>
  <si>
    <t>tkaná etiketa JOHNNIE WALKER</t>
  </si>
  <si>
    <t>tkaná etiketa HORALKY</t>
  </si>
  <si>
    <t>tkaná etiketa CANVA</t>
  </si>
  <si>
    <t>SILK 0250 rezavá</t>
  </si>
  <si>
    <t>VENICE 64100 Black černá</t>
  </si>
  <si>
    <t>VENICE 64030 Ecrú písková</t>
  </si>
  <si>
    <t>VENICE 64150 Pervinca lila</t>
  </si>
  <si>
    <t>VENICE 64150 Cloud Pink nude</t>
  </si>
  <si>
    <t>VENICE 64110 Corallo lososová</t>
  </si>
  <si>
    <t>VENICE 64040 Cappuccino bílá káva</t>
  </si>
  <si>
    <t>Ultrapoly 30 černá 999</t>
  </si>
  <si>
    <t>Ultrapoly 30 modrá 549</t>
  </si>
  <si>
    <t>Ultrapoly 30 světle šedá 882</t>
  </si>
  <si>
    <t>Ultrapoly 30 žlutá 125</t>
  </si>
  <si>
    <t>Ultrapoly 30 královská modrá 556</t>
  </si>
  <si>
    <t>Ultrapoly 30 zářivě růžová 345</t>
  </si>
  <si>
    <t>Ultrapoly 30 neon oranžová 215</t>
  </si>
  <si>
    <t>Ultrapoly 30 bílá 001</t>
  </si>
  <si>
    <t>Ultrapoly 30 modrá podšívka 658</t>
  </si>
  <si>
    <t>Ultrapoly 30 fialová 458</t>
  </si>
  <si>
    <t>Ultrapoly 30 přírodní 710</t>
  </si>
  <si>
    <t>Ultrapoly 30 vínová 344</t>
  </si>
  <si>
    <t>Ultrapoly 30 červená 337</t>
  </si>
  <si>
    <t>Ultrapoly 30 tmavě šedá 888</t>
  </si>
  <si>
    <t>Ultrapoly 30 desertní 1222</t>
  </si>
  <si>
    <t>Ultrapoly 30 neon žlutá 115</t>
  </si>
  <si>
    <t>Ultrapoly 30 foxy 273</t>
  </si>
  <si>
    <t>Skripty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</si>
  <si>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</si>
  <si>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</si>
  <si>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</si>
  <si>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</si>
  <si>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</si>
  <si>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</si>
  <si>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</si>
  <si>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</si>
  <si>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</si>
  <si>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</si>
  <si>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</si>
  <si>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</si>
  <si>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</si>
  <si>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</si>
  <si>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</si>
  <si>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</si>
  <si>
    <t>unit_code</t>
  </si>
  <si>
    <t>com_code</t>
  </si>
  <si>
    <t>subcom_code</t>
  </si>
  <si>
    <t>ASI</t>
  </si>
  <si>
    <t/>
  </si>
  <si>
    <t>PES</t>
  </si>
  <si>
    <t>com_name</t>
  </si>
  <si>
    <t>subcom_name</t>
  </si>
  <si>
    <t>Bavlna</t>
  </si>
  <si>
    <t>Cordura</t>
  </si>
  <si>
    <t>Podklad</t>
  </si>
  <si>
    <t>unit_name</t>
  </si>
  <si>
    <t>kus</t>
  </si>
  <si>
    <t>metr</t>
  </si>
  <si>
    <t>Tab</t>
  </si>
  <si>
    <t>Issue material</t>
  </si>
  <si>
    <t>Receive material</t>
  </si>
  <si>
    <t>Stock difference correction</t>
  </si>
  <si>
    <t>Change location</t>
  </si>
  <si>
    <t>Issue product</t>
  </si>
  <si>
    <t>Receive product</t>
  </si>
  <si>
    <t>Orders</t>
  </si>
  <si>
    <t>Warehouse</t>
  </si>
  <si>
    <t>New items</t>
  </si>
  <si>
    <t>Transactions</t>
  </si>
  <si>
    <t>Suppliers</t>
  </si>
  <si>
    <t>commodity</t>
  </si>
  <si>
    <t>subcommodity</t>
  </si>
  <si>
    <t>material</t>
  </si>
  <si>
    <t>new location</t>
  </si>
  <si>
    <t>vytvorit material_soh tab</t>
  </si>
  <si>
    <t>issue, receive a change location script</t>
  </si>
  <si>
    <t>issue material/receive product</t>
  </si>
  <si>
    <t>change material location by product</t>
  </si>
  <si>
    <t>location_name</t>
  </si>
  <si>
    <t>done</t>
  </si>
  <si>
    <t>scripty pro fulltext search</t>
  </si>
  <si>
    <t>scripty pro issue, receive and change loc</t>
  </si>
  <si>
    <t>dokoncit changefill scripty pro comboboxy (jen pro desc a loc)</t>
  </si>
  <si>
    <t>zajistit ze se neda prepsat qty available</t>
  </si>
  <si>
    <t>kuze chybi jednotky(zatim m)</t>
  </si>
  <si>
    <t>chybi cenu materialu</t>
  </si>
  <si>
    <t>popruhy jsou opravdu v metrech?</t>
  </si>
  <si>
    <t>vstupni data</t>
  </si>
  <si>
    <t>BRND000001</t>
  </si>
  <si>
    <t>BRND</t>
  </si>
  <si>
    <t>BRND000002</t>
  </si>
  <si>
    <t>BRND000003</t>
  </si>
  <si>
    <t>BRND000004</t>
  </si>
  <si>
    <t>BRND000005</t>
  </si>
  <si>
    <t>BRND000006</t>
  </si>
  <si>
    <t>tkaná etiketa X-PAC</t>
  </si>
  <si>
    <t>BRND000007</t>
  </si>
  <si>
    <t>tkaná etiketa OUTLAST</t>
  </si>
  <si>
    <t>BRND000008</t>
  </si>
  <si>
    <t>BRND000009</t>
  </si>
  <si>
    <t>BRND000010</t>
  </si>
  <si>
    <t>BRND000011</t>
  </si>
  <si>
    <t>BRND000012</t>
  </si>
  <si>
    <t>BRND000013</t>
  </si>
  <si>
    <t>BRND000014</t>
  </si>
  <si>
    <t>BRND000015</t>
  </si>
  <si>
    <t>BRND000016</t>
  </si>
  <si>
    <t>BRND000017</t>
  </si>
  <si>
    <t>BRND000018</t>
  </si>
  <si>
    <t>BRND000019</t>
  </si>
  <si>
    <t>BRND000020</t>
  </si>
  <si>
    <t>BRND000021</t>
  </si>
  <si>
    <t>FBRK000001</t>
  </si>
  <si>
    <t>FBRK</t>
  </si>
  <si>
    <t>FBRK000002</t>
  </si>
  <si>
    <t>FBRK000003</t>
  </si>
  <si>
    <t>FBRK000004</t>
  </si>
  <si>
    <t>FBRK000005</t>
  </si>
  <si>
    <t>FBRK000006</t>
  </si>
  <si>
    <t>FBRK000007</t>
  </si>
  <si>
    <t>FBRK000008</t>
  </si>
  <si>
    <t>FBRK000009</t>
  </si>
  <si>
    <t>FBRK000010</t>
  </si>
  <si>
    <t>m2</t>
  </si>
  <si>
    <t>FNC</t>
  </si>
  <si>
    <t>FBRK000011</t>
  </si>
  <si>
    <t>FBRK000012</t>
  </si>
  <si>
    <t>LNG</t>
  </si>
  <si>
    <t>FBRK000013</t>
  </si>
  <si>
    <t>FBRK000014</t>
  </si>
  <si>
    <t>FBRK000015</t>
  </si>
  <si>
    <t>Ubeon bílá</t>
  </si>
  <si>
    <t>FBRK000016</t>
  </si>
  <si>
    <t>FBRK000017</t>
  </si>
  <si>
    <t>FBRK000018</t>
  </si>
  <si>
    <t>FBRK000019</t>
  </si>
  <si>
    <t>FBRK000020</t>
  </si>
  <si>
    <t>FBRK000021</t>
  </si>
  <si>
    <t>Ulsedan khaki</t>
  </si>
  <si>
    <t>FBRK000022</t>
  </si>
  <si>
    <t>Ulsedan olivová</t>
  </si>
  <si>
    <t>FBRK000023</t>
  </si>
  <si>
    <t>FBRK000024</t>
  </si>
  <si>
    <t>FBRK000025</t>
  </si>
  <si>
    <t>FBRK000026</t>
  </si>
  <si>
    <t>FBRK000027</t>
  </si>
  <si>
    <t>FBRK000028</t>
  </si>
  <si>
    <t>FBRK000029</t>
  </si>
  <si>
    <t>FBRK000030</t>
  </si>
  <si>
    <t>FBRK000031</t>
  </si>
  <si>
    <t>Uzaron zářivě žlutá</t>
  </si>
  <si>
    <t>FBRK000032</t>
  </si>
  <si>
    <t>Uzaron tmavě šedá</t>
  </si>
  <si>
    <t>FBRK000033</t>
  </si>
  <si>
    <t>PAR</t>
  </si>
  <si>
    <t>FBRK000034</t>
  </si>
  <si>
    <t>FBRK000035</t>
  </si>
  <si>
    <t>FBRK000036</t>
  </si>
  <si>
    <t>FBRK000037</t>
  </si>
  <si>
    <t>CRD</t>
  </si>
  <si>
    <t>FBRK000038</t>
  </si>
  <si>
    <t>FBRK000039</t>
  </si>
  <si>
    <t>Cordura CZ 500 ripstop černá</t>
  </si>
  <si>
    <t>FBRK000040</t>
  </si>
  <si>
    <t>Cordura CZ 500 ripstop khaki</t>
  </si>
  <si>
    <t>FBRK000041</t>
  </si>
  <si>
    <t>FBRK000042</t>
  </si>
  <si>
    <t>FBRK000043</t>
  </si>
  <si>
    <t>FBRK000044</t>
  </si>
  <si>
    <t>FBRK000045</t>
  </si>
  <si>
    <t>FBRK000046</t>
  </si>
  <si>
    <t>FBRK000047</t>
  </si>
  <si>
    <t>FBRK000048</t>
  </si>
  <si>
    <t>FBRK000049</t>
  </si>
  <si>
    <t>FBRK000050</t>
  </si>
  <si>
    <t>FBRK000051</t>
  </si>
  <si>
    <t>FBRK000052</t>
  </si>
  <si>
    <t>FBRK000053</t>
  </si>
  <si>
    <t>FBRK000054</t>
  </si>
  <si>
    <t>FBRK000055</t>
  </si>
  <si>
    <t>FBRK000056</t>
  </si>
  <si>
    <t>FBRK000057</t>
  </si>
  <si>
    <t>FBRK000058</t>
  </si>
  <si>
    <t>FBRK000059</t>
  </si>
  <si>
    <t>FBRK000060</t>
  </si>
  <si>
    <t>FBRK000061</t>
  </si>
  <si>
    <t>FBRK000062</t>
  </si>
  <si>
    <t>FBRK000063</t>
  </si>
  <si>
    <t>FBRK000064</t>
  </si>
  <si>
    <t>FBRK000065</t>
  </si>
  <si>
    <t>FBRK000066</t>
  </si>
  <si>
    <t>FBRK000067</t>
  </si>
  <si>
    <t>FBRK000068</t>
  </si>
  <si>
    <t>FBRK000069</t>
  </si>
  <si>
    <t>FBRK000070</t>
  </si>
  <si>
    <t>FBRK000071</t>
  </si>
  <si>
    <t>FBRK000072</t>
  </si>
  <si>
    <t>FBRK000073</t>
  </si>
  <si>
    <t>Cordura DE 500 tmavě šedá/zelená AC zátěr</t>
  </si>
  <si>
    <t>FBRK000074</t>
  </si>
  <si>
    <t>FBRK000075</t>
  </si>
  <si>
    <t>FBRK000076</t>
  </si>
  <si>
    <t>FBRK000077</t>
  </si>
  <si>
    <t>FBRK000078</t>
  </si>
  <si>
    <t>FBRK000079</t>
  </si>
  <si>
    <t>FBRK000080</t>
  </si>
  <si>
    <t>FBRK000081</t>
  </si>
  <si>
    <t>FBRK000082</t>
  </si>
  <si>
    <t>XPC</t>
  </si>
  <si>
    <t>FBRK000083</t>
  </si>
  <si>
    <t>FBRK000084</t>
  </si>
  <si>
    <t>FBRK000085</t>
  </si>
  <si>
    <t>FBRK000086</t>
  </si>
  <si>
    <t>FBRK000087</t>
  </si>
  <si>
    <t>FBRK000088</t>
  </si>
  <si>
    <t>FBRK000089</t>
  </si>
  <si>
    <t>FBRK000090</t>
  </si>
  <si>
    <t>FBRK000091</t>
  </si>
  <si>
    <t>FBRK000092</t>
  </si>
  <si>
    <t>FBRK000093</t>
  </si>
  <si>
    <t>CTN</t>
  </si>
  <si>
    <t>FBRK000094</t>
  </si>
  <si>
    <t>FBRK000095</t>
  </si>
  <si>
    <t>FBRK000096</t>
  </si>
  <si>
    <t>FBRK000097</t>
  </si>
  <si>
    <t>FBRK000098</t>
  </si>
  <si>
    <t>FBRK000099</t>
  </si>
  <si>
    <t>FBRK000100</t>
  </si>
  <si>
    <t>FBRK000101</t>
  </si>
  <si>
    <t>FBRK000102</t>
  </si>
  <si>
    <t>Bavlna CZ červená</t>
  </si>
  <si>
    <t>FBRK000103</t>
  </si>
  <si>
    <t>FBRK000104</t>
  </si>
  <si>
    <t>FBRK000105</t>
  </si>
  <si>
    <t>FBRK000106</t>
  </si>
  <si>
    <t>Bavlna IT šedá</t>
  </si>
  <si>
    <t>FBRK000107</t>
  </si>
  <si>
    <t>FND</t>
  </si>
  <si>
    <t>FLNG000001</t>
  </si>
  <si>
    <t>FLNG</t>
  </si>
  <si>
    <t>FLNG000002</t>
  </si>
  <si>
    <t>FLNG000003</t>
  </si>
  <si>
    <t>FLNG000004</t>
  </si>
  <si>
    <t>HRDW000001</t>
  </si>
  <si>
    <t>HRDW</t>
  </si>
  <si>
    <t>HRDW000002</t>
  </si>
  <si>
    <t>HRDW000003</t>
  </si>
  <si>
    <t>HRDW000004</t>
  </si>
  <si>
    <t>HRDW000005</t>
  </si>
  <si>
    <t>HRDW000006</t>
  </si>
  <si>
    <t>HRDW000007</t>
  </si>
  <si>
    <t>HRDW000008</t>
  </si>
  <si>
    <t>HRDW000009</t>
  </si>
  <si>
    <t>HRDW000010</t>
  </si>
  <si>
    <t>HRDW000011</t>
  </si>
  <si>
    <t>HRDW000012</t>
  </si>
  <si>
    <t>HRDW000013</t>
  </si>
  <si>
    <t>HRDW000014</t>
  </si>
  <si>
    <t>HRDW000015</t>
  </si>
  <si>
    <t>HRDW000016</t>
  </si>
  <si>
    <t>HRDW000017</t>
  </si>
  <si>
    <t>HRDW000018</t>
  </si>
  <si>
    <t>HRDW000019</t>
  </si>
  <si>
    <t>HRDW000020</t>
  </si>
  <si>
    <t>HRDW000021</t>
  </si>
  <si>
    <t>HRDW000022</t>
  </si>
  <si>
    <t>HRDW000023</t>
  </si>
  <si>
    <t>HRDW000024</t>
  </si>
  <si>
    <t>HRDW000025</t>
  </si>
  <si>
    <t>HRDW000026</t>
  </si>
  <si>
    <t>HRDW000027</t>
  </si>
  <si>
    <t>HRDW000028</t>
  </si>
  <si>
    <t>HRDW000029</t>
  </si>
  <si>
    <t>HRDW000030</t>
  </si>
  <si>
    <t>HRDW000031</t>
  </si>
  <si>
    <t>HRDW000032</t>
  </si>
  <si>
    <t>HRDW000033</t>
  </si>
  <si>
    <t>HRDW000034</t>
  </si>
  <si>
    <t>HRDW000035</t>
  </si>
  <si>
    <t>HRDW000036</t>
  </si>
  <si>
    <t>HRDW000037</t>
  </si>
  <si>
    <t>HRDW000038</t>
  </si>
  <si>
    <t>HRDW000039</t>
  </si>
  <si>
    <t>HRDW000040</t>
  </si>
  <si>
    <t>HRDW000041</t>
  </si>
  <si>
    <t>HRDW000042</t>
  </si>
  <si>
    <t>HRDW000043</t>
  </si>
  <si>
    <t>HRDW000044</t>
  </si>
  <si>
    <t>HRDW000045</t>
  </si>
  <si>
    <t>HRDW000046</t>
  </si>
  <si>
    <t>HRDW000047</t>
  </si>
  <si>
    <t>HRDW000048</t>
  </si>
  <si>
    <t>HRDW000049</t>
  </si>
  <si>
    <t>HRDW000050</t>
  </si>
  <si>
    <t>HRDW000051</t>
  </si>
  <si>
    <t>HRDW000052</t>
  </si>
  <si>
    <t>HRDW000053</t>
  </si>
  <si>
    <t>HRDW000054</t>
  </si>
  <si>
    <t>WeTool kovový G-Hook 25 mm pravá otvírák černý</t>
  </si>
  <si>
    <t>HRDW000055</t>
  </si>
  <si>
    <t>HRDW000056</t>
  </si>
  <si>
    <t>HRDW000057</t>
  </si>
  <si>
    <t>HRDW000058</t>
  </si>
  <si>
    <t>HRDW000059</t>
  </si>
  <si>
    <t>HRDW000060</t>
  </si>
  <si>
    <t>HRDW000061</t>
  </si>
  <si>
    <t>HRDW000062</t>
  </si>
  <si>
    <t>WeTool kovové hawkeye toggle 25 mm černá</t>
  </si>
  <si>
    <t>HRDW000063</t>
  </si>
  <si>
    <t>titanová žabka Austere 20 mm</t>
  </si>
  <si>
    <t>HRDW000064</t>
  </si>
  <si>
    <t>optic fibre lighting</t>
  </si>
  <si>
    <t>HRDW000065</t>
  </si>
  <si>
    <t>HRDW000066</t>
  </si>
  <si>
    <t>HRDW000067</t>
  </si>
  <si>
    <t>HRDW000068</t>
  </si>
  <si>
    <t>HRDW000069</t>
  </si>
  <si>
    <t>HRDW000070</t>
  </si>
  <si>
    <t>HRDW000071</t>
  </si>
  <si>
    <t>HRDW000072</t>
  </si>
  <si>
    <t>HRDW000073</t>
  </si>
  <si>
    <t>HRDW000074</t>
  </si>
  <si>
    <t>HRDW000075</t>
  </si>
  <si>
    <t>PJ trojzubec 10 mm khaki (samec+samice)</t>
  </si>
  <si>
    <t>HRDW000076</t>
  </si>
  <si>
    <t>PJ trojzubec 20 mm bílá (samec+samice)</t>
  </si>
  <si>
    <t>HRDW000077</t>
  </si>
  <si>
    <t>HRDW000078</t>
  </si>
  <si>
    <t>HRDW000079</t>
  </si>
  <si>
    <t>HRDW000080</t>
  </si>
  <si>
    <t>HRDW000081</t>
  </si>
  <si>
    <t>HRDW000082</t>
  </si>
  <si>
    <t>HRDW000083</t>
  </si>
  <si>
    <t>HRDW000084</t>
  </si>
  <si>
    <t>Massag kovový žebříček 20 mm černá</t>
  </si>
  <si>
    <t>HRDW000085</t>
  </si>
  <si>
    <t>Massag auto druk černá</t>
  </si>
  <si>
    <t>HRDW000086</t>
  </si>
  <si>
    <t>HRDW000087</t>
  </si>
  <si>
    <t>Massag vsuvka kovová černá</t>
  </si>
  <si>
    <t>HRDW000088</t>
  </si>
  <si>
    <t>cordlock</t>
  </si>
  <si>
    <t>LTHR000001</t>
  </si>
  <si>
    <t>LTHR</t>
  </si>
  <si>
    <t>LTHR000002</t>
  </si>
  <si>
    <t>LTHR000003</t>
  </si>
  <si>
    <t>VENICE 64080 Albicocca</t>
  </si>
  <si>
    <t>LTHR000004</t>
  </si>
  <si>
    <t>LTHR000005</t>
  </si>
  <si>
    <t>LTHR000006</t>
  </si>
  <si>
    <t>LTHR000007</t>
  </si>
  <si>
    <t>LTHR000008</t>
  </si>
  <si>
    <t>LTHR000009</t>
  </si>
  <si>
    <t>PCKG000001</t>
  </si>
  <si>
    <t>PCKG</t>
  </si>
  <si>
    <t>PCKG000002</t>
  </si>
  <si>
    <t>PCKG000003</t>
  </si>
  <si>
    <t>PCKG000004</t>
  </si>
  <si>
    <t>PCKG000005</t>
  </si>
  <si>
    <t>PCKG000006</t>
  </si>
  <si>
    <t>PCKG000007</t>
  </si>
  <si>
    <t>košilka</t>
  </si>
  <si>
    <t>STRP000001</t>
  </si>
  <si>
    <t>STRP</t>
  </si>
  <si>
    <t>STRP000002</t>
  </si>
  <si>
    <t>STRP000003</t>
  </si>
  <si>
    <t>STRP000004</t>
  </si>
  <si>
    <t>STRP000005</t>
  </si>
  <si>
    <t>STRP000006</t>
  </si>
  <si>
    <t>STRP000007</t>
  </si>
  <si>
    <t>STRP000008</t>
  </si>
  <si>
    <t>pruženka černá 40 mm</t>
  </si>
  <si>
    <t>STRP000009</t>
  </si>
  <si>
    <t>STRP000010</t>
  </si>
  <si>
    <t>STRP000011</t>
  </si>
  <si>
    <t>STRP000012</t>
  </si>
  <si>
    <t>STRP000013</t>
  </si>
  <si>
    <t>STRP000014</t>
  </si>
  <si>
    <t>STRP000015</t>
  </si>
  <si>
    <t>STRP000016</t>
  </si>
  <si>
    <t>STRP000017</t>
  </si>
  <si>
    <t>STRP000018</t>
  </si>
  <si>
    <t>STRP000019</t>
  </si>
  <si>
    <t>STRP000020</t>
  </si>
  <si>
    <t>STRP000021</t>
  </si>
  <si>
    <t>STRP000022</t>
  </si>
  <si>
    <t>STRP000023</t>
  </si>
  <si>
    <t>STRP000024</t>
  </si>
  <si>
    <t>STRP000025</t>
  </si>
  <si>
    <t>STRP000026</t>
  </si>
  <si>
    <t>STRP000027</t>
  </si>
  <si>
    <t>STRP000028</t>
  </si>
  <si>
    <t>STRP000029</t>
  </si>
  <si>
    <t>STRP000030</t>
  </si>
  <si>
    <t>STRP000031</t>
  </si>
  <si>
    <t>STRP000032</t>
  </si>
  <si>
    <t>STRP000033</t>
  </si>
  <si>
    <t>STRP000034</t>
  </si>
  <si>
    <t>STRP000035</t>
  </si>
  <si>
    <t>STRP000036</t>
  </si>
  <si>
    <t>STRP000037</t>
  </si>
  <si>
    <t>STRP000038</t>
  </si>
  <si>
    <t>STRP000039</t>
  </si>
  <si>
    <t>STRP000040</t>
  </si>
  <si>
    <t>STRP000041</t>
  </si>
  <si>
    <t>gumolano černé 4mm</t>
  </si>
  <si>
    <t>STRP000042</t>
  </si>
  <si>
    <t>STRP000043</t>
  </si>
  <si>
    <t>STRP000044</t>
  </si>
  <si>
    <t>STRP000045</t>
  </si>
  <si>
    <t>STRP000046</t>
  </si>
  <si>
    <t>STRP000047</t>
  </si>
  <si>
    <t>STRP000048</t>
  </si>
  <si>
    <t>STRP000049</t>
  </si>
  <si>
    <t>STRP000050</t>
  </si>
  <si>
    <t>STRP000051</t>
  </si>
  <si>
    <t>STRP000052</t>
  </si>
  <si>
    <t>STRP000053</t>
  </si>
  <si>
    <t>STRP000054</t>
  </si>
  <si>
    <t>STRP000055</t>
  </si>
  <si>
    <t>STRP000056</t>
  </si>
  <si>
    <t>suché zipy 50 mm plyš</t>
  </si>
  <si>
    <t>STRP000057</t>
  </si>
  <si>
    <t>suché zipy 50 mm háček</t>
  </si>
  <si>
    <t>ACSR</t>
  </si>
  <si>
    <t>APPR</t>
  </si>
  <si>
    <t>THRD000001</t>
  </si>
  <si>
    <t>THRD</t>
  </si>
  <si>
    <t>THRD000002</t>
  </si>
  <si>
    <t>THRD000003</t>
  </si>
  <si>
    <t>THRD000004</t>
  </si>
  <si>
    <t>THRD000005</t>
  </si>
  <si>
    <t>THRD000006</t>
  </si>
  <si>
    <t>THRD000007</t>
  </si>
  <si>
    <t>THRD000008</t>
  </si>
  <si>
    <t>THRD000009</t>
  </si>
  <si>
    <t>THRD000010</t>
  </si>
  <si>
    <t>THRD000011</t>
  </si>
  <si>
    <t>THRD000012</t>
  </si>
  <si>
    <t>THRD000013</t>
  </si>
  <si>
    <t>THRD000014</t>
  </si>
  <si>
    <t>THRD000015</t>
  </si>
  <si>
    <t>THRD000016</t>
  </si>
  <si>
    <t>THRD000017</t>
  </si>
  <si>
    <t>THRD000018</t>
  </si>
  <si>
    <t>Ultrapoly 30 khaki</t>
  </si>
  <si>
    <t>Látky</t>
  </si>
  <si>
    <t>Látky Asie</t>
  </si>
  <si>
    <t>Funkční látky</t>
  </si>
  <si>
    <t>LIN</t>
  </si>
  <si>
    <t>Len</t>
  </si>
  <si>
    <t>Podšívkovina</t>
  </si>
  <si>
    <t>Padákovina</t>
  </si>
  <si>
    <t>Potisklý PES</t>
  </si>
  <si>
    <t>PPS</t>
  </si>
  <si>
    <t>Polyester</t>
  </si>
  <si>
    <t>TVK</t>
  </si>
  <si>
    <t>Tyvek</t>
  </si>
  <si>
    <t>WOL</t>
  </si>
  <si>
    <t>Vlna</t>
  </si>
  <si>
    <t>X-Pac</t>
  </si>
  <si>
    <t>Doplňky</t>
  </si>
  <si>
    <t>ADAC</t>
  </si>
  <si>
    <t>Příslušenství</t>
  </si>
  <si>
    <t>Oblečení</t>
  </si>
  <si>
    <t>BGPK</t>
  </si>
  <si>
    <t>Batohy</t>
  </si>
  <si>
    <t>BIKE</t>
  </si>
  <si>
    <t>Kolo</t>
  </si>
  <si>
    <t>Výplně</t>
  </si>
  <si>
    <t>Kůže</t>
  </si>
  <si>
    <t>Balení</t>
  </si>
  <si>
    <t>SNFB</t>
  </si>
  <si>
    <t>Světlá</t>
  </si>
  <si>
    <t>Nitě</t>
  </si>
  <si>
    <t>VCHR</t>
  </si>
  <si>
    <t>Vouchery</t>
  </si>
  <si>
    <t>metr čtvereční</t>
  </si>
  <si>
    <t>automaticke doplni první hodnoty po vyhledani full textu</t>
  </si>
  <si>
    <t>znovunaplneni kolekce po vymazani nektere z hledanych polozek</t>
  </si>
  <si>
    <t>pridat podminku pro všechny subcom PROD min.length = 4</t>
  </si>
  <si>
    <t>navazat kusovnik na vyrobky</t>
  </si>
  <si>
    <t>BGPK000055</t>
  </si>
  <si>
    <t>BGPK000094</t>
  </si>
  <si>
    <t>Wicker black</t>
  </si>
  <si>
    <t>BGPK000028</t>
  </si>
  <si>
    <t>Henry black</t>
  </si>
  <si>
    <t>tkaná etiketa kosočt. černobílá Braasi Industry</t>
  </si>
  <si>
    <t>FBRK000114</t>
  </si>
  <si>
    <t>Ulsedan zářivě zelená</t>
  </si>
  <si>
    <t>Ulsedan limetkově zelená</t>
  </si>
  <si>
    <t>Ulsedan aquamarin modrá</t>
  </si>
  <si>
    <t>Padákovina bílá</t>
  </si>
  <si>
    <t>Xpac VX07 RS black (ripstop)</t>
  </si>
  <si>
    <t>Xpac X10/DWR naturale</t>
  </si>
  <si>
    <t>Xpac LS21 grey</t>
  </si>
  <si>
    <t>Xpac LS21 black</t>
  </si>
  <si>
    <t>FBRK000108</t>
  </si>
  <si>
    <t>FBRK000109</t>
  </si>
  <si>
    <t>FBRK000110</t>
  </si>
  <si>
    <t>FBRK000111</t>
  </si>
  <si>
    <t>FBRK000112</t>
  </si>
  <si>
    <t>FBRK000113</t>
  </si>
  <si>
    <t>paracorde modrá 3,5 mm</t>
  </si>
  <si>
    <t>product_code</t>
  </si>
  <si>
    <t>product_name</t>
  </si>
  <si>
    <t>BGPK000001</t>
  </si>
  <si>
    <t>Arne Black</t>
  </si>
  <si>
    <t>BGPK000002</t>
  </si>
  <si>
    <t>Arne grey</t>
  </si>
  <si>
    <t>BGPK000003</t>
  </si>
  <si>
    <t>Arne NTB Black</t>
  </si>
  <si>
    <t>BGPK000004</t>
  </si>
  <si>
    <t>Arne NTB grey</t>
  </si>
  <si>
    <t>BGPK000005</t>
  </si>
  <si>
    <t>Arne NTB purple</t>
  </si>
  <si>
    <t>BGPK000006</t>
  </si>
  <si>
    <t>Arne NTB white</t>
  </si>
  <si>
    <t>BGPK000007</t>
  </si>
  <si>
    <t>Arne NTB yellow</t>
  </si>
  <si>
    <t>BGPK000008</t>
  </si>
  <si>
    <t>Arne purple</t>
  </si>
  <si>
    <t>BGPK000009</t>
  </si>
  <si>
    <t>Arne white</t>
  </si>
  <si>
    <t>BGPK000010</t>
  </si>
  <si>
    <t>Arne yellow</t>
  </si>
  <si>
    <t>BGPK000011</t>
  </si>
  <si>
    <t>BGPK000012</t>
  </si>
  <si>
    <t>BGPK000013</t>
  </si>
  <si>
    <t>BGPK000014</t>
  </si>
  <si>
    <t>BGPK000015</t>
  </si>
  <si>
    <t>BGPK000016</t>
  </si>
  <si>
    <t>BGPK000017</t>
  </si>
  <si>
    <t>BGPK000018</t>
  </si>
  <si>
    <t>BGPK000019</t>
  </si>
  <si>
    <t>BGPK000020</t>
  </si>
  <si>
    <t>BGPK000021</t>
  </si>
  <si>
    <t>BGPK000022</t>
  </si>
  <si>
    <t>BGPK000023</t>
  </si>
  <si>
    <t>BGPK000024</t>
  </si>
  <si>
    <t>BGPK000025</t>
  </si>
  <si>
    <t>BGPK000026</t>
  </si>
  <si>
    <t>Foxy</t>
  </si>
  <si>
    <t>BGPK000027</t>
  </si>
  <si>
    <t>Henry Asahi khaki</t>
  </si>
  <si>
    <t>BGPK000029</t>
  </si>
  <si>
    <t>Henry black světla</t>
  </si>
  <si>
    <t>BGPK000030</t>
  </si>
  <si>
    <t>Henry Bot AI</t>
  </si>
  <si>
    <t>BGPK000031</t>
  </si>
  <si>
    <t>Henry canvas black</t>
  </si>
  <si>
    <t>BGPK000032</t>
  </si>
  <si>
    <t>Henry canvas ecru/nude</t>
  </si>
  <si>
    <t>BGPK000033</t>
  </si>
  <si>
    <t>Henry dark grey</t>
  </si>
  <si>
    <t>BGPK000034</t>
  </si>
  <si>
    <t>Henry khaki</t>
  </si>
  <si>
    <t>BGPK000035</t>
  </si>
  <si>
    <t>Henry orange</t>
  </si>
  <si>
    <t>BGPK000036</t>
  </si>
  <si>
    <t>Henry tan</t>
  </si>
  <si>
    <t>BGPK000037</t>
  </si>
  <si>
    <t>Hertil black</t>
  </si>
  <si>
    <t>BGPK000038</t>
  </si>
  <si>
    <t>Hertil khaki</t>
  </si>
  <si>
    <t>BGPK000039</t>
  </si>
  <si>
    <t>Hertil navy</t>
  </si>
  <si>
    <t>BGPK000040</t>
  </si>
  <si>
    <t>BGPK000041</t>
  </si>
  <si>
    <t>BGPK000042</t>
  </si>
  <si>
    <t>BGPK000043</t>
  </si>
  <si>
    <t>BGPK000044</t>
  </si>
  <si>
    <t>BGPK000045</t>
  </si>
  <si>
    <t>BGPK000046</t>
  </si>
  <si>
    <t>BGPK000047</t>
  </si>
  <si>
    <t>BGPK000048</t>
  </si>
  <si>
    <t>Klopista black</t>
  </si>
  <si>
    <t>BGPK000049</t>
  </si>
  <si>
    <t>Klopista khaki</t>
  </si>
  <si>
    <t>BGPK000050</t>
  </si>
  <si>
    <t>BGPK000051</t>
  </si>
  <si>
    <t>BGPK000052</t>
  </si>
  <si>
    <t>BGPK000053</t>
  </si>
  <si>
    <t>BGPK000054</t>
  </si>
  <si>
    <t>Nico</t>
  </si>
  <si>
    <t>BGPK000056</t>
  </si>
  <si>
    <t>Purista ecru/black</t>
  </si>
  <si>
    <t>BGPK000057</t>
  </si>
  <si>
    <t>Purista ecru/nude</t>
  </si>
  <si>
    <t>BGPK000058</t>
  </si>
  <si>
    <t>BGPK000059</t>
  </si>
  <si>
    <t>BGPK000060</t>
  </si>
  <si>
    <t>Rolltop Basic black</t>
  </si>
  <si>
    <t>BGPK000061</t>
  </si>
  <si>
    <t>Rolltop Basic grey</t>
  </si>
  <si>
    <t>BGPK000062</t>
  </si>
  <si>
    <t>Rolltop Basic Side black</t>
  </si>
  <si>
    <t>BGPK000063</t>
  </si>
  <si>
    <t>Rolltop Basic Side Grey</t>
  </si>
  <si>
    <t>BGPK000064</t>
  </si>
  <si>
    <t>rolltop canvas black/nude</t>
  </si>
  <si>
    <t>BGPK000065</t>
  </si>
  <si>
    <t>rolltop canvas blue/nude</t>
  </si>
  <si>
    <t>BGPK000066</t>
  </si>
  <si>
    <t>rolltop canvas grey/black</t>
  </si>
  <si>
    <t>BGPK000067</t>
  </si>
  <si>
    <t>rolltop canvas grey/nude</t>
  </si>
  <si>
    <t>BGPK000068</t>
  </si>
  <si>
    <t>rolltop canvas khaki/black</t>
  </si>
  <si>
    <t>BGPK000069</t>
  </si>
  <si>
    <t>rolltop canvas khaki/nude</t>
  </si>
  <si>
    <t>BGPK000070</t>
  </si>
  <si>
    <t>rolltop canvas magenta/black</t>
  </si>
  <si>
    <t>BGPK000071</t>
  </si>
  <si>
    <t>rolltop canvas magenta/nude</t>
  </si>
  <si>
    <t>BGPK000072</t>
  </si>
  <si>
    <t>rolltop canvas red/black</t>
  </si>
  <si>
    <t>BGPK000073</t>
  </si>
  <si>
    <t>rolltop canvas yellow/nude</t>
  </si>
  <si>
    <t>BGPK000074</t>
  </si>
  <si>
    <t>Rolltop cordura blue/orange</t>
  </si>
  <si>
    <t>BGPK000075</t>
  </si>
  <si>
    <t>Rolltop cordura navy/black</t>
  </si>
  <si>
    <t>BGPK000076</t>
  </si>
  <si>
    <t>Rolltop cordura navy/red</t>
  </si>
  <si>
    <t>BGPK000077</t>
  </si>
  <si>
    <t>Rolltop cordura orange/navy</t>
  </si>
  <si>
    <t>BGPK000078</t>
  </si>
  <si>
    <t>Rolltop cordura red/navy</t>
  </si>
  <si>
    <t>Rolltop cordura tan/black</t>
  </si>
  <si>
    <t>Rolltop cordura tan/khaki</t>
  </si>
  <si>
    <t>Rolltop cordura tan/navy</t>
  </si>
  <si>
    <t>Rolltop cordura tan/red</t>
  </si>
  <si>
    <t>Rolltop cordura yellow/black</t>
  </si>
  <si>
    <t>Rolltop X-Pac black</t>
  </si>
  <si>
    <t>Rolltop X-Pac purple</t>
  </si>
  <si>
    <t>Rolltop X-Pac yellow</t>
  </si>
  <si>
    <t>webbing black</t>
  </si>
  <si>
    <t>webbing dark grey</t>
  </si>
  <si>
    <t>webbing grey</t>
  </si>
  <si>
    <t>webbing khaki</t>
  </si>
  <si>
    <t>webbing navy</t>
  </si>
  <si>
    <t>webbing orange</t>
  </si>
  <si>
    <t>webbing tan</t>
  </si>
  <si>
    <t>Wicker black světla</t>
  </si>
  <si>
    <t>Wicker Dark grey</t>
  </si>
  <si>
    <t>Wicker khaki</t>
  </si>
  <si>
    <t>Wicker Navy blue</t>
  </si>
  <si>
    <t>Wicker navy/black</t>
  </si>
  <si>
    <t>Wicker orange</t>
  </si>
  <si>
    <t>Wicker tan</t>
  </si>
  <si>
    <t>Wicker x-Pac black</t>
  </si>
  <si>
    <t>Wicker x-Pac white</t>
  </si>
  <si>
    <t>Wicker x-Pac yellow</t>
  </si>
  <si>
    <t>PROD</t>
  </si>
  <si>
    <t>Hotový produkt</t>
  </si>
  <si>
    <t>test</t>
  </si>
  <si>
    <t>TEST</t>
  </si>
  <si>
    <t>pridat receive material</t>
  </si>
  <si>
    <t>pridat moznost vyberu PN pro receive z material_listu</t>
  </si>
  <si>
    <t>Change loc navyseni qty</t>
  </si>
  <si>
    <t>ano</t>
  </si>
  <si>
    <t>jsou jen u materialu, které se pouzivaji</t>
  </si>
  <si>
    <t>MRP na levelu lokaci</t>
  </si>
  <si>
    <t>Unigal</t>
  </si>
  <si>
    <t>Braasi</t>
  </si>
  <si>
    <t>Chomutov</t>
  </si>
  <si>
    <t>Kveta</t>
  </si>
  <si>
    <t>naskladnit jako m</t>
  </si>
  <si>
    <t>odepisovat jako m2</t>
  </si>
  <si>
    <t>ceny za metr</t>
  </si>
  <si>
    <t>BRA</t>
  </si>
  <si>
    <t>CHO</t>
  </si>
  <si>
    <t>KVE</t>
  </si>
  <si>
    <t>UNI</t>
  </si>
  <si>
    <t>tkaná etiketa kosočtv. ČB Braasi Industry</t>
  </si>
  <si>
    <t>tkaná etiketa kosočtv. ČB Braasi Industry baby</t>
  </si>
  <si>
    <t>Kožené logo pilsner</t>
  </si>
  <si>
    <t>BRND000022</t>
  </si>
  <si>
    <t>BRND000023</t>
  </si>
  <si>
    <t>Kartička Outlast</t>
  </si>
  <si>
    <t>BRND000024</t>
  </si>
  <si>
    <t>Kartička x-pac</t>
  </si>
  <si>
    <t>Ubeon se zátěrem bílá</t>
  </si>
  <si>
    <t>Cordura DE 500 šedá PU zátěr</t>
  </si>
  <si>
    <t>Massag zip kovový 18 cm černý</t>
  </si>
  <si>
    <t>YKK zip kovový 46 cm černý</t>
  </si>
  <si>
    <t>YKK zip kovový 29 cm černý</t>
  </si>
  <si>
    <t>YKK zip kovový 25 cm černý</t>
  </si>
  <si>
    <t>HRDW000089</t>
  </si>
  <si>
    <t>HRDW000090</t>
  </si>
  <si>
    <t>HRDW000091</t>
  </si>
  <si>
    <t>Massag vsuvka kovová černá 20mm</t>
  </si>
  <si>
    <t>HRDW000092</t>
  </si>
  <si>
    <t>HRDW000093</t>
  </si>
  <si>
    <t>Tyčky</t>
  </si>
  <si>
    <t>popruh černý PAD 10 mm</t>
  </si>
  <si>
    <t>popruh černý POP 10 mm</t>
  </si>
  <si>
    <t>popruh černý struktura POP 16 mm</t>
  </si>
  <si>
    <t>popruh černý hladký POP 16 mm</t>
  </si>
  <si>
    <t>popruh černý vroubkatý POP 25 mm</t>
  </si>
  <si>
    <t>popruh černý dutinka PES 55 mm</t>
  </si>
  <si>
    <t>popruh černý bavlna 25 mm</t>
  </si>
  <si>
    <t>popruh černý bavlna 40 mm</t>
  </si>
  <si>
    <t>popruh bílý POP 10 mm</t>
  </si>
  <si>
    <t>popruh bílý POP 20 mm</t>
  </si>
  <si>
    <t>popruh bílý POP 25 mm</t>
  </si>
  <si>
    <t>popruh královsky modrý POP 10 mm</t>
  </si>
  <si>
    <t>popruh blankytně modrý POP 20 mm</t>
  </si>
  <si>
    <t>popruh zářivě oranžový PES 10 mm</t>
  </si>
  <si>
    <t>popruh zářivě oranžový PES 16 mm</t>
  </si>
  <si>
    <t>popruh zářivě oranžový PES 20 mm</t>
  </si>
  <si>
    <t>popruh zářivě oranžový PES 25 mm</t>
  </si>
  <si>
    <t>popruh oranžový PAD 20 mm</t>
  </si>
  <si>
    <t>popruh červený POP 10 mm</t>
  </si>
  <si>
    <t>popruh červený POP 20 mm</t>
  </si>
  <si>
    <t>popruh červený POP 25 mm</t>
  </si>
  <si>
    <t>popruh zářivě zelený PES 10 mm</t>
  </si>
  <si>
    <t>popruh žlutý POP 10 mm</t>
  </si>
  <si>
    <t>popruh tmavě šedý POP 10 mm</t>
  </si>
  <si>
    <t>popruh světle šedý PAD 20 mm</t>
  </si>
  <si>
    <t>popruh desertní PES 20 mm</t>
  </si>
  <si>
    <t>popruh fialový POP 20 mm</t>
  </si>
  <si>
    <t>popruh fialový POP 25 mm</t>
  </si>
  <si>
    <t>popruh khaki bavlna 35 mm</t>
  </si>
  <si>
    <t>dutinka zlatá PAD 20 mm</t>
  </si>
  <si>
    <t>STRP000058</t>
  </si>
  <si>
    <t>STRP000059</t>
  </si>
  <si>
    <t>STRP000060</t>
  </si>
  <si>
    <t>STRP000061</t>
  </si>
  <si>
    <t>STRP000062</t>
  </si>
  <si>
    <t>STRP000063</t>
  </si>
  <si>
    <t xml:space="preserve">Wicker x-Pac purple </t>
  </si>
  <si>
    <t>webbing khaki/orange</t>
  </si>
  <si>
    <t>webbing white</t>
  </si>
  <si>
    <t>nastavit comboboxy na WHS page nezapisovatelne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</si>
</sst>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20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  <font>
      <sz val="8"/>
      <name val="Arial"/>
      <family val="2"/>
      <scheme val="minor"/>
    </font>
    <font>
      <sz val="8"/>
      <name val="Arial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6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1" fontId="4" fillId="0" borderId="0" xfId="0" applyNumberFormat="1" applyFont="1"/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1" fillId="5" borderId="0" xfId="0" applyFont="1" applyFill="1"/>
    <xf numFmtId="0" fontId="18" fillId="0" borderId="0" xfId="0" applyFont="1"/>
    <xf numFmtId="0" fontId="19" fillId="0" borderId="0" xfId="0" applyFont="1"/>
    <xf numFmtId="0" fontId="4" fillId="0" borderId="8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1" fontId="10" fillId="0" borderId="10" xfId="0" applyNumberFormat="1" applyFont="1" applyBorder="1" applyAlignment="1">
      <alignment horizontal="center"/>
    </xf>
    <xf numFmtId="1" fontId="10" fillId="0" borderId="11" xfId="0" applyNumberFormat="1" applyFont="1" applyBorder="1" applyAlignment="1">
      <alignment horizontal="center"/>
    </xf>
    <xf numFmtId="1" fontId="11" fillId="0" borderId="12" xfId="0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/>
    </xf>
    <xf numFmtId="1" fontId="11" fillId="0" borderId="13" xfId="0" applyNumberFormat="1" applyFont="1" applyBorder="1" applyAlignment="1">
      <alignment horizontal="center"/>
    </xf>
    <xf numFmtId="1" fontId="13" fillId="0" borderId="14" xfId="0" applyNumberFormat="1" applyFont="1" applyBorder="1" applyAlignment="1">
      <alignment horizontal="center"/>
    </xf>
    <xf numFmtId="1" fontId="12" fillId="0" borderId="6" xfId="0" applyNumberFormat="1" applyFont="1" applyBorder="1" applyAlignment="1">
      <alignment horizontal="center"/>
    </xf>
    <xf numFmtId="1" fontId="12" fillId="0" borderId="15" xfId="0" applyNumberFormat="1" applyFont="1" applyBorder="1" applyAlignment="1">
      <alignment horizontal="center"/>
    </xf>
    <xf numFmtId="1" fontId="10" fillId="0" borderId="16" xfId="0" applyNumberFormat="1" applyFont="1" applyBorder="1" applyAlignment="1">
      <alignment horizontal="center"/>
    </xf>
    <xf numFmtId="1" fontId="10" fillId="0" borderId="7" xfId="0" applyNumberFormat="1" applyFont="1" applyBorder="1" applyAlignment="1">
      <alignment horizontal="center"/>
    </xf>
    <xf numFmtId="1" fontId="10" fillId="0" borderId="17" xfId="0" applyNumberFormat="1" applyFont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1" fillId="0" borderId="0" xfId="0" applyFont="1"/>
    <xf numFmtId="0" fontId="0" fillId="0" borderId="0" xfId="0" applyNumberFormat="1"/>
    <xf numFmtId="0" fontId="18" fillId="0" borderId="0" xfId="0" applyNumberFormat="1" applyFont="1"/>
  </cellXfs>
  <cellStyles count="1">
    <cellStyle name="Normal" xfId="0" builtinId="0"/>
  </cellStyles>
  <dxfs count="25"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47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5D4EB52-43D4-4230-A4B5-BEA7AF7C0154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qty" tableColumnId="3"/>
      <queryTableField id="4" name="unit_code" tableColumnId="4"/>
      <queryTableField id="5" name="location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CD435AA-433D-41D6-90FB-D346794B396A}" autoFormatId="16" applyNumberFormats="0" applyBorderFormats="0" applyFontFormats="0" applyPatternFormats="0" applyAlignmentFormats="0" applyWidthHeightFormats="0">
  <queryTableRefresh nextId="5">
    <queryTableFields count="4">
      <queryTableField id="1" name="product_code" tableColumnId="1"/>
      <queryTableField id="2" name="product_name" tableColumnId="2"/>
      <queryTableField id="3" name="qty" tableColumnId="3"/>
      <queryTableField id="4" name="location_cod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FFE98F3-F364-4D86-9865-CDADBF565168}" autoFormatId="16" applyNumberFormats="0" applyBorderFormats="0" applyFontFormats="0" applyPatternFormats="0" applyAlignmentFormats="0" applyWidthHeightFormats="0">
  <queryTableRefresh nextId="11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ACB45BD-43C7-4B35-B20E-5D8CFCFF32D0}" autoFormatId="16" applyNumberFormats="0" applyBorderFormats="0" applyFontFormats="0" applyPatternFormats="0" applyAlignmentFormats="0" applyWidthHeightFormats="0">
  <queryTableRefresh nextId="5">
    <queryTableFields count="4">
      <queryTableField id="1" name="com_code" tableColumnId="1"/>
      <queryTableField id="2" name="com_name" tableColumnId="2"/>
      <queryTableField id="3" name="subcom_code" tableColumnId="3"/>
      <queryTableField id="4" name="subcom_nam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FE51D278-A75F-437B-8BC4-8D2D1698069D}" autoFormatId="16" applyNumberFormats="0" applyBorderFormats="0" applyFontFormats="0" applyPatternFormats="0" applyAlignmentFormats="0" applyWidthHeightFormats="0">
  <queryTableRefresh nextId="3">
    <queryTableFields count="2">
      <queryTableField id="1" name="unit_code" tableColumnId="1"/>
      <queryTableField id="2" name="unit_nam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6DB633A-CA8C-455D-9700-9D1692B3D843}" autoFormatId="16" applyNumberFormats="0" applyBorderFormats="0" applyFontFormats="0" applyPatternFormats="0" applyAlignmentFormats="0" applyWidthHeightFormats="0">
  <queryTableRefresh nextId="3">
    <queryTableFields count="2">
      <queryTableField id="1" name="location_code" tableColumnId="1"/>
      <queryTableField id="2" name="location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D0316F-FF29-47BA-B171-02DE6CCF495E}" name="soh" displayName="soh" ref="A1:E664" tableType="queryTable" totalsRowShown="0">
  <autoFilter ref="A1:E664" xr:uid="{2AD0316F-FF29-47BA-B171-02DE6CCF495E}"/>
  <sortState xmlns:xlrd2="http://schemas.microsoft.com/office/spreadsheetml/2017/richdata2" ref="A2:E664">
    <sortCondition ref="A1:A664"/>
  </sortState>
  <tableColumns count="5">
    <tableColumn id="1" xr3:uid="{3670FA37-EA1E-49D0-A210-C752E77C1B2C}" uniqueName="1" name="part_number" queryTableFieldId="1" dataDxfId="8"/>
    <tableColumn id="2" xr3:uid="{A0151D6A-34B1-4CA6-A211-9E58815DBAD9}" uniqueName="2" name="description" queryTableFieldId="2" dataDxfId="7"/>
    <tableColumn id="3" xr3:uid="{F2611681-E613-456D-A64B-B3892ED42D27}" uniqueName="3" name="qty" queryTableFieldId="3"/>
    <tableColumn id="4" xr3:uid="{2988A488-68E3-49DB-805B-CB97936408A1}" uniqueName="4" name="unit_code" queryTableFieldId="4" dataDxfId="6"/>
    <tableColumn id="5" xr3:uid="{B4E2197D-2F90-49DA-9ED7-150561888600}" uniqueName="5" name="location_code" queryTableFieldId="5" dataDxfId="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DA759-B6CA-4E15-8B53-AE2FAC693347}" name="soh_pro" displayName="soh_pro" ref="A1:D157" tableType="queryTable" totalsRowShown="0">
  <autoFilter ref="A1:D157" xr:uid="{E80DA759-B6CA-4E15-8B53-AE2FAC693347}"/>
  <tableColumns count="4">
    <tableColumn id="1" xr3:uid="{6D95FC14-B788-48B2-B401-C3B3BDB1BA3D}" uniqueName="1" name="product_code" queryTableFieldId="1" dataDxfId="24"/>
    <tableColumn id="2" xr3:uid="{389148DC-9B04-41F7-AE7F-74C428FE0315}" uniqueName="2" name="product_name" queryTableFieldId="2" dataDxfId="23"/>
    <tableColumn id="3" xr3:uid="{4FB5F036-DD51-4E07-9BAA-E39CA6EFC8E4}" uniqueName="3" name="qty" queryTableFieldId="3"/>
    <tableColumn id="4" xr3:uid="{1DD1E035-5272-4F85-BE39-92E9C543E86B}" uniqueName="4" name="location_code" queryTableFieldId="4" dataDxfId="2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333" tableType="queryTable" totalsRowShown="0">
  <tableColumns count="5">
    <tableColumn id="1" xr3:uid="{84E91586-F9A8-45A6-BC12-348FC29A6A05}" uniqueName="1" name="part_number" queryTableFieldId="1" dataDxfId="13"/>
    <tableColumn id="2" xr3:uid="{AA6E8315-6CCE-444D-861C-6B8C0F1DE33A}" uniqueName="2" name="description" queryTableFieldId="2" dataDxfId="12"/>
    <tableColumn id="3" xr3:uid="{0C6B5625-30AC-4F54-99F1-C0B0EDB0B6E9}" uniqueName="3" name="unit_code" queryTableFieldId="3" dataDxfId="11"/>
    <tableColumn id="4" xr3:uid="{F8726BA5-E8A0-4906-B2C0-A813F1160BD4}" uniqueName="4" name="com_code" queryTableFieldId="6" dataDxfId="10"/>
    <tableColumn id="5" xr3:uid="{382FEDDE-F90A-4575-957C-A5E4C254740F}" uniqueName="5" name="subcom_code" queryTableFieldId="7" dataDxfId="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DD9A8-D33E-4B4D-A9DB-3CCC8448CAC3}" name="commodities" displayName="commodities" ref="A1:D31" tableType="queryTable" totalsRowShown="0">
  <tableColumns count="4">
    <tableColumn id="1" xr3:uid="{19A23B16-3B04-4720-9D1E-8A3DFCAD3A31}" uniqueName="1" name="com_code" queryTableFieldId="1" dataDxfId="21"/>
    <tableColumn id="2" xr3:uid="{E938FC26-CDD9-4CC0-9656-B36C18473EE6}" uniqueName="2" name="com_name" queryTableFieldId="2" dataDxfId="20"/>
    <tableColumn id="3" xr3:uid="{BEA86AD8-7D7D-4FB4-80A0-9A8AC935D9FC}" uniqueName="3" name="subcom_code" queryTableFieldId="3" dataDxfId="19"/>
    <tableColumn id="4" xr3:uid="{ED9BFC95-65FB-4F34-B2CC-395DDE48236B}" uniqueName="4" name="subcom_name" queryTableFieldId="4" dataDxfId="1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260923-F0F6-4B2D-ACB6-6E842037F0C3}" name="units" displayName="units" ref="A1:B4" tableType="queryTable" totalsRowShown="0">
  <tableColumns count="2">
    <tableColumn id="1" xr3:uid="{FB49F6B1-F9B6-4C1D-898E-E8BA88500A8A}" uniqueName="1" name="unit_code" queryTableFieldId="1" dataDxfId="17"/>
    <tableColumn id="2" xr3:uid="{8363A1BC-F769-4EA7-9A69-CD02E71414FA}" uniqueName="2" name="unit_name" queryTableFieldId="2" dataDxfId="16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639781-7491-46A1-8B5C-8E6BF8243B1A}" name="locations" displayName="locations" ref="A1:B5" tableType="queryTable" totalsRowShown="0">
  <tableColumns count="2">
    <tableColumn id="1" xr3:uid="{DB630632-DD1E-4188-8076-09B15B7427A1}" uniqueName="1" name="location_code" queryTableFieldId="1" dataDxfId="15"/>
    <tableColumn id="2" xr3:uid="{638E1C69-DF82-452B-B164-6DBEBA408285}" uniqueName="2" name="location_name" queryTableFieldId="2" dataDxfId="1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70"/>
  <sheetViews>
    <sheetView showGridLines="0" tabSelected="1" zoomScaleNormal="100" workbookViewId="0">
      <selection activeCell="AZ72" sqref="AZ72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1.140625" style="1" bestFit="1" customWidth="1" collapsed="1"/>
    <col min="10" max="10" width="11.28515625" style="1" hidden="1" customWidth="1" outlineLevel="1"/>
    <col min="11" max="11" width="11.140625" style="1" hidden="1" customWidth="1" outlineLevel="1"/>
    <col min="12" max="48" width="4.42578125" style="1" hidden="1" customWidth="1" outlineLevel="1"/>
    <col min="49" max="49" width="11.140625" style="1" hidden="1" customWidth="1" outlineLevel="1"/>
    <col min="50" max="50" width="14.28515625" style="1" bestFit="1" customWidth="1"/>
    <col min="51" max="70" width="6.140625" style="1" bestFit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266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267</v>
      </c>
      <c r="AY2" s="6" t="str">
        <f ca="1">"W"&amp;WEEKNUM(TODAY())+AY1</f>
        <v>W22</v>
      </c>
      <c r="AZ2" s="6" t="str">
        <f t="shared" ref="AZ2:BR2" ca="1" si="0">"W"&amp;WEEKNUM(TODAY())+AZ1</f>
        <v>W23</v>
      </c>
      <c r="BA2" s="6" t="str">
        <f t="shared" ca="1" si="0"/>
        <v>W24</v>
      </c>
      <c r="BB2" s="6" t="str">
        <f t="shared" ca="1" si="0"/>
        <v>W25</v>
      </c>
      <c r="BC2" s="6" t="str">
        <f t="shared" ca="1" si="0"/>
        <v>W26</v>
      </c>
      <c r="BD2" s="6" t="str">
        <f t="shared" ca="1" si="0"/>
        <v>W27</v>
      </c>
      <c r="BE2" s="6" t="str">
        <f t="shared" ca="1" si="0"/>
        <v>W28</v>
      </c>
      <c r="BF2" s="6" t="str">
        <f t="shared" ca="1" si="0"/>
        <v>W29</v>
      </c>
      <c r="BG2" s="6" t="str">
        <f t="shared" ca="1" si="0"/>
        <v>W30</v>
      </c>
      <c r="BH2" s="6" t="str">
        <f t="shared" ca="1" si="0"/>
        <v>W31</v>
      </c>
      <c r="BI2" s="6" t="str">
        <f t="shared" ca="1" si="0"/>
        <v>W32</v>
      </c>
      <c r="BJ2" s="6" t="str">
        <f t="shared" ca="1" si="0"/>
        <v>W33</v>
      </c>
      <c r="BK2" s="6" t="str">
        <f t="shared" ca="1" si="0"/>
        <v>W34</v>
      </c>
      <c r="BL2" s="6" t="str">
        <f t="shared" ca="1" si="0"/>
        <v>W35</v>
      </c>
      <c r="BM2" s="6" t="str">
        <f t="shared" ca="1" si="0"/>
        <v>W36</v>
      </c>
      <c r="BN2" s="6" t="str">
        <f t="shared" ca="1" si="0"/>
        <v>W37</v>
      </c>
      <c r="BO2" s="6" t="str">
        <f t="shared" ca="1" si="0"/>
        <v>W38</v>
      </c>
      <c r="BP2" s="6" t="str">
        <f t="shared" ca="1" si="0"/>
        <v>W39</v>
      </c>
      <c r="BQ2" s="6" t="str">
        <f t="shared" ca="1" si="0"/>
        <v>W40</v>
      </c>
      <c r="BR2" s="7" t="str">
        <f t="shared" ca="1" si="0"/>
        <v>W41</v>
      </c>
      <c r="CA2" s="8"/>
    </row>
    <row r="3" spans="2:79" ht="12.75" x14ac:dyDescent="0.2">
      <c r="AW3" s="9" t="s">
        <v>723</v>
      </c>
      <c r="AX3" s="9" t="s">
        <v>724</v>
      </c>
      <c r="AY3" s="8">
        <v>10</v>
      </c>
      <c r="AZ3" s="8">
        <v>2</v>
      </c>
      <c r="BA3" s="8">
        <v>2</v>
      </c>
      <c r="BB3" s="8">
        <v>2</v>
      </c>
      <c r="BC3" s="8">
        <v>2</v>
      </c>
      <c r="BD3" s="8">
        <v>2</v>
      </c>
      <c r="BE3" s="8">
        <v>2</v>
      </c>
      <c r="BF3" s="8">
        <v>2</v>
      </c>
      <c r="BG3" s="8">
        <v>2</v>
      </c>
      <c r="BH3" s="8">
        <v>2</v>
      </c>
      <c r="BI3" s="8">
        <v>2</v>
      </c>
      <c r="BJ3" s="8">
        <v>2</v>
      </c>
      <c r="BK3" s="8">
        <v>2</v>
      </c>
      <c r="BL3" s="8">
        <v>2</v>
      </c>
      <c r="BM3" s="8">
        <v>2</v>
      </c>
      <c r="BN3" s="8">
        <v>2</v>
      </c>
      <c r="BO3" s="8">
        <v>2</v>
      </c>
      <c r="BP3" s="8">
        <v>2</v>
      </c>
      <c r="BQ3" s="8">
        <v>2</v>
      </c>
      <c r="BR3" s="8">
        <v>2</v>
      </c>
    </row>
    <row r="4" spans="2:79" ht="12.75" x14ac:dyDescent="0.2">
      <c r="AW4" s="9" t="s">
        <v>720</v>
      </c>
      <c r="AX4" s="9" t="s">
        <v>1</v>
      </c>
      <c r="AY4" s="8">
        <v>2</v>
      </c>
      <c r="AZ4" s="8">
        <v>2</v>
      </c>
      <c r="BA4" s="8">
        <v>2</v>
      </c>
      <c r="BB4" s="8">
        <v>2</v>
      </c>
      <c r="BC4" s="8">
        <v>2</v>
      </c>
      <c r="BD4" s="8">
        <v>5</v>
      </c>
      <c r="BE4" s="8">
        <v>2</v>
      </c>
      <c r="BF4" s="8">
        <v>2</v>
      </c>
      <c r="BG4" s="8">
        <v>2</v>
      </c>
      <c r="BH4" s="8">
        <v>2</v>
      </c>
      <c r="BI4" s="8">
        <v>2</v>
      </c>
      <c r="BJ4" s="8">
        <v>2</v>
      </c>
      <c r="BK4" s="8">
        <v>2</v>
      </c>
      <c r="BL4" s="8">
        <v>2</v>
      </c>
      <c r="BM4" s="8">
        <v>2</v>
      </c>
      <c r="BN4" s="8">
        <v>2</v>
      </c>
      <c r="BO4" s="8">
        <v>2</v>
      </c>
      <c r="BP4" s="8">
        <v>2</v>
      </c>
      <c r="BQ4" s="8">
        <v>2</v>
      </c>
      <c r="BR4" s="8">
        <v>2</v>
      </c>
    </row>
    <row r="5" spans="2:79" ht="12.75" x14ac:dyDescent="0.2">
      <c r="AW5" s="9" t="s">
        <v>721</v>
      </c>
      <c r="AX5" s="9" t="s">
        <v>722</v>
      </c>
      <c r="AY5" s="8">
        <v>2</v>
      </c>
      <c r="AZ5" s="8">
        <v>2</v>
      </c>
      <c r="BA5" s="8">
        <v>2</v>
      </c>
      <c r="BB5" s="8">
        <v>2</v>
      </c>
      <c r="BC5" s="8">
        <v>2</v>
      </c>
      <c r="BD5" s="8">
        <v>2</v>
      </c>
      <c r="BE5" s="8">
        <v>2</v>
      </c>
      <c r="BF5" s="8">
        <v>2</v>
      </c>
      <c r="BG5" s="8">
        <v>2</v>
      </c>
      <c r="BH5" s="8">
        <v>2</v>
      </c>
      <c r="BI5" s="8">
        <v>2</v>
      </c>
      <c r="BJ5" s="8">
        <v>2</v>
      </c>
      <c r="BK5" s="8">
        <v>2</v>
      </c>
      <c r="BL5" s="8">
        <v>2</v>
      </c>
      <c r="BM5" s="8">
        <v>2</v>
      </c>
      <c r="BN5" s="8">
        <v>2</v>
      </c>
      <c r="BO5" s="8">
        <v>2</v>
      </c>
      <c r="BP5" s="8">
        <v>2</v>
      </c>
      <c r="BQ5" s="8">
        <v>2</v>
      </c>
      <c r="BR5" s="8">
        <v>2</v>
      </c>
    </row>
    <row r="6" spans="2:79" ht="12.75" hidden="1" x14ac:dyDescent="0.2">
      <c r="AP6" s="10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0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0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0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0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0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0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0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0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0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0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0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0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0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0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0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0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0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0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0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0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0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0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0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0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0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0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0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0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0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0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0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0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0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0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0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0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0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0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0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0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hidden="1" x14ac:dyDescent="0.2">
      <c r="A47" s="11"/>
      <c r="B47" s="11"/>
      <c r="C47" s="11"/>
      <c r="D47" s="11"/>
      <c r="E47" s="11"/>
      <c r="F47" s="11"/>
      <c r="G47" s="11"/>
      <c r="H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2"/>
      <c r="AQ47" s="11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</row>
    <row r="48" spans="1:83" ht="12.75" x14ac:dyDescent="0.2">
      <c r="G48" s="14"/>
      <c r="H48" s="14"/>
      <c r="AZ48" s="1" t="s">
        <v>0</v>
      </c>
    </row>
    <row r="49" spans="1:83" ht="12.75" x14ac:dyDescent="0.2">
      <c r="I49" s="56" t="s">
        <v>274</v>
      </c>
      <c r="J49" s="57"/>
      <c r="K49" s="57"/>
    </row>
    <row r="50" spans="1:83" ht="12.75" x14ac:dyDescent="0.2">
      <c r="A50" s="16" t="s">
        <v>279</v>
      </c>
      <c r="B50" s="16" t="s">
        <v>268</v>
      </c>
      <c r="C50" s="17" t="s">
        <v>269</v>
      </c>
      <c r="D50" s="18" t="s">
        <v>270</v>
      </c>
      <c r="E50" s="15" t="s">
        <v>271</v>
      </c>
      <c r="F50" s="15" t="s">
        <v>272</v>
      </c>
      <c r="G50" s="18" t="s">
        <v>2</v>
      </c>
      <c r="H50" s="18" t="s">
        <v>273</v>
      </c>
      <c r="I50" s="15" t="s">
        <v>723</v>
      </c>
      <c r="J50" s="15" t="s">
        <v>720</v>
      </c>
      <c r="K50" s="15" t="s">
        <v>721</v>
      </c>
      <c r="L50" s="18" t="s">
        <v>3</v>
      </c>
      <c r="M50" s="18" t="s">
        <v>3</v>
      </c>
      <c r="N50" s="18" t="s">
        <v>3</v>
      </c>
      <c r="O50" s="18" t="s">
        <v>3</v>
      </c>
      <c r="P50" s="18" t="s">
        <v>3</v>
      </c>
      <c r="Q50" s="18" t="s">
        <v>3</v>
      </c>
      <c r="R50" s="18" t="s">
        <v>3</v>
      </c>
      <c r="S50" s="18" t="s">
        <v>3</v>
      </c>
      <c r="T50" s="18" t="s">
        <v>3</v>
      </c>
      <c r="U50" s="18" t="s">
        <v>3</v>
      </c>
      <c r="V50" s="18" t="s">
        <v>3</v>
      </c>
      <c r="W50" s="18" t="s">
        <v>3</v>
      </c>
      <c r="X50" s="18" t="s">
        <v>3</v>
      </c>
      <c r="Y50" s="18" t="s">
        <v>3</v>
      </c>
      <c r="Z50" s="18" t="s">
        <v>3</v>
      </c>
      <c r="AA50" s="18" t="s">
        <v>3</v>
      </c>
      <c r="AB50" s="18" t="s">
        <v>3</v>
      </c>
      <c r="AC50" s="18" t="s">
        <v>3</v>
      </c>
      <c r="AD50" s="18" t="s">
        <v>3</v>
      </c>
      <c r="AE50" s="18" t="s">
        <v>3</v>
      </c>
      <c r="AF50" s="18" t="s">
        <v>3</v>
      </c>
      <c r="AG50" s="18" t="s">
        <v>3</v>
      </c>
      <c r="AH50" s="18" t="s">
        <v>3</v>
      </c>
      <c r="AI50" s="18" t="s">
        <v>3</v>
      </c>
      <c r="AJ50" s="18" t="s">
        <v>3</v>
      </c>
      <c r="AK50" s="18" t="s">
        <v>3</v>
      </c>
      <c r="AL50" s="18" t="s">
        <v>3</v>
      </c>
      <c r="AM50" s="18" t="s">
        <v>3</v>
      </c>
      <c r="AN50" s="18" t="s">
        <v>3</v>
      </c>
      <c r="AO50" s="18" t="s">
        <v>3</v>
      </c>
      <c r="AP50" s="18" t="s">
        <v>3</v>
      </c>
      <c r="AQ50" s="18" t="s">
        <v>3</v>
      </c>
      <c r="AR50" s="18" t="s">
        <v>3</v>
      </c>
      <c r="AS50" s="18" t="s">
        <v>3</v>
      </c>
      <c r="AT50" s="18" t="s">
        <v>3</v>
      </c>
      <c r="AU50" s="18" t="s">
        <v>3</v>
      </c>
      <c r="AV50" s="18" t="s">
        <v>3</v>
      </c>
      <c r="AW50" s="18" t="s">
        <v>3</v>
      </c>
      <c r="AX50" s="18" t="s">
        <v>4</v>
      </c>
      <c r="AY50" s="15" t="str">
        <f t="shared" ref="AY50:BR50" ca="1" si="1">AY2</f>
        <v>W22</v>
      </c>
      <c r="AZ50" s="15" t="str">
        <f t="shared" ca="1" si="1"/>
        <v>W23</v>
      </c>
      <c r="BA50" s="15" t="str">
        <f t="shared" ca="1" si="1"/>
        <v>W24</v>
      </c>
      <c r="BB50" s="15" t="str">
        <f t="shared" ca="1" si="1"/>
        <v>W25</v>
      </c>
      <c r="BC50" s="15" t="str">
        <f t="shared" ca="1" si="1"/>
        <v>W26</v>
      </c>
      <c r="BD50" s="15" t="str">
        <f t="shared" ca="1" si="1"/>
        <v>W27</v>
      </c>
      <c r="BE50" s="15" t="str">
        <f t="shared" ca="1" si="1"/>
        <v>W28</v>
      </c>
      <c r="BF50" s="15" t="str">
        <f t="shared" ca="1" si="1"/>
        <v>W29</v>
      </c>
      <c r="BG50" s="15" t="str">
        <f t="shared" ca="1" si="1"/>
        <v>W30</v>
      </c>
      <c r="BH50" s="15" t="str">
        <f t="shared" ca="1" si="1"/>
        <v>W31</v>
      </c>
      <c r="BI50" s="15" t="str">
        <f t="shared" ca="1" si="1"/>
        <v>W32</v>
      </c>
      <c r="BJ50" s="15" t="str">
        <f t="shared" ca="1" si="1"/>
        <v>W33</v>
      </c>
      <c r="BK50" s="15" t="str">
        <f t="shared" ca="1" si="1"/>
        <v>W34</v>
      </c>
      <c r="BL50" s="15" t="str">
        <f t="shared" ca="1" si="1"/>
        <v>W35</v>
      </c>
      <c r="BM50" s="15" t="str">
        <f t="shared" ca="1" si="1"/>
        <v>W36</v>
      </c>
      <c r="BN50" s="15" t="str">
        <f t="shared" ca="1" si="1"/>
        <v>W37</v>
      </c>
      <c r="BO50" s="15" t="str">
        <f t="shared" ca="1" si="1"/>
        <v>W38</v>
      </c>
      <c r="BP50" s="15" t="str">
        <f t="shared" ca="1" si="1"/>
        <v>W39</v>
      </c>
      <c r="BQ50" s="15" t="str">
        <f t="shared" ca="1" si="1"/>
        <v>W40</v>
      </c>
      <c r="BR50" s="15" t="str">
        <f t="shared" ca="1" si="1"/>
        <v>W41</v>
      </c>
      <c r="BS50" s="8"/>
      <c r="BT50" s="8"/>
      <c r="BU50" s="8"/>
      <c r="BV50" s="8"/>
      <c r="BW50" s="8"/>
      <c r="BX50" s="19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0" t="s">
        <v>603</v>
      </c>
      <c r="B51" s="20" t="s">
        <v>5</v>
      </c>
      <c r="C51" s="20"/>
      <c r="D51" s="21" t="s">
        <v>601</v>
      </c>
      <c r="E51" s="21">
        <v>2</v>
      </c>
      <c r="F51" s="21">
        <f>SUMIF(stock_on_hand!A:A,A51,stock_on_hand!C:C)</f>
        <v>10680</v>
      </c>
      <c r="G51" s="21">
        <v>200</v>
      </c>
      <c r="H51" s="21" t="s">
        <v>7</v>
      </c>
      <c r="I51" s="21">
        <v>2.2000000000000002</v>
      </c>
      <c r="J51" s="21">
        <v>2.2000000000000002</v>
      </c>
      <c r="K51" s="21">
        <v>2.1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38" t="str">
        <f>IF(G51&gt;0,IF(AY51&lt;(0.8*G51),"WARNING!!!",IF(AY51&lt;G51,"ORDER","OK")),IF((VLOOKUP(A51,A:BR,51+E51,0))&lt;0,"WARNING!!!",IF((VLOOKUP(A51,A:BR,51+ROUND(1.25*E51,0),0))&lt;0,"ORDER","OK")))</f>
        <v>OK</v>
      </c>
      <c r="AY51" s="44">
        <f>F51-AY52+AY53</f>
        <v>10649.4</v>
      </c>
      <c r="AZ51" s="45">
        <f t="shared" ref="AZ51:BR51" si="2">AY51-AZ52+AZ53</f>
        <v>10636.4</v>
      </c>
      <c r="BA51" s="45">
        <f t="shared" si="2"/>
        <v>10623.4</v>
      </c>
      <c r="BB51" s="45">
        <f t="shared" si="2"/>
        <v>10610.4</v>
      </c>
      <c r="BC51" s="45">
        <f t="shared" si="2"/>
        <v>10597.4</v>
      </c>
      <c r="BD51" s="45">
        <f t="shared" si="2"/>
        <v>10577.8</v>
      </c>
      <c r="BE51" s="45">
        <f t="shared" si="2"/>
        <v>10564.8</v>
      </c>
      <c r="BF51" s="45">
        <f t="shared" si="2"/>
        <v>10551.8</v>
      </c>
      <c r="BG51" s="45">
        <f t="shared" si="2"/>
        <v>10538.8</v>
      </c>
      <c r="BH51" s="45">
        <f t="shared" si="2"/>
        <v>10525.8</v>
      </c>
      <c r="BI51" s="45">
        <f t="shared" si="2"/>
        <v>10512.8</v>
      </c>
      <c r="BJ51" s="45">
        <f t="shared" si="2"/>
        <v>10499.8</v>
      </c>
      <c r="BK51" s="45">
        <f t="shared" si="2"/>
        <v>10486.8</v>
      </c>
      <c r="BL51" s="45">
        <f t="shared" si="2"/>
        <v>10473.799999999999</v>
      </c>
      <c r="BM51" s="45">
        <f t="shared" si="2"/>
        <v>10460.799999999999</v>
      </c>
      <c r="BN51" s="45">
        <f t="shared" si="2"/>
        <v>10447.799999999999</v>
      </c>
      <c r="BO51" s="45">
        <f t="shared" si="2"/>
        <v>10434.799999999999</v>
      </c>
      <c r="BP51" s="45">
        <f t="shared" si="2"/>
        <v>10421.799999999999</v>
      </c>
      <c r="BQ51" s="45">
        <f t="shared" si="2"/>
        <v>10408.799999999999</v>
      </c>
      <c r="BR51" s="46">
        <f t="shared" si="2"/>
        <v>10395.799999999999</v>
      </c>
      <c r="BX51" s="22"/>
    </row>
    <row r="52" spans="1:83" ht="12.75" hidden="1" outlineLevel="1" x14ac:dyDescent="0.2">
      <c r="A52" s="23"/>
      <c r="B52" s="24"/>
      <c r="C52" s="24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6" t="s">
        <v>8</v>
      </c>
      <c r="AY52" s="47">
        <f>$I51*AY$3+$J51*AY$4+$K51*AY$5</f>
        <v>30.599999999999998</v>
      </c>
      <c r="AZ52" s="48">
        <f>$I51*AZ$3+$J51*AZ$4+$K51*AZ$5</f>
        <v>13</v>
      </c>
      <c r="BA52" s="48">
        <f t="shared" ref="BA52:BR52" si="3">$I51*BA$3+$J51*BA$4+$K51*BA$5</f>
        <v>13</v>
      </c>
      <c r="BB52" s="48">
        <f t="shared" si="3"/>
        <v>13</v>
      </c>
      <c r="BC52" s="48">
        <f t="shared" si="3"/>
        <v>13</v>
      </c>
      <c r="BD52" s="48">
        <f t="shared" si="3"/>
        <v>19.600000000000001</v>
      </c>
      <c r="BE52" s="48">
        <f t="shared" si="3"/>
        <v>13</v>
      </c>
      <c r="BF52" s="48">
        <f t="shared" si="3"/>
        <v>13</v>
      </c>
      <c r="BG52" s="48">
        <f t="shared" si="3"/>
        <v>13</v>
      </c>
      <c r="BH52" s="48">
        <f t="shared" si="3"/>
        <v>13</v>
      </c>
      <c r="BI52" s="48">
        <f t="shared" si="3"/>
        <v>13</v>
      </c>
      <c r="BJ52" s="48">
        <f t="shared" si="3"/>
        <v>13</v>
      </c>
      <c r="BK52" s="48">
        <f t="shared" si="3"/>
        <v>13</v>
      </c>
      <c r="BL52" s="48">
        <f t="shared" si="3"/>
        <v>13</v>
      </c>
      <c r="BM52" s="48">
        <f t="shared" si="3"/>
        <v>13</v>
      </c>
      <c r="BN52" s="48">
        <f>$I51*BN$3+$J51*BN$4+$K51*BN$5</f>
        <v>13</v>
      </c>
      <c r="BO52" s="48">
        <f t="shared" si="3"/>
        <v>13</v>
      </c>
      <c r="BP52" s="48">
        <f t="shared" si="3"/>
        <v>13</v>
      </c>
      <c r="BQ52" s="48">
        <f t="shared" si="3"/>
        <v>13</v>
      </c>
      <c r="BR52" s="49">
        <f t="shared" si="3"/>
        <v>13</v>
      </c>
    </row>
    <row r="53" spans="1:83" ht="12.75" hidden="1" outlineLevel="1" x14ac:dyDescent="0.2">
      <c r="A53" s="27"/>
      <c r="B53" s="28"/>
      <c r="C53" s="28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30" t="s">
        <v>9</v>
      </c>
      <c r="AY53" s="50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2"/>
    </row>
    <row r="54" spans="1:83" ht="12.75" collapsed="1" x14ac:dyDescent="0.2">
      <c r="A54" s="20" t="s">
        <v>326</v>
      </c>
      <c r="B54" s="20" t="s">
        <v>725</v>
      </c>
      <c r="C54" s="20"/>
      <c r="D54" s="21" t="s">
        <v>327</v>
      </c>
      <c r="E54" s="21">
        <v>3</v>
      </c>
      <c r="F54" s="21">
        <f>SUMIF(stock_on_hand!A:A,A54,stock_on_hand!C:C)</f>
        <v>0</v>
      </c>
      <c r="G54" s="21"/>
      <c r="H54" s="21" t="s">
        <v>11</v>
      </c>
      <c r="I54" s="21">
        <v>1</v>
      </c>
      <c r="J54" s="21">
        <v>1</v>
      </c>
      <c r="K54" s="21">
        <v>1</v>
      </c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38" t="str">
        <f>IF(G54&gt;0,IF(AY54&lt;(0.8*G54),"WARNING!!!",IF(AY54&lt;G54,"ORDER","OK")),IF((VLOOKUP(A54,A:BR,51+E54,0))&lt;0,"WARNING!!!",IF((VLOOKUP(A54,A:BR,51+ROUND(1.25*E54,0),0))&lt;0,"ORDER","OK")))</f>
        <v>WARNING!!!</v>
      </c>
      <c r="AY54" s="53">
        <f t="shared" ref="AY54" si="4">F54-AY55+AY56</f>
        <v>-14</v>
      </c>
      <c r="AZ54" s="54">
        <f t="shared" ref="AZ54" si="5">AY54-AZ55+AZ56</f>
        <v>-20</v>
      </c>
      <c r="BA54" s="54">
        <f t="shared" ref="BA54" si="6">AZ54-BA55+BA56</f>
        <v>-26</v>
      </c>
      <c r="BB54" s="54">
        <f t="shared" ref="BB54" si="7">BA54-BB55+BB56</f>
        <v>-32</v>
      </c>
      <c r="BC54" s="54">
        <f t="shared" ref="BC54" si="8">BB54-BC55+BC56</f>
        <v>-38</v>
      </c>
      <c r="BD54" s="54">
        <f t="shared" ref="BD54" si="9">BC54-BD55+BD56</f>
        <v>-47</v>
      </c>
      <c r="BE54" s="54">
        <f t="shared" ref="BE54" si="10">BD54-BE55+BE56</f>
        <v>-53</v>
      </c>
      <c r="BF54" s="54">
        <f t="shared" ref="BF54" si="11">BE54-BF55+BF56</f>
        <v>-59</v>
      </c>
      <c r="BG54" s="54">
        <f t="shared" ref="BG54" si="12">BF54-BG55+BG56</f>
        <v>-65</v>
      </c>
      <c r="BH54" s="54">
        <f t="shared" ref="BH54" si="13">BG54-BH55+BH56</f>
        <v>-71</v>
      </c>
      <c r="BI54" s="54">
        <f t="shared" ref="BI54" si="14">BH54-BI55+BI56</f>
        <v>-77</v>
      </c>
      <c r="BJ54" s="54">
        <f t="shared" ref="BJ54" si="15">BI54-BJ55+BJ56</f>
        <v>-83</v>
      </c>
      <c r="BK54" s="54">
        <f t="shared" ref="BK54" si="16">BJ54-BK55+BK56</f>
        <v>-89</v>
      </c>
      <c r="BL54" s="54">
        <f t="shared" ref="BL54" si="17">BK54-BL55+BL56</f>
        <v>-95</v>
      </c>
      <c r="BM54" s="54">
        <f t="shared" ref="BM54" si="18">BL54-BM55+BM56</f>
        <v>-101</v>
      </c>
      <c r="BN54" s="54">
        <f t="shared" ref="BN54" si="19">BM54-BN55+BN56</f>
        <v>-107</v>
      </c>
      <c r="BO54" s="54">
        <f t="shared" ref="BO54" si="20">BN54-BO55+BO56</f>
        <v>-113</v>
      </c>
      <c r="BP54" s="54">
        <f t="shared" ref="BP54" si="21">BO54-BP55+BP56</f>
        <v>-119</v>
      </c>
      <c r="BQ54" s="54">
        <f t="shared" ref="BQ54" si="22">BP54-BQ55+BQ56</f>
        <v>-125</v>
      </c>
      <c r="BR54" s="55">
        <f t="shared" ref="BR54" si="23">BQ54-BR55+BR56</f>
        <v>-131</v>
      </c>
      <c r="BX54" s="22"/>
    </row>
    <row r="55" spans="1:83" ht="12.75" hidden="1" outlineLevel="1" x14ac:dyDescent="0.2">
      <c r="A55" s="23"/>
      <c r="B55" s="24"/>
      <c r="C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6" t="s">
        <v>8</v>
      </c>
      <c r="AY55" s="47">
        <f t="shared" ref="AY55" si="24">$I54*AY$3+$J54*AY$4+$K54*AY$5</f>
        <v>14</v>
      </c>
      <c r="AZ55" s="48">
        <f t="shared" ref="AZ55" si="25">$I54*AZ$3+$J54*AZ$4+$K54*AZ$5</f>
        <v>6</v>
      </c>
      <c r="BA55" s="48">
        <f t="shared" ref="BA55" si="26">$I54*BA$3+$J54*BA$4+$K54*BA$5</f>
        <v>6</v>
      </c>
      <c r="BB55" s="48">
        <f t="shared" ref="BB55" si="27">$I54*BB$3+$J54*BB$4+$K54*BB$5</f>
        <v>6</v>
      </c>
      <c r="BC55" s="48">
        <f t="shared" ref="BC55" si="28">$I54*BC$3+$J54*BC$4+$K54*BC$5</f>
        <v>6</v>
      </c>
      <c r="BD55" s="48">
        <f t="shared" ref="BD55" si="29">$I54*BD$3+$J54*BD$4+$K54*BD$5</f>
        <v>9</v>
      </c>
      <c r="BE55" s="48">
        <f t="shared" ref="BE55" si="30">$I54*BE$3+$J54*BE$4+$K54*BE$5</f>
        <v>6</v>
      </c>
      <c r="BF55" s="48">
        <f t="shared" ref="BF55" si="31">$I54*BF$3+$J54*BF$4+$K54*BF$5</f>
        <v>6</v>
      </c>
      <c r="BG55" s="48">
        <f t="shared" ref="BG55" si="32">$I54*BG$3+$J54*BG$4+$K54*BG$5</f>
        <v>6</v>
      </c>
      <c r="BH55" s="48">
        <f t="shared" ref="BH55" si="33">$I54*BH$3+$J54*BH$4+$K54*BH$5</f>
        <v>6</v>
      </c>
      <c r="BI55" s="48">
        <f t="shared" ref="BI55" si="34">$I54*BI$3+$J54*BI$4+$K54*BI$5</f>
        <v>6</v>
      </c>
      <c r="BJ55" s="48">
        <f t="shared" ref="BJ55" si="35">$I54*BJ$3+$J54*BJ$4+$K54*BJ$5</f>
        <v>6</v>
      </c>
      <c r="BK55" s="48">
        <f t="shared" ref="BK55" si="36">$I54*BK$3+$J54*BK$4+$K54*BK$5</f>
        <v>6</v>
      </c>
      <c r="BL55" s="48">
        <f t="shared" ref="BL55" si="37">$I54*BL$3+$J54*BL$4+$K54*BL$5</f>
        <v>6</v>
      </c>
      <c r="BM55" s="48">
        <f t="shared" ref="BM55" si="38">$I54*BM$3+$J54*BM$4+$K54*BM$5</f>
        <v>6</v>
      </c>
      <c r="BN55" s="48">
        <f t="shared" ref="BN55" si="39">$I54*BN$3+$J54*BN$4+$K54*BN$5</f>
        <v>6</v>
      </c>
      <c r="BO55" s="48">
        <f t="shared" ref="BO55" si="40">$I54*BO$3+$J54*BO$4+$K54*BO$5</f>
        <v>6</v>
      </c>
      <c r="BP55" s="48">
        <f t="shared" ref="BP55" si="41">$I54*BP$3+$J54*BP$4+$K54*BP$5</f>
        <v>6</v>
      </c>
      <c r="BQ55" s="48">
        <f t="shared" ref="BQ55" si="42">$I54*BQ$3+$J54*BQ$4+$K54*BQ$5</f>
        <v>6</v>
      </c>
      <c r="BR55" s="49">
        <f t="shared" ref="BR55" si="43">$I54*BR$3+$J54*BR$4+$K54*BR$5</f>
        <v>6</v>
      </c>
    </row>
    <row r="56" spans="1:83" ht="12.75" hidden="1" outlineLevel="1" x14ac:dyDescent="0.2">
      <c r="A56" s="27"/>
      <c r="B56" s="28"/>
      <c r="C56" s="28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30" t="s">
        <v>9</v>
      </c>
      <c r="AY56" s="50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2"/>
    </row>
    <row r="57" spans="1:83" ht="12.75" collapsed="1" x14ac:dyDescent="0.2">
      <c r="A57" s="20" t="s">
        <v>329</v>
      </c>
      <c r="B57" s="20" t="s">
        <v>12</v>
      </c>
      <c r="C57" s="20"/>
      <c r="D57" s="21" t="s">
        <v>327</v>
      </c>
      <c r="E57" s="21">
        <v>3</v>
      </c>
      <c r="F57" s="21">
        <f>SUMIF(stock_on_hand!A:A,A57,stock_on_hand!C:C)</f>
        <v>2300</v>
      </c>
      <c r="G57" s="21"/>
      <c r="H57" s="21" t="s">
        <v>11</v>
      </c>
      <c r="I57" s="21">
        <v>1</v>
      </c>
      <c r="J57" s="21">
        <v>1</v>
      </c>
      <c r="K57" s="21">
        <v>2</v>
      </c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38" t="str">
        <f>IF(G57&gt;0,IF(AY57&lt;(0.8*G57),"WARNING!!!",IF(AY57&lt;G57,"ORDER","OK")),IF((VLOOKUP(A57,A:BR,51+E57,0))&lt;0,"WARNING!!!",IF((VLOOKUP(A57,A:BR,51+ROUND(1.25*E57,0),0))&lt;0,"ORDER","OK")))</f>
        <v>OK</v>
      </c>
      <c r="AY57" s="53">
        <f t="shared" ref="AY57" si="44">F57-AY58+AY59</f>
        <v>2284</v>
      </c>
      <c r="AZ57" s="54">
        <f t="shared" ref="AZ57" si="45">AY57-AZ58+AZ59</f>
        <v>2276</v>
      </c>
      <c r="BA57" s="54">
        <f t="shared" ref="BA57" si="46">AZ57-BA58+BA59</f>
        <v>2268</v>
      </c>
      <c r="BB57" s="54">
        <f t="shared" ref="BB57" si="47">BA57-BB58+BB59</f>
        <v>2260</v>
      </c>
      <c r="BC57" s="54">
        <f t="shared" ref="BC57" si="48">BB57-BC58+BC59</f>
        <v>2252</v>
      </c>
      <c r="BD57" s="54">
        <f t="shared" ref="BD57" si="49">BC57-BD58+BD59</f>
        <v>2241</v>
      </c>
      <c r="BE57" s="54">
        <f t="shared" ref="BE57" si="50">BD57-BE58+BE59</f>
        <v>2233</v>
      </c>
      <c r="BF57" s="54">
        <f t="shared" ref="BF57" si="51">BE57-BF58+BF59</f>
        <v>2225</v>
      </c>
      <c r="BG57" s="54">
        <f t="shared" ref="BG57" si="52">BF57-BG58+BG59</f>
        <v>2217</v>
      </c>
      <c r="BH57" s="54">
        <f t="shared" ref="BH57" si="53">BG57-BH58+BH59</f>
        <v>2209</v>
      </c>
      <c r="BI57" s="54">
        <f t="shared" ref="BI57" si="54">BH57-BI58+BI59</f>
        <v>2201</v>
      </c>
      <c r="BJ57" s="54">
        <f t="shared" ref="BJ57" si="55">BI57-BJ58+BJ59</f>
        <v>2193</v>
      </c>
      <c r="BK57" s="54">
        <f t="shared" ref="BK57" si="56">BJ57-BK58+BK59</f>
        <v>2185</v>
      </c>
      <c r="BL57" s="54">
        <f t="shared" ref="BL57" si="57">BK57-BL58+BL59</f>
        <v>2177</v>
      </c>
      <c r="BM57" s="54">
        <f t="shared" ref="BM57" si="58">BL57-BM58+BM59</f>
        <v>2169</v>
      </c>
      <c r="BN57" s="54">
        <f t="shared" ref="BN57" si="59">BM57-BN58+BN59</f>
        <v>2161</v>
      </c>
      <c r="BO57" s="54">
        <f t="shared" ref="BO57" si="60">BN57-BO58+BO59</f>
        <v>2153</v>
      </c>
      <c r="BP57" s="54">
        <f t="shared" ref="BP57" si="61">BO57-BP58+BP59</f>
        <v>2145</v>
      </c>
      <c r="BQ57" s="54">
        <f t="shared" ref="BQ57" si="62">BP57-BQ58+BQ59</f>
        <v>2137</v>
      </c>
      <c r="BR57" s="55">
        <f t="shared" ref="BR57" si="63">BQ57-BR58+BR59</f>
        <v>2129</v>
      </c>
      <c r="BX57" s="22"/>
    </row>
    <row r="58" spans="1:83" ht="12.75" hidden="1" outlineLevel="1" x14ac:dyDescent="0.2">
      <c r="A58" s="23"/>
      <c r="B58" s="24"/>
      <c r="C58" s="24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6" t="s">
        <v>8</v>
      </c>
      <c r="AY58" s="47">
        <f t="shared" ref="AY58" si="64">$I57*AY$3+$J57*AY$4+$K57*AY$5</f>
        <v>16</v>
      </c>
      <c r="AZ58" s="48">
        <f t="shared" ref="AZ58" si="65">$I57*AZ$3+$J57*AZ$4+$K57*AZ$5</f>
        <v>8</v>
      </c>
      <c r="BA58" s="48">
        <f t="shared" ref="BA58" si="66">$I57*BA$3+$J57*BA$4+$K57*BA$5</f>
        <v>8</v>
      </c>
      <c r="BB58" s="48">
        <f t="shared" ref="BB58" si="67">$I57*BB$3+$J57*BB$4+$K57*BB$5</f>
        <v>8</v>
      </c>
      <c r="BC58" s="48">
        <f>$I57*BC$3+$J57*BC$4+$K57*BC$5</f>
        <v>8</v>
      </c>
      <c r="BD58" s="48">
        <f t="shared" ref="BD58" si="68">$I57*BD$3+$J57*BD$4+$K57*BD$5</f>
        <v>11</v>
      </c>
      <c r="BE58" s="48">
        <f t="shared" ref="BE58" si="69">$I57*BE$3+$J57*BE$4+$K57*BE$5</f>
        <v>8</v>
      </c>
      <c r="BF58" s="48">
        <f t="shared" ref="BF58" si="70">$I57*BF$3+$J57*BF$4+$K57*BF$5</f>
        <v>8</v>
      </c>
      <c r="BG58" s="48">
        <f t="shared" ref="BG58" si="71">$I57*BG$3+$J57*BG$4+$K57*BG$5</f>
        <v>8</v>
      </c>
      <c r="BH58" s="48">
        <f t="shared" ref="BH58" si="72">$I57*BH$3+$J57*BH$4+$K57*BH$5</f>
        <v>8</v>
      </c>
      <c r="BI58" s="48">
        <f t="shared" ref="BI58" si="73">$I57*BI$3+$J57*BI$4+$K57*BI$5</f>
        <v>8</v>
      </c>
      <c r="BJ58" s="48">
        <f t="shared" ref="BJ58" si="74">$I57*BJ$3+$J57*BJ$4+$K57*BJ$5</f>
        <v>8</v>
      </c>
      <c r="BK58" s="48">
        <f t="shared" ref="BK58" si="75">$I57*BK$3+$J57*BK$4+$K57*BK$5</f>
        <v>8</v>
      </c>
      <c r="BL58" s="48">
        <f t="shared" ref="BL58" si="76">$I57*BL$3+$J57*BL$4+$K57*BL$5</f>
        <v>8</v>
      </c>
      <c r="BM58" s="48">
        <f t="shared" ref="BM58" si="77">$I57*BM$3+$J57*BM$4+$K57*BM$5</f>
        <v>8</v>
      </c>
      <c r="BN58" s="48">
        <f t="shared" ref="BN58" si="78">$I57*BN$3+$J57*BN$4+$K57*BN$5</f>
        <v>8</v>
      </c>
      <c r="BO58" s="48">
        <f t="shared" ref="BO58" si="79">$I57*BO$3+$J57*BO$4+$K57*BO$5</f>
        <v>8</v>
      </c>
      <c r="BP58" s="48">
        <f t="shared" ref="BP58" si="80">$I57*BP$3+$J57*BP$4+$K57*BP$5</f>
        <v>8</v>
      </c>
      <c r="BQ58" s="48">
        <f t="shared" ref="BQ58" si="81">$I57*BQ$3+$J57*BQ$4+$K57*BQ$5</f>
        <v>8</v>
      </c>
      <c r="BR58" s="49">
        <f t="shared" ref="BR58" si="82">$I57*BR$3+$J57*BR$4+$K57*BR$5</f>
        <v>8</v>
      </c>
    </row>
    <row r="59" spans="1:83" ht="12.75" hidden="1" outlineLevel="1" x14ac:dyDescent="0.2">
      <c r="A59" s="27"/>
      <c r="B59" s="28"/>
      <c r="C59" s="28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30" t="s">
        <v>9</v>
      </c>
      <c r="AY59" s="50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2"/>
    </row>
    <row r="60" spans="1:83" ht="12.75" collapsed="1" x14ac:dyDescent="0.2">
      <c r="A60" s="20" t="s">
        <v>486</v>
      </c>
      <c r="B60" s="20" t="s">
        <v>13</v>
      </c>
      <c r="C60" s="20"/>
      <c r="D60" s="21" t="s">
        <v>482</v>
      </c>
      <c r="E60" s="21">
        <v>5</v>
      </c>
      <c r="F60" s="21">
        <f>SUMIF(stock_on_hand!A:A,A60,stock_on_hand!C:C)</f>
        <v>1850</v>
      </c>
      <c r="G60" s="21"/>
      <c r="H60" s="21" t="s">
        <v>11</v>
      </c>
      <c r="I60" s="21">
        <v>1</v>
      </c>
      <c r="J60" s="21">
        <v>1</v>
      </c>
      <c r="K60" s="21">
        <v>1</v>
      </c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38" t="str">
        <f>IF(G60&gt;0,IF(AY60&lt;(0.8*G60),"WARNING!!!",IF(AY60&lt;G60,"ORDER","OK")),IF((VLOOKUP(A60,A:BR,51+E60,0))&lt;0,"WARNING!!!",IF((VLOOKUP(A60,A:BR,51+ROUND(1.25*E60,0),0))&lt;0,"ORDER","OK")))</f>
        <v>OK</v>
      </c>
      <c r="AY60" s="53">
        <f t="shared" ref="AY60" si="83">F60-AY61+AY62</f>
        <v>1836</v>
      </c>
      <c r="AZ60" s="54">
        <f t="shared" ref="AZ60" si="84">AY60-AZ61+AZ62</f>
        <v>1830</v>
      </c>
      <c r="BA60" s="54">
        <f t="shared" ref="BA60" si="85">AZ60-BA61+BA62</f>
        <v>1824</v>
      </c>
      <c r="BB60" s="54">
        <f t="shared" ref="BB60" si="86">BA60-BB61+BB62</f>
        <v>1818</v>
      </c>
      <c r="BC60" s="54">
        <f t="shared" ref="BC60" si="87">BB60-BC61+BC62</f>
        <v>1812</v>
      </c>
      <c r="BD60" s="54">
        <f t="shared" ref="BD60" si="88">BC60-BD61+BD62</f>
        <v>1803</v>
      </c>
      <c r="BE60" s="54">
        <f t="shared" ref="BE60" si="89">BD60-BE61+BE62</f>
        <v>1797</v>
      </c>
      <c r="BF60" s="54">
        <f t="shared" ref="BF60" si="90">BE60-BF61+BF62</f>
        <v>1791</v>
      </c>
      <c r="BG60" s="54">
        <f t="shared" ref="BG60" si="91">BF60-BG61+BG62</f>
        <v>1785</v>
      </c>
      <c r="BH60" s="54">
        <f t="shared" ref="BH60" si="92">BG60-BH61+BH62</f>
        <v>1779</v>
      </c>
      <c r="BI60" s="54">
        <f t="shared" ref="BI60" si="93">BH60-BI61+BI62</f>
        <v>1773</v>
      </c>
      <c r="BJ60" s="54">
        <f t="shared" ref="BJ60" si="94">BI60-BJ61+BJ62</f>
        <v>1767</v>
      </c>
      <c r="BK60" s="54">
        <f t="shared" ref="BK60" si="95">BJ60-BK61+BK62</f>
        <v>1761</v>
      </c>
      <c r="BL60" s="54">
        <f t="shared" ref="BL60" si="96">BK60-BL61+BL62</f>
        <v>1755</v>
      </c>
      <c r="BM60" s="54">
        <f t="shared" ref="BM60" si="97">BL60-BM61+BM62</f>
        <v>1749</v>
      </c>
      <c r="BN60" s="54">
        <f t="shared" ref="BN60" si="98">BM60-BN61+BN62</f>
        <v>1743</v>
      </c>
      <c r="BO60" s="54">
        <f t="shared" ref="BO60" si="99">BN60-BO61+BO62</f>
        <v>1737</v>
      </c>
      <c r="BP60" s="54">
        <f t="shared" ref="BP60" si="100">BO60-BP61+BP62</f>
        <v>1731</v>
      </c>
      <c r="BQ60" s="54">
        <f t="shared" ref="BQ60" si="101">BP60-BQ61+BQ62</f>
        <v>1725</v>
      </c>
      <c r="BR60" s="55">
        <f t="shared" ref="BR60" si="102">BQ60-BR61+BR62</f>
        <v>1719</v>
      </c>
      <c r="BX60" s="22"/>
      <c r="CA60" s="31"/>
    </row>
    <row r="61" spans="1:83" ht="12.75" hidden="1" outlineLevel="1" x14ac:dyDescent="0.2">
      <c r="A61" s="23"/>
      <c r="B61" s="24"/>
      <c r="C61" s="24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6" t="s">
        <v>8</v>
      </c>
      <c r="AY61" s="47">
        <f t="shared" ref="AY61" si="103">$I60*AY$3+$J60*AY$4+$K60*AY$5</f>
        <v>14</v>
      </c>
      <c r="AZ61" s="48">
        <f t="shared" ref="AZ61" si="104">$I60*AZ$3+$J60*AZ$4+$K60*AZ$5</f>
        <v>6</v>
      </c>
      <c r="BA61" s="48">
        <f t="shared" ref="BA61" si="105">$I60*BA$3+$J60*BA$4+$K60*BA$5</f>
        <v>6</v>
      </c>
      <c r="BB61" s="48">
        <f t="shared" ref="BB61" si="106">$I60*BB$3+$J60*BB$4+$K60*BB$5</f>
        <v>6</v>
      </c>
      <c r="BC61" s="48">
        <f t="shared" ref="BC61" si="107">$I60*BC$3+$J60*BC$4+$K60*BC$5</f>
        <v>6</v>
      </c>
      <c r="BD61" s="48">
        <f t="shared" ref="BD61" si="108">$I60*BD$3+$J60*BD$4+$K60*BD$5</f>
        <v>9</v>
      </c>
      <c r="BE61" s="48">
        <f t="shared" ref="BE61" si="109">$I60*BE$3+$J60*BE$4+$K60*BE$5</f>
        <v>6</v>
      </c>
      <c r="BF61" s="48">
        <f t="shared" ref="BF61" si="110">$I60*BF$3+$J60*BF$4+$K60*BF$5</f>
        <v>6</v>
      </c>
      <c r="BG61" s="48">
        <f t="shared" ref="BG61" si="111">$I60*BG$3+$J60*BG$4+$K60*BG$5</f>
        <v>6</v>
      </c>
      <c r="BH61" s="48">
        <f t="shared" ref="BH61" si="112">$I60*BH$3+$J60*BH$4+$K60*BH$5</f>
        <v>6</v>
      </c>
      <c r="BI61" s="48">
        <f t="shared" ref="BI61" si="113">$I60*BI$3+$J60*BI$4+$K60*BI$5</f>
        <v>6</v>
      </c>
      <c r="BJ61" s="48">
        <f t="shared" ref="BJ61" si="114">$I60*BJ$3+$J60*BJ$4+$K60*BJ$5</f>
        <v>6</v>
      </c>
      <c r="BK61" s="48">
        <f t="shared" ref="BK61" si="115">$I60*BK$3+$J60*BK$4+$K60*BK$5</f>
        <v>6</v>
      </c>
      <c r="BL61" s="48">
        <f t="shared" ref="BL61" si="116">$I60*BL$3+$J60*BL$4+$K60*BL$5</f>
        <v>6</v>
      </c>
      <c r="BM61" s="48">
        <f t="shared" ref="BM61" si="117">$I60*BM$3+$J60*BM$4+$K60*BM$5</f>
        <v>6</v>
      </c>
      <c r="BN61" s="48">
        <f t="shared" ref="BN61" si="118">$I60*BN$3+$J60*BN$4+$K60*BN$5</f>
        <v>6</v>
      </c>
      <c r="BO61" s="48">
        <f t="shared" ref="BO61" si="119">$I60*BO$3+$J60*BO$4+$K60*BO$5</f>
        <v>6</v>
      </c>
      <c r="BP61" s="48">
        <f t="shared" ref="BP61" si="120">$I60*BP$3+$J60*BP$4+$K60*BP$5</f>
        <v>6</v>
      </c>
      <c r="BQ61" s="48">
        <f t="shared" ref="BQ61" si="121">$I60*BQ$3+$J60*BQ$4+$K60*BQ$5</f>
        <v>6</v>
      </c>
      <c r="BR61" s="49">
        <f t="shared" ref="BR61" si="122">$I60*BR$3+$J60*BR$4+$K60*BR$5</f>
        <v>6</v>
      </c>
    </row>
    <row r="62" spans="1:83" ht="12.75" hidden="1" outlineLevel="1" x14ac:dyDescent="0.2">
      <c r="A62" s="27"/>
      <c r="B62" s="28"/>
      <c r="C62" s="28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30" t="s">
        <v>9</v>
      </c>
      <c r="AY62" s="50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  <c r="BQ62" s="51"/>
      <c r="BR62" s="52"/>
    </row>
    <row r="63" spans="1:83" ht="12.75" collapsed="1" x14ac:dyDescent="0.2">
      <c r="A63" s="20" t="s">
        <v>487</v>
      </c>
      <c r="B63" s="20" t="s">
        <v>15</v>
      </c>
      <c r="C63" s="20"/>
      <c r="D63" s="21" t="s">
        <v>482</v>
      </c>
      <c r="E63" s="21">
        <v>5</v>
      </c>
      <c r="F63" s="21">
        <f>SUMIF(stock_on_hand!A:A,A63,stock_on_hand!C:C)</f>
        <v>2490</v>
      </c>
      <c r="G63" s="21"/>
      <c r="H63" s="21" t="s">
        <v>11</v>
      </c>
      <c r="I63" s="21">
        <v>1</v>
      </c>
      <c r="J63" s="21">
        <v>1</v>
      </c>
      <c r="K63" s="21">
        <v>1</v>
      </c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38" t="str">
        <f>IF(G63&gt;0,IF(AY63&lt;(0.8*G63),"WARNING!!!",IF(AY63&lt;G63,"ORDER","OK")),IF((VLOOKUP(A63,A:BR,51+E63,0))&lt;0,"WARNING!!!",IF((VLOOKUP(A63,A:BR,51+ROUND(1.25*E63,0),0))&lt;0,"ORDER","OK")))</f>
        <v>OK</v>
      </c>
      <c r="AY63" s="53">
        <f t="shared" ref="AY63" si="123">F63-AY64+AY65</f>
        <v>2476</v>
      </c>
      <c r="AZ63" s="54">
        <f t="shared" ref="AZ63" si="124">AY63-AZ64+AZ65</f>
        <v>2470</v>
      </c>
      <c r="BA63" s="54">
        <f t="shared" ref="BA63" si="125">AZ63-BA64+BA65</f>
        <v>2464</v>
      </c>
      <c r="BB63" s="54">
        <f t="shared" ref="BB63" si="126">BA63-BB64+BB65</f>
        <v>2458</v>
      </c>
      <c r="BC63" s="54">
        <f t="shared" ref="BC63" si="127">BB63-BC64+BC65</f>
        <v>2452</v>
      </c>
      <c r="BD63" s="54">
        <f t="shared" ref="BD63" si="128">BC63-BD64+BD65</f>
        <v>2443</v>
      </c>
      <c r="BE63" s="54">
        <f t="shared" ref="BE63" si="129">BD63-BE64+BE65</f>
        <v>2437</v>
      </c>
      <c r="BF63" s="54">
        <f t="shared" ref="BF63" si="130">BE63-BF64+BF65</f>
        <v>2431</v>
      </c>
      <c r="BG63" s="54">
        <f t="shared" ref="BG63" si="131">BF63-BG64+BG65</f>
        <v>2425</v>
      </c>
      <c r="BH63" s="54">
        <f t="shared" ref="BH63" si="132">BG63-BH64+BH65</f>
        <v>2419</v>
      </c>
      <c r="BI63" s="54">
        <f t="shared" ref="BI63" si="133">BH63-BI64+BI65</f>
        <v>2413</v>
      </c>
      <c r="BJ63" s="54">
        <f t="shared" ref="BJ63" si="134">BI63-BJ64+BJ65</f>
        <v>2407</v>
      </c>
      <c r="BK63" s="54">
        <f t="shared" ref="BK63" si="135">BJ63-BK64+BK65</f>
        <v>2401</v>
      </c>
      <c r="BL63" s="54">
        <f t="shared" ref="BL63" si="136">BK63-BL64+BL65</f>
        <v>2395</v>
      </c>
      <c r="BM63" s="54">
        <f t="shared" ref="BM63" si="137">BL63-BM64+BM65</f>
        <v>2389</v>
      </c>
      <c r="BN63" s="54">
        <f t="shared" ref="BN63" si="138">BM63-BN64+BN65</f>
        <v>2383</v>
      </c>
      <c r="BO63" s="54">
        <f t="shared" ref="BO63" si="139">BN63-BO64+BO65</f>
        <v>2377</v>
      </c>
      <c r="BP63" s="54">
        <f t="shared" ref="BP63" si="140">BO63-BP64+BP65</f>
        <v>2371</v>
      </c>
      <c r="BQ63" s="54">
        <f t="shared" ref="BQ63" si="141">BP63-BQ64+BQ65</f>
        <v>2365</v>
      </c>
      <c r="BR63" s="55">
        <f t="shared" ref="BR63" si="142">BQ63-BR64+BR65</f>
        <v>2359</v>
      </c>
      <c r="BX63" s="22"/>
    </row>
    <row r="64" spans="1:83" ht="12.75" hidden="1" outlineLevel="1" x14ac:dyDescent="0.2">
      <c r="A64" s="23"/>
      <c r="B64" s="24"/>
      <c r="C64" s="24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6" t="s">
        <v>8</v>
      </c>
      <c r="AY64" s="47">
        <f t="shared" ref="AY64" si="143">$I63*AY$3+$J63*AY$4+$K63*AY$5</f>
        <v>14</v>
      </c>
      <c r="AZ64" s="48">
        <f t="shared" ref="AZ64" si="144">$I63*AZ$3+$J63*AZ$4+$K63*AZ$5</f>
        <v>6</v>
      </c>
      <c r="BA64" s="48">
        <f t="shared" ref="BA64" si="145">$I63*BA$3+$J63*BA$4+$K63*BA$5</f>
        <v>6</v>
      </c>
      <c r="BB64" s="48">
        <f t="shared" ref="BB64" si="146">$I63*BB$3+$J63*BB$4+$K63*BB$5</f>
        <v>6</v>
      </c>
      <c r="BC64" s="48">
        <f t="shared" ref="BC64" si="147">$I63*BC$3+$J63*BC$4+$K63*BC$5</f>
        <v>6</v>
      </c>
      <c r="BD64" s="48">
        <f t="shared" ref="BD64" si="148">$I63*BD$3+$J63*BD$4+$K63*BD$5</f>
        <v>9</v>
      </c>
      <c r="BE64" s="48">
        <f t="shared" ref="BE64" si="149">$I63*BE$3+$J63*BE$4+$K63*BE$5</f>
        <v>6</v>
      </c>
      <c r="BF64" s="48">
        <f t="shared" ref="BF64" si="150">$I63*BF$3+$J63*BF$4+$K63*BF$5</f>
        <v>6</v>
      </c>
      <c r="BG64" s="48">
        <f t="shared" ref="BG64" si="151">$I63*BG$3+$J63*BG$4+$K63*BG$5</f>
        <v>6</v>
      </c>
      <c r="BH64" s="48">
        <f t="shared" ref="BH64" si="152">$I63*BH$3+$J63*BH$4+$K63*BH$5</f>
        <v>6</v>
      </c>
      <c r="BI64" s="48">
        <f t="shared" ref="BI64" si="153">$I63*BI$3+$J63*BI$4+$K63*BI$5</f>
        <v>6</v>
      </c>
      <c r="BJ64" s="48">
        <f t="shared" ref="BJ64" si="154">$I63*BJ$3+$J63*BJ$4+$K63*BJ$5</f>
        <v>6</v>
      </c>
      <c r="BK64" s="48">
        <f t="shared" ref="BK64" si="155">$I63*BK$3+$J63*BK$4+$K63*BK$5</f>
        <v>6</v>
      </c>
      <c r="BL64" s="48">
        <f t="shared" ref="BL64" si="156">$I63*BL$3+$J63*BL$4+$K63*BL$5</f>
        <v>6</v>
      </c>
      <c r="BM64" s="48">
        <f t="shared" ref="BM64" si="157">$I63*BM$3+$J63*BM$4+$K63*BM$5</f>
        <v>6</v>
      </c>
      <c r="BN64" s="48">
        <f t="shared" ref="BN64" si="158">$I63*BN$3+$J63*BN$4+$K63*BN$5</f>
        <v>6</v>
      </c>
      <c r="BO64" s="48">
        <f t="shared" ref="BO64" si="159">$I63*BO$3+$J63*BO$4+$K63*BO$5</f>
        <v>6</v>
      </c>
      <c r="BP64" s="48">
        <f t="shared" ref="BP64" si="160">$I63*BP$3+$J63*BP$4+$K63*BP$5</f>
        <v>6</v>
      </c>
      <c r="BQ64" s="48">
        <f t="shared" ref="BQ64" si="161">$I63*BQ$3+$J63*BQ$4+$K63*BQ$5</f>
        <v>6</v>
      </c>
      <c r="BR64" s="49">
        <f t="shared" ref="BR64" si="162">$I63*BR$3+$J63*BR$4+$K63*BR$5</f>
        <v>6</v>
      </c>
    </row>
    <row r="65" spans="1:76" ht="12.75" hidden="1" outlineLevel="1" x14ac:dyDescent="0.2">
      <c r="A65" s="27"/>
      <c r="B65" s="28"/>
      <c r="C65" s="28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30" t="s">
        <v>9</v>
      </c>
      <c r="AY65" s="50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2"/>
    </row>
    <row r="66" spans="1:76" ht="12.75" collapsed="1" x14ac:dyDescent="0.2">
      <c r="A66" s="20" t="s">
        <v>491</v>
      </c>
      <c r="B66" s="20" t="s">
        <v>16</v>
      </c>
      <c r="C66" s="20"/>
      <c r="D66" s="21" t="s">
        <v>482</v>
      </c>
      <c r="E66" s="21">
        <v>5</v>
      </c>
      <c r="F66" s="21">
        <f>SUMIF(stock_on_hand!A:A,A66,stock_on_hand!C:C)</f>
        <v>3600</v>
      </c>
      <c r="G66" s="21"/>
      <c r="H66" s="21" t="s">
        <v>11</v>
      </c>
      <c r="I66" s="21">
        <v>2</v>
      </c>
      <c r="J66" s="21">
        <v>2</v>
      </c>
      <c r="K66" s="21">
        <v>0</v>
      </c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38" t="str">
        <f>IF(G66&gt;0,IF(AY66&lt;(0.8*G66),"WARNING!!!",IF(AY66&lt;G66,"ORDER","OK")),IF((VLOOKUP(A66,A:BR,51+E66,0))&lt;0,"WARNING!!!",IF((VLOOKUP(A66,A:BR,51+ROUND(1.25*E66,0),0))&lt;0,"ORDER","OK")))</f>
        <v>OK</v>
      </c>
      <c r="AY66" s="53">
        <f t="shared" ref="AY66" si="163">F66-AY67+AY68</f>
        <v>3576</v>
      </c>
      <c r="AZ66" s="54">
        <f t="shared" ref="AZ66" si="164">AY66-AZ67+AZ68</f>
        <v>3568</v>
      </c>
      <c r="BA66" s="54">
        <f t="shared" ref="BA66" si="165">AZ66-BA67+BA68</f>
        <v>3560</v>
      </c>
      <c r="BB66" s="54">
        <f t="shared" ref="BB66" si="166">BA66-BB67+BB68</f>
        <v>3552</v>
      </c>
      <c r="BC66" s="54">
        <f t="shared" ref="BC66" si="167">BB66-BC67+BC68</f>
        <v>3544</v>
      </c>
      <c r="BD66" s="54">
        <f t="shared" ref="BD66" si="168">BC66-BD67+BD68</f>
        <v>3530</v>
      </c>
      <c r="BE66" s="54">
        <f t="shared" ref="BE66" si="169">BD66-BE67+BE68</f>
        <v>3522</v>
      </c>
      <c r="BF66" s="54">
        <f t="shared" ref="BF66" si="170">BE66-BF67+BF68</f>
        <v>3514</v>
      </c>
      <c r="BG66" s="54">
        <f t="shared" ref="BG66" si="171">BF66-BG67+BG68</f>
        <v>3506</v>
      </c>
      <c r="BH66" s="54">
        <f t="shared" ref="BH66" si="172">BG66-BH67+BH68</f>
        <v>3498</v>
      </c>
      <c r="BI66" s="54">
        <f t="shared" ref="BI66" si="173">BH66-BI67+BI68</f>
        <v>3490</v>
      </c>
      <c r="BJ66" s="54">
        <f t="shared" ref="BJ66" si="174">BI66-BJ67+BJ68</f>
        <v>3482</v>
      </c>
      <c r="BK66" s="54">
        <f t="shared" ref="BK66" si="175">BJ66-BK67+BK68</f>
        <v>3474</v>
      </c>
      <c r="BL66" s="54">
        <f t="shared" ref="BL66" si="176">BK66-BL67+BL68</f>
        <v>3466</v>
      </c>
      <c r="BM66" s="54">
        <f t="shared" ref="BM66" si="177">BL66-BM67+BM68</f>
        <v>3458</v>
      </c>
      <c r="BN66" s="54">
        <f t="shared" ref="BN66" si="178">BM66-BN67+BN68</f>
        <v>3450</v>
      </c>
      <c r="BO66" s="54">
        <f t="shared" ref="BO66" si="179">BN66-BO67+BO68</f>
        <v>3442</v>
      </c>
      <c r="BP66" s="54">
        <f t="shared" ref="BP66" si="180">BO66-BP67+BP68</f>
        <v>3434</v>
      </c>
      <c r="BQ66" s="54">
        <f t="shared" ref="BQ66" si="181">BP66-BQ67+BQ68</f>
        <v>3426</v>
      </c>
      <c r="BR66" s="55">
        <f t="shared" ref="BR66" si="182">BQ66-BR67+BR68</f>
        <v>3418</v>
      </c>
      <c r="BX66" s="22"/>
    </row>
    <row r="67" spans="1:76" ht="12.75" hidden="1" outlineLevel="1" x14ac:dyDescent="0.2">
      <c r="A67" s="23"/>
      <c r="B67" s="24"/>
      <c r="C67" s="24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6" t="s">
        <v>8</v>
      </c>
      <c r="AY67" s="47">
        <f t="shared" ref="AY67" si="183">$I66*AY$3+$J66*AY$4+$K66*AY$5</f>
        <v>24</v>
      </c>
      <c r="AZ67" s="48">
        <f t="shared" ref="AZ67" si="184">$I66*AZ$3+$J66*AZ$4+$K66*AZ$5</f>
        <v>8</v>
      </c>
      <c r="BA67" s="48">
        <f t="shared" ref="BA67" si="185">$I66*BA$3+$J66*BA$4+$K66*BA$5</f>
        <v>8</v>
      </c>
      <c r="BB67" s="48">
        <f t="shared" ref="BB67" si="186">$I66*BB$3+$J66*BB$4+$K66*BB$5</f>
        <v>8</v>
      </c>
      <c r="BC67" s="48">
        <f t="shared" ref="BC67" si="187">$I66*BC$3+$J66*BC$4+$K66*BC$5</f>
        <v>8</v>
      </c>
      <c r="BD67" s="48">
        <f t="shared" ref="BD67" si="188">$I66*BD$3+$J66*BD$4+$K66*BD$5</f>
        <v>14</v>
      </c>
      <c r="BE67" s="48">
        <f t="shared" ref="BE67" si="189">$I66*BE$3+$J66*BE$4+$K66*BE$5</f>
        <v>8</v>
      </c>
      <c r="BF67" s="48">
        <f t="shared" ref="BF67" si="190">$I66*BF$3+$J66*BF$4+$K66*BF$5</f>
        <v>8</v>
      </c>
      <c r="BG67" s="48">
        <f t="shared" ref="BG67" si="191">$I66*BG$3+$J66*BG$4+$K66*BG$5</f>
        <v>8</v>
      </c>
      <c r="BH67" s="48">
        <f t="shared" ref="BH67" si="192">$I66*BH$3+$J66*BH$4+$K66*BH$5</f>
        <v>8</v>
      </c>
      <c r="BI67" s="48">
        <f t="shared" ref="BI67" si="193">$I66*BI$3+$J66*BI$4+$K66*BI$5</f>
        <v>8</v>
      </c>
      <c r="BJ67" s="48">
        <f t="shared" ref="BJ67" si="194">$I66*BJ$3+$J66*BJ$4+$K66*BJ$5</f>
        <v>8</v>
      </c>
      <c r="BK67" s="48">
        <f t="shared" ref="BK67" si="195">$I66*BK$3+$J66*BK$4+$K66*BK$5</f>
        <v>8</v>
      </c>
      <c r="BL67" s="48">
        <f t="shared" ref="BL67" si="196">$I66*BL$3+$J66*BL$4+$K66*BL$5</f>
        <v>8</v>
      </c>
      <c r="BM67" s="48">
        <f t="shared" ref="BM67" si="197">$I66*BM$3+$J66*BM$4+$K66*BM$5</f>
        <v>8</v>
      </c>
      <c r="BN67" s="48">
        <f t="shared" ref="BN67" si="198">$I66*BN$3+$J66*BN$4+$K66*BN$5</f>
        <v>8</v>
      </c>
      <c r="BO67" s="48">
        <f t="shared" ref="BO67" si="199">$I66*BO$3+$J66*BO$4+$K66*BO$5</f>
        <v>8</v>
      </c>
      <c r="BP67" s="48">
        <f t="shared" ref="BP67" si="200">$I66*BP$3+$J66*BP$4+$K66*BP$5</f>
        <v>8</v>
      </c>
      <c r="BQ67" s="48">
        <f t="shared" ref="BQ67" si="201">$I66*BQ$3+$J66*BQ$4+$K66*BQ$5</f>
        <v>8</v>
      </c>
      <c r="BR67" s="49">
        <f t="shared" ref="BR67" si="202">$I66*BR$3+$J66*BR$4+$K66*BR$5</f>
        <v>8</v>
      </c>
    </row>
    <row r="68" spans="1:76" ht="12.75" hidden="1" outlineLevel="1" x14ac:dyDescent="0.2">
      <c r="A68" s="27"/>
      <c r="B68" s="28"/>
      <c r="C68" s="28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30" t="s">
        <v>9</v>
      </c>
      <c r="AY68" s="50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51"/>
      <c r="BK68" s="51"/>
      <c r="BL68" s="51"/>
      <c r="BM68" s="51"/>
      <c r="BN68" s="51"/>
      <c r="BO68" s="51"/>
      <c r="BP68" s="51"/>
      <c r="BQ68" s="51"/>
      <c r="BR68" s="52"/>
    </row>
    <row r="69" spans="1:76" ht="12.75" collapsed="1" x14ac:dyDescent="0.2">
      <c r="A69" s="20" t="s">
        <v>499</v>
      </c>
      <c r="B69" s="20" t="s">
        <v>17</v>
      </c>
      <c r="C69" s="20"/>
      <c r="D69" s="21" t="s">
        <v>482</v>
      </c>
      <c r="E69" s="21">
        <v>5</v>
      </c>
      <c r="F69" s="21">
        <f>SUMIF(stock_on_hand!A:A,A69,stock_on_hand!C:C)</f>
        <v>960</v>
      </c>
      <c r="G69" s="21">
        <v>200</v>
      </c>
      <c r="H69" s="21" t="s">
        <v>11</v>
      </c>
      <c r="I69" s="21">
        <v>0.8</v>
      </c>
      <c r="J69" s="21">
        <v>0.35</v>
      </c>
      <c r="K69" s="21">
        <v>0.75</v>
      </c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38" t="str">
        <f>IF(G69&gt;0,IF(AY69&lt;(0.8*G69),"WARNING!!!",IF(AY69&lt;G69,"ORDER","OK")),IF((VLOOKUP(A69,A:BR,51+E69,0))&lt;0,"WARNING!!!",IF((VLOOKUP(A69,A:BR,51+ROUND(1.25*E69,0),0))&lt;0,"ORDER","OK")))</f>
        <v>OK</v>
      </c>
      <c r="AY69" s="53">
        <f t="shared" ref="AY69" si="203">F69-AY70+AY71</f>
        <v>949.8</v>
      </c>
      <c r="AZ69" s="54">
        <f t="shared" ref="AZ69" si="204">AY69-AZ70+AZ71</f>
        <v>946</v>
      </c>
      <c r="BA69" s="54">
        <f t="shared" ref="BA69" si="205">AZ69-BA70+BA71</f>
        <v>942.2</v>
      </c>
      <c r="BB69" s="54">
        <f t="shared" ref="BB69" si="206">BA69-BB70+BB71</f>
        <v>938.40000000000009</v>
      </c>
      <c r="BC69" s="54">
        <f t="shared" ref="BC69" si="207">BB69-BC70+BC71</f>
        <v>934.60000000000014</v>
      </c>
      <c r="BD69" s="54">
        <f t="shared" ref="BD69" si="208">BC69-BD70+BD71</f>
        <v>929.75000000000011</v>
      </c>
      <c r="BE69" s="54">
        <f t="shared" ref="BE69" si="209">BD69-BE70+BE71</f>
        <v>925.95000000000016</v>
      </c>
      <c r="BF69" s="54">
        <f t="shared" ref="BF69" si="210">BE69-BF70+BF71</f>
        <v>922.1500000000002</v>
      </c>
      <c r="BG69" s="54">
        <f t="shared" ref="BG69" si="211">BF69-BG70+BG71</f>
        <v>918.35000000000025</v>
      </c>
      <c r="BH69" s="54">
        <f t="shared" ref="BH69" si="212">BG69-BH70+BH71</f>
        <v>914.5500000000003</v>
      </c>
      <c r="BI69" s="54">
        <f t="shared" ref="BI69" si="213">BH69-BI70+BI71</f>
        <v>910.75000000000034</v>
      </c>
      <c r="BJ69" s="54">
        <f t="shared" ref="BJ69" si="214">BI69-BJ70+BJ71</f>
        <v>906.95000000000039</v>
      </c>
      <c r="BK69" s="54">
        <f t="shared" ref="BK69" si="215">BJ69-BK70+BK71</f>
        <v>903.15000000000043</v>
      </c>
      <c r="BL69" s="54">
        <f t="shared" ref="BL69" si="216">BK69-BL70+BL71</f>
        <v>899.35000000000048</v>
      </c>
      <c r="BM69" s="54">
        <f t="shared" ref="BM69" si="217">BL69-BM70+BM71</f>
        <v>895.55000000000052</v>
      </c>
      <c r="BN69" s="54">
        <f t="shared" ref="BN69" si="218">BM69-BN70+BN71</f>
        <v>891.75000000000057</v>
      </c>
      <c r="BO69" s="54">
        <f t="shared" ref="BO69" si="219">BN69-BO70+BO71</f>
        <v>887.95000000000061</v>
      </c>
      <c r="BP69" s="54">
        <f t="shared" ref="BP69" si="220">BO69-BP70+BP71</f>
        <v>884.15000000000066</v>
      </c>
      <c r="BQ69" s="54">
        <f t="shared" ref="BQ69" si="221">BP69-BQ70+BQ71</f>
        <v>880.3500000000007</v>
      </c>
      <c r="BR69" s="55">
        <f t="shared" ref="BR69" si="222">BQ69-BR70+BR71</f>
        <v>876.55000000000075</v>
      </c>
      <c r="BX69" s="22"/>
    </row>
    <row r="70" spans="1:76" ht="12.75" hidden="1" outlineLevel="1" x14ac:dyDescent="0.2">
      <c r="A70" s="23"/>
      <c r="B70" s="24"/>
      <c r="C70" s="24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6" t="s">
        <v>8</v>
      </c>
      <c r="AY70" s="47">
        <f t="shared" ref="AY70" si="223">$I69*AY$3+$J69*AY$4+$K69*AY$5</f>
        <v>10.199999999999999</v>
      </c>
      <c r="AZ70" s="48">
        <f t="shared" ref="AZ70" si="224">$I69*AZ$3+$J69*AZ$4+$K69*AZ$5</f>
        <v>3.8</v>
      </c>
      <c r="BA70" s="48">
        <f t="shared" ref="BA70" si="225">$I69*BA$3+$J69*BA$4+$K69*BA$5</f>
        <v>3.8</v>
      </c>
      <c r="BB70" s="48">
        <f t="shared" ref="BB70" si="226">$I69*BB$3+$J69*BB$4+$K69*BB$5</f>
        <v>3.8</v>
      </c>
      <c r="BC70" s="48">
        <f t="shared" ref="BC70" si="227">$I69*BC$3+$J69*BC$4+$K69*BC$5</f>
        <v>3.8</v>
      </c>
      <c r="BD70" s="48">
        <f t="shared" ref="BD70" si="228">$I69*BD$3+$J69*BD$4+$K69*BD$5</f>
        <v>4.8499999999999996</v>
      </c>
      <c r="BE70" s="48">
        <f t="shared" ref="BE70" si="229">$I69*BE$3+$J69*BE$4+$K69*BE$5</f>
        <v>3.8</v>
      </c>
      <c r="BF70" s="48">
        <f t="shared" ref="BF70" si="230">$I69*BF$3+$J69*BF$4+$K69*BF$5</f>
        <v>3.8</v>
      </c>
      <c r="BG70" s="48">
        <f t="shared" ref="BG70" si="231">$I69*BG$3+$J69*BG$4+$K69*BG$5</f>
        <v>3.8</v>
      </c>
      <c r="BH70" s="48">
        <f t="shared" ref="BH70" si="232">$I69*BH$3+$J69*BH$4+$K69*BH$5</f>
        <v>3.8</v>
      </c>
      <c r="BI70" s="48">
        <f t="shared" ref="BI70" si="233">$I69*BI$3+$J69*BI$4+$K69*BI$5</f>
        <v>3.8</v>
      </c>
      <c r="BJ70" s="48">
        <f t="shared" ref="BJ70" si="234">$I69*BJ$3+$J69*BJ$4+$K69*BJ$5</f>
        <v>3.8</v>
      </c>
      <c r="BK70" s="48">
        <f t="shared" ref="BK70" si="235">$I69*BK$3+$J69*BK$4+$K69*BK$5</f>
        <v>3.8</v>
      </c>
      <c r="BL70" s="48">
        <f t="shared" ref="BL70" si="236">$I69*BL$3+$J69*BL$4+$K69*BL$5</f>
        <v>3.8</v>
      </c>
      <c r="BM70" s="48">
        <f t="shared" ref="BM70" si="237">$I69*BM$3+$J69*BM$4+$K69*BM$5</f>
        <v>3.8</v>
      </c>
      <c r="BN70" s="48">
        <f t="shared" ref="BN70" si="238">$I69*BN$3+$J69*BN$4+$K69*BN$5</f>
        <v>3.8</v>
      </c>
      <c r="BO70" s="48">
        <f t="shared" ref="BO70" si="239">$I69*BO$3+$J69*BO$4+$K69*BO$5</f>
        <v>3.8</v>
      </c>
      <c r="BP70" s="48">
        <f t="shared" ref="BP70" si="240">$I69*BP$3+$J69*BP$4+$K69*BP$5</f>
        <v>3.8</v>
      </c>
      <c r="BQ70" s="48">
        <f t="shared" ref="BQ70" si="241">$I69*BQ$3+$J69*BQ$4+$K69*BQ$5</f>
        <v>3.8</v>
      </c>
      <c r="BR70" s="49">
        <f t="shared" ref="BR70" si="242">$I69*BR$3+$J69*BR$4+$K69*BR$5</f>
        <v>3.8</v>
      </c>
    </row>
    <row r="71" spans="1:76" ht="12.75" hidden="1" outlineLevel="1" x14ac:dyDescent="0.2">
      <c r="A71" s="27"/>
      <c r="B71" s="28"/>
      <c r="C71" s="28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30" t="s">
        <v>9</v>
      </c>
      <c r="AY71" s="50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2"/>
    </row>
    <row r="72" spans="1:76" ht="12.75" collapsed="1" x14ac:dyDescent="0.2">
      <c r="A72" s="20" t="s">
        <v>500</v>
      </c>
      <c r="B72" s="20" t="s">
        <v>18</v>
      </c>
      <c r="C72" s="20"/>
      <c r="D72" s="21" t="s">
        <v>482</v>
      </c>
      <c r="E72" s="21">
        <v>5</v>
      </c>
      <c r="F72" s="21">
        <f>SUMIF(stock_on_hand!A:A,A72,stock_on_hand!C:C)</f>
        <v>4006</v>
      </c>
      <c r="G72" s="21"/>
      <c r="H72" s="21" t="s">
        <v>11</v>
      </c>
      <c r="I72" s="21">
        <v>2</v>
      </c>
      <c r="J72" s="21">
        <v>1</v>
      </c>
      <c r="K72" s="21">
        <v>2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38" t="str">
        <f>IF(G72&gt;0,IF(AY72&lt;(0.8*G72),"WARNING!!!",IF(AY72&lt;G72,"ORDER","OK")),IF((VLOOKUP(A72,A:BR,51+E72,0))&lt;0,"WARNING!!!",IF((VLOOKUP(A72,A:BR,51+ROUND(1.25*E72,0),0))&lt;0,"ORDER","OK")))</f>
        <v>OK</v>
      </c>
      <c r="AY72" s="53">
        <f t="shared" ref="AY72" si="243">F72-AY73+AY74</f>
        <v>3980</v>
      </c>
      <c r="AZ72" s="54">
        <f t="shared" ref="AZ72" si="244">AY72-AZ73+AZ74</f>
        <v>3970</v>
      </c>
      <c r="BA72" s="54">
        <f t="shared" ref="BA72" si="245">AZ72-BA73+BA74</f>
        <v>3960</v>
      </c>
      <c r="BB72" s="54">
        <f t="shared" ref="BB72" si="246">BA72-BB73+BB74</f>
        <v>3950</v>
      </c>
      <c r="BC72" s="54">
        <f t="shared" ref="BC72" si="247">BB72-BC73+BC74</f>
        <v>3940</v>
      </c>
      <c r="BD72" s="54">
        <f t="shared" ref="BD72" si="248">BC72-BD73+BD74</f>
        <v>3927</v>
      </c>
      <c r="BE72" s="54">
        <f t="shared" ref="BE72" si="249">BD72-BE73+BE74</f>
        <v>3917</v>
      </c>
      <c r="BF72" s="54">
        <f t="shared" ref="BF72" si="250">BE72-BF73+BF74</f>
        <v>3907</v>
      </c>
      <c r="BG72" s="54">
        <f t="shared" ref="BG72" si="251">BF72-BG73+BG74</f>
        <v>3897</v>
      </c>
      <c r="BH72" s="54">
        <f t="shared" ref="BH72" si="252">BG72-BH73+BH74</f>
        <v>3887</v>
      </c>
      <c r="BI72" s="54">
        <f t="shared" ref="BI72" si="253">BH72-BI73+BI74</f>
        <v>3877</v>
      </c>
      <c r="BJ72" s="54">
        <f t="shared" ref="BJ72" si="254">BI72-BJ73+BJ74</f>
        <v>3867</v>
      </c>
      <c r="BK72" s="54">
        <f t="shared" ref="BK72" si="255">BJ72-BK73+BK74</f>
        <v>3857</v>
      </c>
      <c r="BL72" s="54">
        <f t="shared" ref="BL72" si="256">BK72-BL73+BL74</f>
        <v>3847</v>
      </c>
      <c r="BM72" s="54">
        <f t="shared" ref="BM72" si="257">BL72-BM73+BM74</f>
        <v>3837</v>
      </c>
      <c r="BN72" s="54">
        <f t="shared" ref="BN72" si="258">BM72-BN73+BN74</f>
        <v>3827</v>
      </c>
      <c r="BO72" s="54">
        <f t="shared" ref="BO72" si="259">BN72-BO73+BO74</f>
        <v>3817</v>
      </c>
      <c r="BP72" s="54">
        <f t="shared" ref="BP72" si="260">BO72-BP73+BP74</f>
        <v>3807</v>
      </c>
      <c r="BQ72" s="54">
        <f t="shared" ref="BQ72" si="261">BP72-BQ73+BQ74</f>
        <v>3797</v>
      </c>
      <c r="BR72" s="55">
        <f t="shared" ref="BR72" si="262">BQ72-BR73+BR74</f>
        <v>3787</v>
      </c>
      <c r="BX72" s="22"/>
    </row>
    <row r="73" spans="1:76" ht="12.75" hidden="1" outlineLevel="1" x14ac:dyDescent="0.2">
      <c r="A73" s="23"/>
      <c r="B73" s="24"/>
      <c r="C73" s="24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6" t="s">
        <v>8</v>
      </c>
      <c r="AY73" s="47">
        <f t="shared" ref="AY73" si="263">$I72*AY$3+$J72*AY$4+$K72*AY$5</f>
        <v>26</v>
      </c>
      <c r="AZ73" s="48">
        <f t="shared" ref="AZ73" si="264">$I72*AZ$3+$J72*AZ$4+$K72*AZ$5</f>
        <v>10</v>
      </c>
      <c r="BA73" s="48">
        <f t="shared" ref="BA73" si="265">$I72*BA$3+$J72*BA$4+$K72*BA$5</f>
        <v>10</v>
      </c>
      <c r="BB73" s="48">
        <f t="shared" ref="BB73" si="266">$I72*BB$3+$J72*BB$4+$K72*BB$5</f>
        <v>10</v>
      </c>
      <c r="BC73" s="48">
        <f t="shared" ref="BC73" si="267">$I72*BC$3+$J72*BC$4+$K72*BC$5</f>
        <v>10</v>
      </c>
      <c r="BD73" s="48">
        <f t="shared" ref="BD73" si="268">$I72*BD$3+$J72*BD$4+$K72*BD$5</f>
        <v>13</v>
      </c>
      <c r="BE73" s="48">
        <f t="shared" ref="BE73" si="269">$I72*BE$3+$J72*BE$4+$K72*BE$5</f>
        <v>10</v>
      </c>
      <c r="BF73" s="48">
        <f t="shared" ref="BF73" si="270">$I72*BF$3+$J72*BF$4+$K72*BF$5</f>
        <v>10</v>
      </c>
      <c r="BG73" s="48">
        <f t="shared" ref="BG73" si="271">$I72*BG$3+$J72*BG$4+$K72*BG$5</f>
        <v>10</v>
      </c>
      <c r="BH73" s="48">
        <f t="shared" ref="BH73" si="272">$I72*BH$3+$J72*BH$4+$K72*BH$5</f>
        <v>10</v>
      </c>
      <c r="BI73" s="48">
        <f t="shared" ref="BI73" si="273">$I72*BI$3+$J72*BI$4+$K72*BI$5</f>
        <v>10</v>
      </c>
      <c r="BJ73" s="48">
        <f t="shared" ref="BJ73" si="274">$I72*BJ$3+$J72*BJ$4+$K72*BJ$5</f>
        <v>10</v>
      </c>
      <c r="BK73" s="48">
        <f t="shared" ref="BK73" si="275">$I72*BK$3+$J72*BK$4+$K72*BK$5</f>
        <v>10</v>
      </c>
      <c r="BL73" s="48">
        <f t="shared" ref="BL73" si="276">$I72*BL$3+$J72*BL$4+$K72*BL$5</f>
        <v>10</v>
      </c>
      <c r="BM73" s="48">
        <f t="shared" ref="BM73" si="277">$I72*BM$3+$J72*BM$4+$K72*BM$5</f>
        <v>10</v>
      </c>
      <c r="BN73" s="48">
        <f t="shared" ref="BN73" si="278">$I72*BN$3+$J72*BN$4+$K72*BN$5</f>
        <v>10</v>
      </c>
      <c r="BO73" s="48">
        <f t="shared" ref="BO73" si="279">$I72*BO$3+$J72*BO$4+$K72*BO$5</f>
        <v>10</v>
      </c>
      <c r="BP73" s="48">
        <f t="shared" ref="BP73" si="280">$I72*BP$3+$J72*BP$4+$K72*BP$5</f>
        <v>10</v>
      </c>
      <c r="BQ73" s="48">
        <f t="shared" ref="BQ73" si="281">$I72*BQ$3+$J72*BQ$4+$K72*BQ$5</f>
        <v>10</v>
      </c>
      <c r="BR73" s="49">
        <f t="shared" ref="BR73" si="282">$I72*BR$3+$J72*BR$4+$K72*BR$5</f>
        <v>10</v>
      </c>
    </row>
    <row r="74" spans="1:76" ht="12.75" hidden="1" outlineLevel="1" x14ac:dyDescent="0.2">
      <c r="A74" s="27"/>
      <c r="B74" s="28"/>
      <c r="C74" s="28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30" t="s">
        <v>9</v>
      </c>
      <c r="AY74" s="50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51"/>
      <c r="BM74" s="51"/>
      <c r="BN74" s="51"/>
      <c r="BO74" s="51"/>
      <c r="BP74" s="51"/>
      <c r="BQ74" s="51"/>
      <c r="BR74" s="52"/>
    </row>
    <row r="75" spans="1:76" ht="12.75" collapsed="1" x14ac:dyDescent="0.2">
      <c r="A75" s="20" t="s">
        <v>350</v>
      </c>
      <c r="B75" s="20" t="s">
        <v>130</v>
      </c>
      <c r="C75" s="20"/>
      <c r="D75" s="21" t="s">
        <v>351</v>
      </c>
      <c r="E75" s="21">
        <v>4</v>
      </c>
      <c r="F75" s="21">
        <f>SUMIF(stock_on_hand!A:A,A75,stock_on_hand!C:C)</f>
        <v>354</v>
      </c>
      <c r="G75" s="21"/>
      <c r="H75" s="21" t="s">
        <v>361</v>
      </c>
      <c r="I75" s="21">
        <v>0.25</v>
      </c>
      <c r="J75" s="21">
        <v>0.3</v>
      </c>
      <c r="K75" s="21">
        <v>0</v>
      </c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38" t="str">
        <f>IF(G75&gt;0,IF(AY75&lt;(0.8*G75),"WARNING!!!",IF(AY75&lt;G75,"ORDER","OK")),IF((VLOOKUP(A75,A:BR,51+E75,0))&lt;0,"WARNING!!!",IF((VLOOKUP(A75,A:BR,51+ROUND(1.25*E75,0),0))&lt;0,"ORDER","OK")))</f>
        <v>OK</v>
      </c>
      <c r="AY75" s="53">
        <f t="shared" ref="AY75" si="283">F75-AY76+AY77</f>
        <v>350.9</v>
      </c>
      <c r="AZ75" s="54">
        <f t="shared" ref="AZ75" si="284">AY75-AZ76+AZ77</f>
        <v>349.79999999999995</v>
      </c>
      <c r="BA75" s="54">
        <f t="shared" ref="BA75" si="285">AZ75-BA76+BA77</f>
        <v>348.69999999999993</v>
      </c>
      <c r="BB75" s="54">
        <f t="shared" ref="BB75" si="286">BA75-BB76+BB77</f>
        <v>347.59999999999991</v>
      </c>
      <c r="BC75" s="54">
        <f t="shared" ref="BC75" si="287">BB75-BC76+BC77</f>
        <v>346.49999999999989</v>
      </c>
      <c r="BD75" s="54">
        <f t="shared" ref="BD75" si="288">BC75-BD76+BD77</f>
        <v>344.49999999999989</v>
      </c>
      <c r="BE75" s="54">
        <f t="shared" ref="BE75" si="289">BD75-BE76+BE77</f>
        <v>343.39999999999986</v>
      </c>
      <c r="BF75" s="54">
        <f t="shared" ref="BF75" si="290">BE75-BF76+BF77</f>
        <v>342.29999999999984</v>
      </c>
      <c r="BG75" s="54">
        <f t="shared" ref="BG75" si="291">BF75-BG76+BG77</f>
        <v>341.19999999999982</v>
      </c>
      <c r="BH75" s="54">
        <f t="shared" ref="BH75" si="292">BG75-BH76+BH77</f>
        <v>340.0999999999998</v>
      </c>
      <c r="BI75" s="54">
        <f t="shared" ref="BI75" si="293">BH75-BI76+BI77</f>
        <v>338.99999999999977</v>
      </c>
      <c r="BJ75" s="54">
        <f t="shared" ref="BJ75" si="294">BI75-BJ76+BJ77</f>
        <v>337.89999999999975</v>
      </c>
      <c r="BK75" s="54">
        <f t="shared" ref="BK75" si="295">BJ75-BK76+BK77</f>
        <v>336.79999999999973</v>
      </c>
      <c r="BL75" s="54">
        <f t="shared" ref="BL75" si="296">BK75-BL76+BL77</f>
        <v>335.6999999999997</v>
      </c>
      <c r="BM75" s="54">
        <f t="shared" ref="BM75" si="297">BL75-BM76+BM77</f>
        <v>334.59999999999968</v>
      </c>
      <c r="BN75" s="54">
        <f t="shared" ref="BN75" si="298">BM75-BN76+BN77</f>
        <v>333.49999999999966</v>
      </c>
      <c r="BO75" s="54">
        <f t="shared" ref="BO75" si="299">BN75-BO76+BO77</f>
        <v>332.39999999999964</v>
      </c>
      <c r="BP75" s="54">
        <f t="shared" ref="BP75" si="300">BO75-BP76+BP77</f>
        <v>331.29999999999961</v>
      </c>
      <c r="BQ75" s="54">
        <f t="shared" ref="BQ75" si="301">BP75-BQ76+BQ77</f>
        <v>330.19999999999959</v>
      </c>
      <c r="BR75" s="55">
        <f t="shared" ref="BR75" si="302">BQ75-BR76+BR77</f>
        <v>329.09999999999957</v>
      </c>
      <c r="BX75" s="22"/>
    </row>
    <row r="76" spans="1:76" ht="12.75" hidden="1" outlineLevel="1" x14ac:dyDescent="0.2">
      <c r="A76" s="23"/>
      <c r="B76" s="24"/>
      <c r="C76" s="24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6" t="s">
        <v>8</v>
      </c>
      <c r="AY76" s="47">
        <f t="shared" ref="AY76" si="303">$I75*AY$3+$J75*AY$4+$K75*AY$5</f>
        <v>3.1</v>
      </c>
      <c r="AZ76" s="48">
        <f t="shared" ref="AZ76" si="304">$I75*AZ$3+$J75*AZ$4+$K75*AZ$5</f>
        <v>1.1000000000000001</v>
      </c>
      <c r="BA76" s="48">
        <f t="shared" ref="BA76" si="305">$I75*BA$3+$J75*BA$4+$K75*BA$5</f>
        <v>1.1000000000000001</v>
      </c>
      <c r="BB76" s="48">
        <f t="shared" ref="BB76" si="306">$I75*BB$3+$J75*BB$4+$K75*BB$5</f>
        <v>1.1000000000000001</v>
      </c>
      <c r="BC76" s="48">
        <f t="shared" ref="BC76" si="307">$I75*BC$3+$J75*BC$4+$K75*BC$5</f>
        <v>1.1000000000000001</v>
      </c>
      <c r="BD76" s="48">
        <f t="shared" ref="BD76" si="308">$I75*BD$3+$J75*BD$4+$K75*BD$5</f>
        <v>2</v>
      </c>
      <c r="BE76" s="48">
        <f t="shared" ref="BE76" si="309">$I75*BE$3+$J75*BE$4+$K75*BE$5</f>
        <v>1.1000000000000001</v>
      </c>
      <c r="BF76" s="48">
        <f t="shared" ref="BF76" si="310">$I75*BF$3+$J75*BF$4+$K75*BF$5</f>
        <v>1.1000000000000001</v>
      </c>
      <c r="BG76" s="48">
        <f t="shared" ref="BG76" si="311">$I75*BG$3+$J75*BG$4+$K75*BG$5</f>
        <v>1.1000000000000001</v>
      </c>
      <c r="BH76" s="48">
        <f t="shared" ref="BH76" si="312">$I75*BH$3+$J75*BH$4+$K75*BH$5</f>
        <v>1.1000000000000001</v>
      </c>
      <c r="BI76" s="48">
        <f t="shared" ref="BI76" si="313">$I75*BI$3+$J75*BI$4+$K75*BI$5</f>
        <v>1.1000000000000001</v>
      </c>
      <c r="BJ76" s="48">
        <f t="shared" ref="BJ76" si="314">$I75*BJ$3+$J75*BJ$4+$K75*BJ$5</f>
        <v>1.1000000000000001</v>
      </c>
      <c r="BK76" s="48">
        <f t="shared" ref="BK76" si="315">$I75*BK$3+$J75*BK$4+$K75*BK$5</f>
        <v>1.1000000000000001</v>
      </c>
      <c r="BL76" s="48">
        <f t="shared" ref="BL76" si="316">$I75*BL$3+$J75*BL$4+$K75*BL$5</f>
        <v>1.1000000000000001</v>
      </c>
      <c r="BM76" s="48">
        <f t="shared" ref="BM76" si="317">$I75*BM$3+$J75*BM$4+$K75*BM$5</f>
        <v>1.1000000000000001</v>
      </c>
      <c r="BN76" s="48">
        <f t="shared" ref="BN76" si="318">$I75*BN$3+$J75*BN$4+$K75*BN$5</f>
        <v>1.1000000000000001</v>
      </c>
      <c r="BO76" s="48">
        <f t="shared" ref="BO76" si="319">$I75*BO$3+$J75*BO$4+$K75*BO$5</f>
        <v>1.1000000000000001</v>
      </c>
      <c r="BP76" s="48">
        <f t="shared" ref="BP76" si="320">$I75*BP$3+$J75*BP$4+$K75*BP$5</f>
        <v>1.1000000000000001</v>
      </c>
      <c r="BQ76" s="48">
        <f t="shared" ref="BQ76" si="321">$I75*BQ$3+$J75*BQ$4+$K75*BQ$5</f>
        <v>1.1000000000000001</v>
      </c>
      <c r="BR76" s="49">
        <f t="shared" ref="BR76" si="322">$I75*BR$3+$J75*BR$4+$K75*BR$5</f>
        <v>1.1000000000000001</v>
      </c>
    </row>
    <row r="77" spans="1:76" ht="12.75" hidden="1" outlineLevel="1" x14ac:dyDescent="0.2">
      <c r="A77" s="27"/>
      <c r="B77" s="28"/>
      <c r="C77" s="28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30" t="s">
        <v>9</v>
      </c>
      <c r="AY77" s="50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2"/>
    </row>
    <row r="78" spans="1:76" ht="12.75" collapsed="1" x14ac:dyDescent="0.2">
      <c r="A78" s="20" t="s">
        <v>476</v>
      </c>
      <c r="B78" s="20" t="s">
        <v>20</v>
      </c>
      <c r="C78" s="20"/>
      <c r="D78" s="21" t="s">
        <v>477</v>
      </c>
      <c r="E78" s="21">
        <v>3</v>
      </c>
      <c r="F78" s="21">
        <f>SUMIF(stock_on_hand!A:A,A78,stock_on_hand!C:C)</f>
        <v>57</v>
      </c>
      <c r="G78" s="21"/>
      <c r="H78" s="21" t="s">
        <v>361</v>
      </c>
      <c r="I78" s="21">
        <v>0.1</v>
      </c>
      <c r="J78" s="21">
        <v>0.08</v>
      </c>
      <c r="K78" s="21">
        <v>0.1</v>
      </c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38" t="str">
        <f>IF(G78&gt;0,IF(AY78&lt;(0.8*G78),"WARNING!!!",IF(AY78&lt;G78,"ORDER","OK")),IF((VLOOKUP(A78,A:BR,51+E78,0))&lt;0,"WARNING!!!",IF((VLOOKUP(A78,A:BR,51+ROUND(1.25*E78,0),0))&lt;0,"ORDER","OK")))</f>
        <v>OK</v>
      </c>
      <c r="AY78" s="53">
        <f t="shared" ref="AY78" si="323">F78-AY79+AY80</f>
        <v>55.64</v>
      </c>
      <c r="AZ78" s="54">
        <f t="shared" ref="AZ78" si="324">AY78-AZ79+AZ80</f>
        <v>55.08</v>
      </c>
      <c r="BA78" s="54">
        <f t="shared" ref="BA78" si="325">AZ78-BA79+BA80</f>
        <v>54.519999999999996</v>
      </c>
      <c r="BB78" s="54">
        <f t="shared" ref="BB78" si="326">BA78-BB79+BB80</f>
        <v>53.959999999999994</v>
      </c>
      <c r="BC78" s="54">
        <f t="shared" ref="BC78" si="327">BB78-BC79+BC80</f>
        <v>53.399999999999991</v>
      </c>
      <c r="BD78" s="54">
        <f t="shared" ref="BD78" si="328">BC78-BD79+BD80</f>
        <v>52.599999999999994</v>
      </c>
      <c r="BE78" s="54">
        <f t="shared" ref="BE78" si="329">BD78-BE79+BE80</f>
        <v>52.039999999999992</v>
      </c>
      <c r="BF78" s="54">
        <f t="shared" ref="BF78" si="330">BE78-BF79+BF80</f>
        <v>51.47999999999999</v>
      </c>
      <c r="BG78" s="54">
        <f t="shared" ref="BG78" si="331">BF78-BG79+BG80</f>
        <v>50.919999999999987</v>
      </c>
      <c r="BH78" s="54">
        <f t="shared" ref="BH78" si="332">BG78-BH79+BH80</f>
        <v>50.359999999999985</v>
      </c>
      <c r="BI78" s="54">
        <f t="shared" ref="BI78" si="333">BH78-BI79+BI80</f>
        <v>49.799999999999983</v>
      </c>
      <c r="BJ78" s="54">
        <f t="shared" ref="BJ78" si="334">BI78-BJ79+BJ80</f>
        <v>49.239999999999981</v>
      </c>
      <c r="BK78" s="54">
        <f t="shared" ref="BK78" si="335">BJ78-BK79+BK80</f>
        <v>48.679999999999978</v>
      </c>
      <c r="BL78" s="54">
        <f t="shared" ref="BL78" si="336">BK78-BL79+BL80</f>
        <v>48.119999999999976</v>
      </c>
      <c r="BM78" s="54">
        <f t="shared" ref="BM78" si="337">BL78-BM79+BM80</f>
        <v>47.559999999999974</v>
      </c>
      <c r="BN78" s="54">
        <f t="shared" ref="BN78" si="338">BM78-BN79+BN80</f>
        <v>46.999999999999972</v>
      </c>
      <c r="BO78" s="54">
        <f t="shared" ref="BO78" si="339">BN78-BO79+BO80</f>
        <v>46.439999999999969</v>
      </c>
      <c r="BP78" s="54">
        <f t="shared" ref="BP78" si="340">BO78-BP79+BP80</f>
        <v>45.879999999999967</v>
      </c>
      <c r="BQ78" s="54">
        <f t="shared" ref="BQ78" si="341">BP78-BQ79+BQ80</f>
        <v>45.319999999999965</v>
      </c>
      <c r="BR78" s="55">
        <f t="shared" ref="BR78" si="342">BQ78-BR79+BR80</f>
        <v>44.759999999999962</v>
      </c>
      <c r="BX78" s="22"/>
    </row>
    <row r="79" spans="1:76" ht="12.75" hidden="1" outlineLevel="1" x14ac:dyDescent="0.2">
      <c r="A79" s="23"/>
      <c r="B79" s="24"/>
      <c r="C79" s="24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6" t="s">
        <v>8</v>
      </c>
      <c r="AY79" s="47">
        <f t="shared" ref="AY79" si="343">$I78*AY$3+$J78*AY$4+$K78*AY$5</f>
        <v>1.3599999999999999</v>
      </c>
      <c r="AZ79" s="48">
        <f t="shared" ref="AZ79" si="344">$I78*AZ$3+$J78*AZ$4+$K78*AZ$5</f>
        <v>0.56000000000000005</v>
      </c>
      <c r="BA79" s="48">
        <f t="shared" ref="BA79" si="345">$I78*BA$3+$J78*BA$4+$K78*BA$5</f>
        <v>0.56000000000000005</v>
      </c>
      <c r="BB79" s="48">
        <f t="shared" ref="BB79" si="346">$I78*BB$3+$J78*BB$4+$K78*BB$5</f>
        <v>0.56000000000000005</v>
      </c>
      <c r="BC79" s="48">
        <f t="shared" ref="BC79" si="347">$I78*BC$3+$J78*BC$4+$K78*BC$5</f>
        <v>0.56000000000000005</v>
      </c>
      <c r="BD79" s="48">
        <f t="shared" ref="BD79" si="348">$I78*BD$3+$J78*BD$4+$K78*BD$5</f>
        <v>0.8</v>
      </c>
      <c r="BE79" s="48">
        <f t="shared" ref="BE79" si="349">$I78*BE$3+$J78*BE$4+$K78*BE$5</f>
        <v>0.56000000000000005</v>
      </c>
      <c r="BF79" s="48">
        <f t="shared" ref="BF79" si="350">$I78*BF$3+$J78*BF$4+$K78*BF$5</f>
        <v>0.56000000000000005</v>
      </c>
      <c r="BG79" s="48">
        <f t="shared" ref="BG79" si="351">$I78*BG$3+$J78*BG$4+$K78*BG$5</f>
        <v>0.56000000000000005</v>
      </c>
      <c r="BH79" s="48">
        <f t="shared" ref="BH79" si="352">$I78*BH$3+$J78*BH$4+$K78*BH$5</f>
        <v>0.56000000000000005</v>
      </c>
      <c r="BI79" s="48">
        <f t="shared" ref="BI79" si="353">$I78*BI$3+$J78*BI$4+$K78*BI$5</f>
        <v>0.56000000000000005</v>
      </c>
      <c r="BJ79" s="48">
        <f t="shared" ref="BJ79" si="354">$I78*BJ$3+$J78*BJ$4+$K78*BJ$5</f>
        <v>0.56000000000000005</v>
      </c>
      <c r="BK79" s="48">
        <f t="shared" ref="BK79" si="355">$I78*BK$3+$J78*BK$4+$K78*BK$5</f>
        <v>0.56000000000000005</v>
      </c>
      <c r="BL79" s="48">
        <f t="shared" ref="BL79" si="356">$I78*BL$3+$J78*BL$4+$K78*BL$5</f>
        <v>0.56000000000000005</v>
      </c>
      <c r="BM79" s="48">
        <f t="shared" ref="BM79" si="357">$I78*BM$3+$J78*BM$4+$K78*BM$5</f>
        <v>0.56000000000000005</v>
      </c>
      <c r="BN79" s="48">
        <f t="shared" ref="BN79" si="358">$I78*BN$3+$J78*BN$4+$K78*BN$5</f>
        <v>0.56000000000000005</v>
      </c>
      <c r="BO79" s="48">
        <f t="shared" ref="BO79" si="359">$I78*BO$3+$J78*BO$4+$K78*BO$5</f>
        <v>0.56000000000000005</v>
      </c>
      <c r="BP79" s="48">
        <f t="shared" ref="BP79" si="360">$I78*BP$3+$J78*BP$4+$K78*BP$5</f>
        <v>0.56000000000000005</v>
      </c>
      <c r="BQ79" s="48">
        <f t="shared" ref="BQ79" si="361">$I78*BQ$3+$J78*BQ$4+$K78*BQ$5</f>
        <v>0.56000000000000005</v>
      </c>
      <c r="BR79" s="49">
        <f t="shared" ref="BR79" si="362">$I78*BR$3+$J78*BR$4+$K78*BR$5</f>
        <v>0.56000000000000005</v>
      </c>
    </row>
    <row r="80" spans="1:76" ht="12.75" hidden="1" outlineLevel="1" x14ac:dyDescent="0.2">
      <c r="A80" s="27"/>
      <c r="B80" s="28"/>
      <c r="C80" s="28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30" t="s">
        <v>9</v>
      </c>
      <c r="AY80" s="50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  <c r="BN80" s="51"/>
      <c r="BO80" s="51"/>
      <c r="BP80" s="51"/>
      <c r="BQ80" s="51"/>
      <c r="BR80" s="52"/>
    </row>
    <row r="81" spans="1:76" ht="12.75" collapsed="1" x14ac:dyDescent="0.2">
      <c r="A81" s="20" t="s">
        <v>726</v>
      </c>
      <c r="B81" s="20" t="s">
        <v>21</v>
      </c>
      <c r="C81" s="20"/>
      <c r="D81" s="21" t="s">
        <v>351</v>
      </c>
      <c r="E81" s="21">
        <v>4</v>
      </c>
      <c r="F81" s="21">
        <f>SUMIF(stock_on_hand!A:A,A81,stock_on_hand!C:C)</f>
        <v>0</v>
      </c>
      <c r="G81" s="21"/>
      <c r="H81" s="21" t="s">
        <v>361</v>
      </c>
      <c r="I81" s="21">
        <v>0.15</v>
      </c>
      <c r="J81" s="21">
        <v>0.125</v>
      </c>
      <c r="K81" s="21">
        <v>0.19</v>
      </c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38" t="str">
        <f>IF(G81&gt;0,IF(AY81&lt;(0.8*G81),"WARNING!!!",IF(AY81&lt;G81,"ORDER","OK")),IF((VLOOKUP(A81,A:BR,51+E81,0))&lt;0,"WARNING!!!",IF((VLOOKUP(A81,A:BR,51+ROUND(1.25*E81,0),0))&lt;0,"ORDER","OK")))</f>
        <v>WARNING!!!</v>
      </c>
      <c r="AY81" s="53">
        <f t="shared" ref="AY81" si="363">F81-AY82+AY83</f>
        <v>-2.13</v>
      </c>
      <c r="AZ81" s="54">
        <f t="shared" ref="AZ81" si="364">AY81-AZ82+AZ83</f>
        <v>-3.06</v>
      </c>
      <c r="BA81" s="54">
        <f t="shared" ref="BA81" si="365">AZ81-BA82+BA83</f>
        <v>-3.99</v>
      </c>
      <c r="BB81" s="54">
        <f t="shared" ref="BB81" si="366">BA81-BB82+BB83</f>
        <v>-4.92</v>
      </c>
      <c r="BC81" s="54">
        <f t="shared" ref="BC81" si="367">BB81-BC82+BC83</f>
        <v>-5.85</v>
      </c>
      <c r="BD81" s="54">
        <f t="shared" ref="BD81" si="368">BC81-BD82+BD83</f>
        <v>-7.1549999999999994</v>
      </c>
      <c r="BE81" s="54">
        <f t="shared" ref="BE81" si="369">BD81-BE82+BE83</f>
        <v>-8.0849999999999991</v>
      </c>
      <c r="BF81" s="54">
        <f t="shared" ref="BF81" si="370">BE81-BF82+BF83</f>
        <v>-9.0149999999999988</v>
      </c>
      <c r="BG81" s="54">
        <f t="shared" ref="BG81" si="371">BF81-BG82+BG83</f>
        <v>-9.9449999999999985</v>
      </c>
      <c r="BH81" s="54">
        <f t="shared" ref="BH81" si="372">BG81-BH82+BH83</f>
        <v>-10.874999999999998</v>
      </c>
      <c r="BI81" s="54">
        <f t="shared" ref="BI81" si="373">BH81-BI82+BI83</f>
        <v>-11.804999999999998</v>
      </c>
      <c r="BJ81" s="54">
        <f t="shared" ref="BJ81" si="374">BI81-BJ82+BJ83</f>
        <v>-12.734999999999998</v>
      </c>
      <c r="BK81" s="54">
        <f t="shared" ref="BK81" si="375">BJ81-BK82+BK83</f>
        <v>-13.664999999999997</v>
      </c>
      <c r="BL81" s="54">
        <f t="shared" ref="BL81" si="376">BK81-BL82+BL83</f>
        <v>-14.594999999999997</v>
      </c>
      <c r="BM81" s="54">
        <f t="shared" ref="BM81" si="377">BL81-BM82+BM83</f>
        <v>-15.524999999999997</v>
      </c>
      <c r="BN81" s="54">
        <f t="shared" ref="BN81" si="378">BM81-BN82+BN83</f>
        <v>-16.454999999999998</v>
      </c>
      <c r="BO81" s="54">
        <f t="shared" ref="BO81" si="379">BN81-BO82+BO83</f>
        <v>-17.384999999999998</v>
      </c>
      <c r="BP81" s="54">
        <f t="shared" ref="BP81" si="380">BO81-BP82+BP83</f>
        <v>-18.314999999999998</v>
      </c>
      <c r="BQ81" s="54">
        <f t="shared" ref="BQ81" si="381">BP81-BQ82+BQ83</f>
        <v>-19.244999999999997</v>
      </c>
      <c r="BR81" s="55">
        <f t="shared" ref="BR81" si="382">BQ81-BR82+BR83</f>
        <v>-20.174999999999997</v>
      </c>
      <c r="BX81" s="22"/>
    </row>
    <row r="82" spans="1:76" ht="12.75" hidden="1" outlineLevel="1" x14ac:dyDescent="0.2">
      <c r="A82" s="23"/>
      <c r="B82" s="24"/>
      <c r="C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6" t="s">
        <v>8</v>
      </c>
      <c r="AY82" s="47">
        <f t="shared" ref="AY82" si="383">$I81*AY$3+$J81*AY$4+$K81*AY$5</f>
        <v>2.13</v>
      </c>
      <c r="AZ82" s="48">
        <f t="shared" ref="AZ82" si="384">$I81*AZ$3+$J81*AZ$4+$K81*AZ$5</f>
        <v>0.93</v>
      </c>
      <c r="BA82" s="48">
        <f t="shared" ref="BA82" si="385">$I81*BA$3+$J81*BA$4+$K81*BA$5</f>
        <v>0.93</v>
      </c>
      <c r="BB82" s="48">
        <f t="shared" ref="BB82" si="386">$I81*BB$3+$J81*BB$4+$K81*BB$5</f>
        <v>0.93</v>
      </c>
      <c r="BC82" s="48">
        <f t="shared" ref="BC82" si="387">$I81*BC$3+$J81*BC$4+$K81*BC$5</f>
        <v>0.93</v>
      </c>
      <c r="BD82" s="48">
        <f t="shared" ref="BD82" si="388">$I81*BD$3+$J81*BD$4+$K81*BD$5</f>
        <v>1.3050000000000002</v>
      </c>
      <c r="BE82" s="48">
        <f t="shared" ref="BE82" si="389">$I81*BE$3+$J81*BE$4+$K81*BE$5</f>
        <v>0.93</v>
      </c>
      <c r="BF82" s="48">
        <f t="shared" ref="BF82" si="390">$I81*BF$3+$J81*BF$4+$K81*BF$5</f>
        <v>0.93</v>
      </c>
      <c r="BG82" s="48">
        <f t="shared" ref="BG82" si="391">$I81*BG$3+$J81*BG$4+$K81*BG$5</f>
        <v>0.93</v>
      </c>
      <c r="BH82" s="48">
        <f t="shared" ref="BH82" si="392">$I81*BH$3+$J81*BH$4+$K81*BH$5</f>
        <v>0.93</v>
      </c>
      <c r="BI82" s="48">
        <f t="shared" ref="BI82" si="393">$I81*BI$3+$J81*BI$4+$K81*BI$5</f>
        <v>0.93</v>
      </c>
      <c r="BJ82" s="48">
        <f t="shared" ref="BJ82" si="394">$I81*BJ$3+$J81*BJ$4+$K81*BJ$5</f>
        <v>0.93</v>
      </c>
      <c r="BK82" s="48">
        <f t="shared" ref="BK82" si="395">$I81*BK$3+$J81*BK$4+$K81*BK$5</f>
        <v>0.93</v>
      </c>
      <c r="BL82" s="48">
        <f t="shared" ref="BL82" si="396">$I81*BL$3+$J81*BL$4+$K81*BL$5</f>
        <v>0.93</v>
      </c>
      <c r="BM82" s="48">
        <f t="shared" ref="BM82" si="397">$I81*BM$3+$J81*BM$4+$K81*BM$5</f>
        <v>0.93</v>
      </c>
      <c r="BN82" s="48">
        <f t="shared" ref="BN82" si="398">$I81*BN$3+$J81*BN$4+$K81*BN$5</f>
        <v>0.93</v>
      </c>
      <c r="BO82" s="48">
        <f t="shared" ref="BO82" si="399">$I81*BO$3+$J81*BO$4+$K81*BO$5</f>
        <v>0.93</v>
      </c>
      <c r="BP82" s="48">
        <f t="shared" ref="BP82" si="400">$I81*BP$3+$J81*BP$4+$K81*BP$5</f>
        <v>0.93</v>
      </c>
      <c r="BQ82" s="48">
        <f t="shared" ref="BQ82" si="401">$I81*BQ$3+$J81*BQ$4+$K81*BQ$5</f>
        <v>0.93</v>
      </c>
      <c r="BR82" s="49">
        <f t="shared" ref="BR82" si="402">$I81*BR$3+$J81*BR$4+$K81*BR$5</f>
        <v>0.93</v>
      </c>
    </row>
    <row r="83" spans="1:76" ht="12.75" hidden="1" outlineLevel="1" x14ac:dyDescent="0.2">
      <c r="A83" s="27"/>
      <c r="B83" s="28"/>
      <c r="C83" s="28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30" t="s">
        <v>9</v>
      </c>
      <c r="AY83" s="50"/>
      <c r="AZ83" s="51"/>
      <c r="BA83" s="51"/>
      <c r="BB83" s="51"/>
      <c r="BC83" s="51"/>
      <c r="BD83" s="51"/>
      <c r="BE83" s="51"/>
      <c r="BF83" s="51"/>
      <c r="BG83" s="51"/>
      <c r="BH83" s="51"/>
      <c r="BI83" s="51"/>
      <c r="BJ83" s="51"/>
      <c r="BK83" s="51"/>
      <c r="BL83" s="51"/>
      <c r="BM83" s="51"/>
      <c r="BN83" s="51"/>
      <c r="BO83" s="51"/>
      <c r="BP83" s="51"/>
      <c r="BQ83" s="51"/>
      <c r="BR83" s="52"/>
    </row>
    <row r="84" spans="1:76" ht="12.75" collapsed="1" x14ac:dyDescent="0.2">
      <c r="A84" s="20" t="s">
        <v>479</v>
      </c>
      <c r="B84" s="20" t="s">
        <v>139</v>
      </c>
      <c r="C84" s="20"/>
      <c r="D84" s="21" t="s">
        <v>477</v>
      </c>
      <c r="E84" s="21">
        <v>4</v>
      </c>
      <c r="F84" s="21">
        <f>SUMIF(stock_on_hand!A:A,A84,stock_on_hand!C:C)</f>
        <v>16</v>
      </c>
      <c r="G84" s="21"/>
      <c r="H84" s="21" t="s">
        <v>361</v>
      </c>
      <c r="I84" s="21">
        <v>7.4999999999999997E-2</v>
      </c>
      <c r="J84" s="21">
        <v>7.4999999999999997E-2</v>
      </c>
      <c r="K84" s="21">
        <v>6.0000000000000001E-3</v>
      </c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38" t="str">
        <f>IF(G84&gt;0,IF(AY84&lt;(0.8*G84),"WARNING!!!",IF(AY84&lt;G84,"ORDER","OK")),IF((VLOOKUP(A84,A:BR,51+E84,0))&lt;0,"WARNING!!!",IF((VLOOKUP(A84,A:BR,51+ROUND(1.25*E84,0),0))&lt;0,"ORDER","OK")))</f>
        <v>OK</v>
      </c>
      <c r="AY84" s="53">
        <f t="shared" ref="AY84" si="403">F84-AY85+AY86</f>
        <v>15.087999999999999</v>
      </c>
      <c r="AZ84" s="54">
        <f t="shared" ref="AZ84" si="404">AY84-AZ85+AZ86</f>
        <v>14.776</v>
      </c>
      <c r="BA84" s="54">
        <f t="shared" ref="BA84" si="405">AZ84-BA85+BA86</f>
        <v>14.464</v>
      </c>
      <c r="BB84" s="54">
        <f t="shared" ref="BB84" si="406">BA84-BB85+BB86</f>
        <v>14.152000000000001</v>
      </c>
      <c r="BC84" s="54">
        <f t="shared" ref="BC84" si="407">BB84-BC85+BC86</f>
        <v>13.840000000000002</v>
      </c>
      <c r="BD84" s="54">
        <f t="shared" ref="BD84" si="408">BC84-BD85+BD86</f>
        <v>13.303000000000001</v>
      </c>
      <c r="BE84" s="54">
        <f t="shared" ref="BE84" si="409">BD84-BE85+BE86</f>
        <v>12.991000000000001</v>
      </c>
      <c r="BF84" s="54">
        <f t="shared" ref="BF84" si="410">BE84-BF85+BF86</f>
        <v>12.679000000000002</v>
      </c>
      <c r="BG84" s="54">
        <f t="shared" ref="BG84" si="411">BF84-BG85+BG86</f>
        <v>12.367000000000003</v>
      </c>
      <c r="BH84" s="54">
        <f t="shared" ref="BH84" si="412">BG84-BH85+BH86</f>
        <v>12.055000000000003</v>
      </c>
      <c r="BI84" s="54">
        <f t="shared" ref="BI84" si="413">BH84-BI85+BI86</f>
        <v>11.743000000000004</v>
      </c>
      <c r="BJ84" s="54">
        <f t="shared" ref="BJ84" si="414">BI84-BJ85+BJ86</f>
        <v>11.431000000000004</v>
      </c>
      <c r="BK84" s="54">
        <f t="shared" ref="BK84" si="415">BJ84-BK85+BK86</f>
        <v>11.119000000000005</v>
      </c>
      <c r="BL84" s="54">
        <f t="shared" ref="BL84" si="416">BK84-BL85+BL86</f>
        <v>10.807000000000006</v>
      </c>
      <c r="BM84" s="54">
        <f t="shared" ref="BM84" si="417">BL84-BM85+BM86</f>
        <v>10.495000000000006</v>
      </c>
      <c r="BN84" s="54">
        <f t="shared" ref="BN84" si="418">BM84-BN85+BN86</f>
        <v>10.183000000000007</v>
      </c>
      <c r="BO84" s="54">
        <f t="shared" ref="BO84" si="419">BN84-BO85+BO86</f>
        <v>9.8710000000000075</v>
      </c>
      <c r="BP84" s="54">
        <f t="shared" ref="BP84" si="420">BO84-BP85+BP86</f>
        <v>9.5590000000000082</v>
      </c>
      <c r="BQ84" s="54">
        <f t="shared" ref="BQ84" si="421">BP84-BQ85+BQ86</f>
        <v>9.2470000000000088</v>
      </c>
      <c r="BR84" s="55">
        <f t="shared" ref="BR84" si="422">BQ84-BR85+BR86</f>
        <v>8.9350000000000094</v>
      </c>
      <c r="BX84" s="22"/>
    </row>
    <row r="85" spans="1:76" ht="12.75" hidden="1" outlineLevel="1" x14ac:dyDescent="0.2">
      <c r="A85" s="23"/>
      <c r="B85" s="24"/>
      <c r="C85" s="24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6" t="s">
        <v>8</v>
      </c>
      <c r="AY85" s="47">
        <f t="shared" ref="AY85" si="423">$I84*AY$3+$J84*AY$4+$K84*AY$5</f>
        <v>0.91200000000000003</v>
      </c>
      <c r="AZ85" s="48">
        <f t="shared" ref="AZ85" si="424">$I84*AZ$3+$J84*AZ$4+$K84*AZ$5</f>
        <v>0.312</v>
      </c>
      <c r="BA85" s="48">
        <f t="shared" ref="BA85" si="425">$I84*BA$3+$J84*BA$4+$K84*BA$5</f>
        <v>0.312</v>
      </c>
      <c r="BB85" s="48">
        <f t="shared" ref="BB85" si="426">$I84*BB$3+$J84*BB$4+$K84*BB$5</f>
        <v>0.312</v>
      </c>
      <c r="BC85" s="48">
        <f t="shared" ref="BC85" si="427">$I84*BC$3+$J84*BC$4+$K84*BC$5</f>
        <v>0.312</v>
      </c>
      <c r="BD85" s="48">
        <f t="shared" ref="BD85" si="428">$I84*BD$3+$J84*BD$4+$K84*BD$5</f>
        <v>0.53700000000000003</v>
      </c>
      <c r="BE85" s="48">
        <f t="shared" ref="BE85" si="429">$I84*BE$3+$J84*BE$4+$K84*BE$5</f>
        <v>0.312</v>
      </c>
      <c r="BF85" s="48">
        <f t="shared" ref="BF85" si="430">$I84*BF$3+$J84*BF$4+$K84*BF$5</f>
        <v>0.312</v>
      </c>
      <c r="BG85" s="48">
        <f t="shared" ref="BG85" si="431">$I84*BG$3+$J84*BG$4+$K84*BG$5</f>
        <v>0.312</v>
      </c>
      <c r="BH85" s="48">
        <f t="shared" ref="BH85" si="432">$I84*BH$3+$J84*BH$4+$K84*BH$5</f>
        <v>0.312</v>
      </c>
      <c r="BI85" s="48">
        <f t="shared" ref="BI85" si="433">$I84*BI$3+$J84*BI$4+$K84*BI$5</f>
        <v>0.312</v>
      </c>
      <c r="BJ85" s="48">
        <f t="shared" ref="BJ85" si="434">$I84*BJ$3+$J84*BJ$4+$K84*BJ$5</f>
        <v>0.312</v>
      </c>
      <c r="BK85" s="48">
        <f t="shared" ref="BK85" si="435">$I84*BK$3+$J84*BK$4+$K84*BK$5</f>
        <v>0.312</v>
      </c>
      <c r="BL85" s="48">
        <f t="shared" ref="BL85" si="436">$I84*BL$3+$J84*BL$4+$K84*BL$5</f>
        <v>0.312</v>
      </c>
      <c r="BM85" s="48">
        <f t="shared" ref="BM85" si="437">$I84*BM$3+$J84*BM$4+$K84*BM$5</f>
        <v>0.312</v>
      </c>
      <c r="BN85" s="48">
        <f t="shared" ref="BN85" si="438">$I84*BN$3+$J84*BN$4+$K84*BN$5</f>
        <v>0.312</v>
      </c>
      <c r="BO85" s="48">
        <f t="shared" ref="BO85" si="439">$I84*BO$3+$J84*BO$4+$K84*BO$5</f>
        <v>0.312</v>
      </c>
      <c r="BP85" s="48">
        <f t="shared" ref="BP85" si="440">$I84*BP$3+$J84*BP$4+$K84*BP$5</f>
        <v>0.312</v>
      </c>
      <c r="BQ85" s="48">
        <f t="shared" ref="BQ85" si="441">$I84*BQ$3+$J84*BQ$4+$K84*BQ$5</f>
        <v>0.312</v>
      </c>
      <c r="BR85" s="49">
        <f t="shared" ref="BR85" si="442">$I84*BR$3+$J84*BR$4+$K84*BR$5</f>
        <v>0.312</v>
      </c>
    </row>
    <row r="86" spans="1:76" ht="12.75" hidden="1" outlineLevel="1" x14ac:dyDescent="0.2">
      <c r="A86" s="27"/>
      <c r="B86" s="28"/>
      <c r="C86" s="28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30" t="s">
        <v>9</v>
      </c>
      <c r="AY86" s="50"/>
      <c r="AZ86" s="51"/>
      <c r="BA86" s="51"/>
      <c r="BB86" s="51"/>
      <c r="BC86" s="51"/>
      <c r="BD86" s="51"/>
      <c r="BE86" s="51"/>
      <c r="BF86" s="51"/>
      <c r="BG86" s="51"/>
      <c r="BH86" s="51"/>
      <c r="BI86" s="51"/>
      <c r="BJ86" s="51"/>
      <c r="BK86" s="51"/>
      <c r="BL86" s="51"/>
      <c r="BM86" s="51"/>
      <c r="BN86" s="51"/>
      <c r="BO86" s="51"/>
      <c r="BP86" s="51"/>
      <c r="BQ86" s="51"/>
      <c r="BR86" s="52"/>
    </row>
    <row r="87" spans="1:76" ht="12.75" collapsed="1" x14ac:dyDescent="0.2">
      <c r="A87" s="20" t="s">
        <v>431</v>
      </c>
      <c r="B87" s="20" t="s">
        <v>189</v>
      </c>
      <c r="C87" s="20"/>
      <c r="D87" s="21" t="s">
        <v>351</v>
      </c>
      <c r="E87" s="21">
        <v>4</v>
      </c>
      <c r="F87" s="21">
        <f>SUMIF(stock_on_hand!A:A,A87,stock_on_hand!C:C)</f>
        <v>73</v>
      </c>
      <c r="G87" s="21"/>
      <c r="H87" s="21" t="s">
        <v>361</v>
      </c>
      <c r="I87" s="21">
        <v>0</v>
      </c>
      <c r="J87" s="21">
        <v>0.19</v>
      </c>
      <c r="K87" s="21">
        <v>0.25</v>
      </c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38" t="str">
        <f>IF(G87&gt;0,IF(AY87&lt;(0.8*G87),"WARNING!!!",IF(AY87&lt;G87,"ORDER","OK")),IF((VLOOKUP(A87,A:BR,51+E87,0))&lt;0,"WARNING!!!",IF((VLOOKUP(A87,A:BR,51+ROUND(1.25*E87,0),0))&lt;0,"ORDER","OK")))</f>
        <v>OK</v>
      </c>
      <c r="AY87" s="53">
        <f t="shared" ref="AY87" si="443">F87-AY88+AY89</f>
        <v>72.12</v>
      </c>
      <c r="AZ87" s="54">
        <f t="shared" ref="AZ87" si="444">AY87-AZ88+AZ89</f>
        <v>71.240000000000009</v>
      </c>
      <c r="BA87" s="54">
        <f t="shared" ref="BA87" si="445">AZ87-BA88+BA89</f>
        <v>70.360000000000014</v>
      </c>
      <c r="BB87" s="54">
        <f t="shared" ref="BB87" si="446">BA87-BB88+BB89</f>
        <v>69.480000000000018</v>
      </c>
      <c r="BC87" s="54">
        <f t="shared" ref="BC87" si="447">BB87-BC88+BC89</f>
        <v>68.600000000000023</v>
      </c>
      <c r="BD87" s="54">
        <f t="shared" ref="BD87" si="448">BC87-BD88+BD89</f>
        <v>67.15000000000002</v>
      </c>
      <c r="BE87" s="54">
        <f t="shared" ref="BE87" si="449">BD87-BE88+BE89</f>
        <v>66.270000000000024</v>
      </c>
      <c r="BF87" s="54">
        <f t="shared" ref="BF87" si="450">BE87-BF88+BF89</f>
        <v>65.390000000000029</v>
      </c>
      <c r="BG87" s="54">
        <f t="shared" ref="BG87" si="451">BF87-BG88+BG89</f>
        <v>64.510000000000034</v>
      </c>
      <c r="BH87" s="54">
        <f t="shared" ref="BH87" si="452">BG87-BH88+BH89</f>
        <v>63.630000000000031</v>
      </c>
      <c r="BI87" s="54">
        <f t="shared" ref="BI87" si="453">BH87-BI88+BI89</f>
        <v>62.750000000000028</v>
      </c>
      <c r="BJ87" s="54">
        <f t="shared" ref="BJ87" si="454">BI87-BJ88+BJ89</f>
        <v>61.870000000000026</v>
      </c>
      <c r="BK87" s="54">
        <f t="shared" ref="BK87" si="455">BJ87-BK88+BK89</f>
        <v>60.990000000000023</v>
      </c>
      <c r="BL87" s="54">
        <f t="shared" ref="BL87" si="456">BK87-BL88+BL89</f>
        <v>60.110000000000021</v>
      </c>
      <c r="BM87" s="54">
        <f t="shared" ref="BM87" si="457">BL87-BM88+BM89</f>
        <v>59.230000000000018</v>
      </c>
      <c r="BN87" s="54">
        <f t="shared" ref="BN87" si="458">BM87-BN88+BN89</f>
        <v>58.350000000000016</v>
      </c>
      <c r="BO87" s="54">
        <f t="shared" ref="BO87" si="459">BN87-BO88+BO89</f>
        <v>57.470000000000013</v>
      </c>
      <c r="BP87" s="54">
        <f t="shared" ref="BP87" si="460">BO87-BP88+BP89</f>
        <v>56.590000000000011</v>
      </c>
      <c r="BQ87" s="54">
        <f t="shared" ref="BQ87" si="461">BP87-BQ88+BQ89</f>
        <v>55.710000000000008</v>
      </c>
      <c r="BR87" s="55">
        <f t="shared" ref="BR87" si="462">BQ87-BR88+BR89</f>
        <v>54.830000000000005</v>
      </c>
      <c r="BX87" s="22"/>
    </row>
    <row r="88" spans="1:76" ht="12.75" hidden="1" outlineLevel="1" x14ac:dyDescent="0.2">
      <c r="A88" s="23"/>
      <c r="B88" s="24"/>
      <c r="C88" s="24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6" t="s">
        <v>8</v>
      </c>
      <c r="AY88" s="47">
        <f t="shared" ref="AY88" si="463">$I87*AY$3+$J87*AY$4+$K87*AY$5</f>
        <v>0.88</v>
      </c>
      <c r="AZ88" s="48">
        <f t="shared" ref="AZ88" si="464">$I87*AZ$3+$J87*AZ$4+$K87*AZ$5</f>
        <v>0.88</v>
      </c>
      <c r="BA88" s="48">
        <f t="shared" ref="BA88" si="465">$I87*BA$3+$J87*BA$4+$K87*BA$5</f>
        <v>0.88</v>
      </c>
      <c r="BB88" s="48">
        <f t="shared" ref="BB88" si="466">$I87*BB$3+$J87*BB$4+$K87*BB$5</f>
        <v>0.88</v>
      </c>
      <c r="BC88" s="48">
        <f t="shared" ref="BC88" si="467">$I87*BC$3+$J87*BC$4+$K87*BC$5</f>
        <v>0.88</v>
      </c>
      <c r="BD88" s="48">
        <f t="shared" ref="BD88" si="468">$I87*BD$3+$J87*BD$4+$K87*BD$5</f>
        <v>1.45</v>
      </c>
      <c r="BE88" s="48">
        <f t="shared" ref="BE88" si="469">$I87*BE$3+$J87*BE$4+$K87*BE$5</f>
        <v>0.88</v>
      </c>
      <c r="BF88" s="48">
        <f t="shared" ref="BF88" si="470">$I87*BF$3+$J87*BF$4+$K87*BF$5</f>
        <v>0.88</v>
      </c>
      <c r="BG88" s="48">
        <f t="shared" ref="BG88" si="471">$I87*BG$3+$J87*BG$4+$K87*BG$5</f>
        <v>0.88</v>
      </c>
      <c r="BH88" s="48">
        <f t="shared" ref="BH88" si="472">$I87*BH$3+$J87*BH$4+$K87*BH$5</f>
        <v>0.88</v>
      </c>
      <c r="BI88" s="48">
        <f t="shared" ref="BI88" si="473">$I87*BI$3+$J87*BI$4+$K87*BI$5</f>
        <v>0.88</v>
      </c>
      <c r="BJ88" s="48">
        <f t="shared" ref="BJ88" si="474">$I87*BJ$3+$J87*BJ$4+$K87*BJ$5</f>
        <v>0.88</v>
      </c>
      <c r="BK88" s="48">
        <f t="shared" ref="BK88" si="475">$I87*BK$3+$J87*BK$4+$K87*BK$5</f>
        <v>0.88</v>
      </c>
      <c r="BL88" s="48">
        <f t="shared" ref="BL88" si="476">$I87*BL$3+$J87*BL$4+$K87*BL$5</f>
        <v>0.88</v>
      </c>
      <c r="BM88" s="48">
        <f t="shared" ref="BM88" si="477">$I87*BM$3+$J87*BM$4+$K87*BM$5</f>
        <v>0.88</v>
      </c>
      <c r="BN88" s="48">
        <f t="shared" ref="BN88" si="478">$I87*BN$3+$J87*BN$4+$K87*BN$5</f>
        <v>0.88</v>
      </c>
      <c r="BO88" s="48">
        <f t="shared" ref="BO88" si="479">$I87*BO$3+$J87*BO$4+$K87*BO$5</f>
        <v>0.88</v>
      </c>
      <c r="BP88" s="48">
        <f t="shared" ref="BP88" si="480">$I87*BP$3+$J87*BP$4+$K87*BP$5</f>
        <v>0.88</v>
      </c>
      <c r="BQ88" s="48">
        <f t="shared" ref="BQ88" si="481">$I87*BQ$3+$J87*BQ$4+$K87*BQ$5</f>
        <v>0.88</v>
      </c>
      <c r="BR88" s="49">
        <f t="shared" ref="BR88" si="482">$I87*BR$3+$J87*BR$4+$K87*BR$5</f>
        <v>0.88</v>
      </c>
    </row>
    <row r="89" spans="1:76" ht="12.75" hidden="1" outlineLevel="1" x14ac:dyDescent="0.2">
      <c r="A89" s="27"/>
      <c r="B89" s="28"/>
      <c r="C89" s="28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30" t="s">
        <v>9</v>
      </c>
      <c r="AY89" s="50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2"/>
    </row>
    <row r="90" spans="1:76" ht="12.75" collapsed="1" x14ac:dyDescent="0.2">
      <c r="A90" s="20" t="s">
        <v>466</v>
      </c>
      <c r="B90" s="20" t="s">
        <v>22</v>
      </c>
      <c r="C90" s="20"/>
      <c r="D90" s="21" t="s">
        <v>351</v>
      </c>
      <c r="E90" s="21">
        <v>4</v>
      </c>
      <c r="F90" s="21">
        <f>SUMIF(stock_on_hand!A:A,A90,stock_on_hand!C:C)</f>
        <v>0</v>
      </c>
      <c r="G90" s="21"/>
      <c r="H90" s="21" t="s">
        <v>361</v>
      </c>
      <c r="I90" s="21">
        <v>0</v>
      </c>
      <c r="J90" s="21">
        <v>0.75</v>
      </c>
      <c r="K90" s="21">
        <v>0</v>
      </c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38" t="str">
        <f>IF(G90&gt;0,IF(AY90&lt;(0.8*G90),"WARNING!!!",IF(AY90&lt;G90,"ORDER","OK")),IF((VLOOKUP(A90,A:BR,51+E90,0))&lt;0,"WARNING!!!",IF((VLOOKUP(A90,A:BR,51+ROUND(1.25*E90,0),0))&lt;0,"ORDER","OK")))</f>
        <v>WARNING!!!</v>
      </c>
      <c r="AY90" s="53">
        <f t="shared" ref="AY90" si="483">F90-AY91+AY92</f>
        <v>-1.5</v>
      </c>
      <c r="AZ90" s="54">
        <f t="shared" ref="AZ90" si="484">AY90-AZ91+AZ92</f>
        <v>-3</v>
      </c>
      <c r="BA90" s="54">
        <f t="shared" ref="BA90" si="485">AZ90-BA91+BA92</f>
        <v>-4.5</v>
      </c>
      <c r="BB90" s="54">
        <f t="shared" ref="BB90" si="486">BA90-BB91+BB92</f>
        <v>-6</v>
      </c>
      <c r="BC90" s="54">
        <f t="shared" ref="BC90" si="487">BB90-BC91+BC92</f>
        <v>-7.5</v>
      </c>
      <c r="BD90" s="54">
        <f t="shared" ref="BD90" si="488">BC90-BD91+BD92</f>
        <v>-11.25</v>
      </c>
      <c r="BE90" s="54">
        <f t="shared" ref="BE90" si="489">BD90-BE91+BE92</f>
        <v>-12.75</v>
      </c>
      <c r="BF90" s="54">
        <f t="shared" ref="BF90" si="490">BE90-BF91+BF92</f>
        <v>-14.25</v>
      </c>
      <c r="BG90" s="54">
        <f t="shared" ref="BG90" si="491">BF90-BG91+BG92</f>
        <v>-15.75</v>
      </c>
      <c r="BH90" s="54">
        <f t="shared" ref="BH90" si="492">BG90-BH91+BH92</f>
        <v>-17.25</v>
      </c>
      <c r="BI90" s="54">
        <f t="shared" ref="BI90" si="493">BH90-BI91+BI92</f>
        <v>-18.75</v>
      </c>
      <c r="BJ90" s="54">
        <f t="shared" ref="BJ90" si="494">BI90-BJ91+BJ92</f>
        <v>-20.25</v>
      </c>
      <c r="BK90" s="54">
        <f t="shared" ref="BK90" si="495">BJ90-BK91+BK92</f>
        <v>-21.75</v>
      </c>
      <c r="BL90" s="54">
        <f t="shared" ref="BL90" si="496">BK90-BL91+BL92</f>
        <v>-23.25</v>
      </c>
      <c r="BM90" s="54">
        <f t="shared" ref="BM90" si="497">BL90-BM91+BM92</f>
        <v>-24.75</v>
      </c>
      <c r="BN90" s="54">
        <f t="shared" ref="BN90" si="498">BM90-BN91+BN92</f>
        <v>-26.25</v>
      </c>
      <c r="BO90" s="54">
        <f t="shared" ref="BO90" si="499">BN90-BO91+BO92</f>
        <v>-27.75</v>
      </c>
      <c r="BP90" s="54">
        <f t="shared" ref="BP90" si="500">BO90-BP91+BP92</f>
        <v>-29.25</v>
      </c>
      <c r="BQ90" s="54">
        <f t="shared" ref="BQ90" si="501">BP90-BQ91+BQ92</f>
        <v>-30.75</v>
      </c>
      <c r="BR90" s="55">
        <f t="shared" ref="BR90" si="502">BQ90-BR91+BR92</f>
        <v>-32.25</v>
      </c>
      <c r="BX90" s="22"/>
    </row>
    <row r="91" spans="1:76" ht="12.75" hidden="1" outlineLevel="1" x14ac:dyDescent="0.2">
      <c r="A91" s="23"/>
      <c r="B91" s="24"/>
      <c r="C91" s="24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6" t="s">
        <v>8</v>
      </c>
      <c r="AY91" s="47">
        <f t="shared" ref="AY91" si="503">$I90*AY$3+$J90*AY$4+$K90*AY$5</f>
        <v>1.5</v>
      </c>
      <c r="AZ91" s="48">
        <f t="shared" ref="AZ91" si="504">$I90*AZ$3+$J90*AZ$4+$K90*AZ$5</f>
        <v>1.5</v>
      </c>
      <c r="BA91" s="48">
        <f t="shared" ref="BA91" si="505">$I90*BA$3+$J90*BA$4+$K90*BA$5</f>
        <v>1.5</v>
      </c>
      <c r="BB91" s="48">
        <f t="shared" ref="BB91" si="506">$I90*BB$3+$J90*BB$4+$K90*BB$5</f>
        <v>1.5</v>
      </c>
      <c r="BC91" s="48">
        <f t="shared" ref="BC91" si="507">$I90*BC$3+$J90*BC$4+$K90*BC$5</f>
        <v>1.5</v>
      </c>
      <c r="BD91" s="48">
        <f t="shared" ref="BD91" si="508">$I90*BD$3+$J90*BD$4+$K90*BD$5</f>
        <v>3.75</v>
      </c>
      <c r="BE91" s="48">
        <f t="shared" ref="BE91" si="509">$I90*BE$3+$J90*BE$4+$K90*BE$5</f>
        <v>1.5</v>
      </c>
      <c r="BF91" s="48">
        <f t="shared" ref="BF91" si="510">$I90*BF$3+$J90*BF$4+$K90*BF$5</f>
        <v>1.5</v>
      </c>
      <c r="BG91" s="48">
        <f t="shared" ref="BG91" si="511">$I90*BG$3+$J90*BG$4+$K90*BG$5</f>
        <v>1.5</v>
      </c>
      <c r="BH91" s="48">
        <f t="shared" ref="BH91" si="512">$I90*BH$3+$J90*BH$4+$K90*BH$5</f>
        <v>1.5</v>
      </c>
      <c r="BI91" s="48">
        <f t="shared" ref="BI91" si="513">$I90*BI$3+$J90*BI$4+$K90*BI$5</f>
        <v>1.5</v>
      </c>
      <c r="BJ91" s="48">
        <f t="shared" ref="BJ91" si="514">$I90*BJ$3+$J90*BJ$4+$K90*BJ$5</f>
        <v>1.5</v>
      </c>
      <c r="BK91" s="48">
        <f t="shared" ref="BK91" si="515">$I90*BK$3+$J90*BK$4+$K90*BK$5</f>
        <v>1.5</v>
      </c>
      <c r="BL91" s="48">
        <f t="shared" ref="BL91" si="516">$I90*BL$3+$J90*BL$4+$K90*BL$5</f>
        <v>1.5</v>
      </c>
      <c r="BM91" s="48">
        <f t="shared" ref="BM91" si="517">$I90*BM$3+$J90*BM$4+$K90*BM$5</f>
        <v>1.5</v>
      </c>
      <c r="BN91" s="48">
        <f t="shared" ref="BN91" si="518">$I90*BN$3+$J90*BN$4+$K90*BN$5</f>
        <v>1.5</v>
      </c>
      <c r="BO91" s="48">
        <f t="shared" ref="BO91" si="519">$I90*BO$3+$J90*BO$4+$K90*BO$5</f>
        <v>1.5</v>
      </c>
      <c r="BP91" s="48">
        <f t="shared" ref="BP91" si="520">$I90*BP$3+$J90*BP$4+$K90*BP$5</f>
        <v>1.5</v>
      </c>
      <c r="BQ91" s="48">
        <f t="shared" ref="BQ91" si="521">$I90*BQ$3+$J90*BQ$4+$K90*BQ$5</f>
        <v>1.5</v>
      </c>
      <c r="BR91" s="49">
        <f t="shared" ref="BR91" si="522">$I90*BR$3+$J90*BR$4+$K90*BR$5</f>
        <v>1.5</v>
      </c>
    </row>
    <row r="92" spans="1:76" ht="12.75" hidden="1" outlineLevel="1" x14ac:dyDescent="0.2">
      <c r="A92" s="27"/>
      <c r="B92" s="28"/>
      <c r="C92" s="28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30" t="s">
        <v>9</v>
      </c>
      <c r="AY92" s="50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  <c r="BQ92" s="51"/>
      <c r="BR92" s="52"/>
    </row>
    <row r="93" spans="1:76" ht="12.75" collapsed="1" x14ac:dyDescent="0.2">
      <c r="A93" s="20" t="s">
        <v>368</v>
      </c>
      <c r="B93" s="20" t="s">
        <v>369</v>
      </c>
      <c r="C93" s="20"/>
      <c r="D93" s="21" t="s">
        <v>351</v>
      </c>
      <c r="E93" s="21">
        <v>2</v>
      </c>
      <c r="F93" s="21">
        <f>SUMIF(stock_on_hand!A:A,A93,stock_on_hand!C:C)</f>
        <v>187</v>
      </c>
      <c r="G93" s="21"/>
      <c r="H93" s="21" t="s">
        <v>361</v>
      </c>
      <c r="I93" s="21">
        <v>0</v>
      </c>
      <c r="J93" s="21">
        <v>0.9</v>
      </c>
      <c r="K93" s="21">
        <v>0</v>
      </c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38" t="str">
        <f>IF(G93&gt;0,IF(AY93&lt;(0.8*G93),"WARNING!!!",IF(AY93&lt;G93,"ORDER","OK")),IF((VLOOKUP(A93,A:BR,51+E93,0))&lt;0,"WARNING!!!",IF((VLOOKUP(A93,A:BR,51+ROUND(1.25*E93,0),0))&lt;0,"ORDER","OK")))</f>
        <v>OK</v>
      </c>
      <c r="AY93" s="53">
        <f t="shared" ref="AY93" si="523">F93-AY94+AY95</f>
        <v>185.2</v>
      </c>
      <c r="AZ93" s="54">
        <f t="shared" ref="AZ93" si="524">AY93-AZ94+AZ95</f>
        <v>183.39999999999998</v>
      </c>
      <c r="BA93" s="54">
        <f t="shared" ref="BA93" si="525">AZ93-BA94+BA95</f>
        <v>181.59999999999997</v>
      </c>
      <c r="BB93" s="54">
        <f t="shared" ref="BB93" si="526">BA93-BB94+BB95</f>
        <v>179.79999999999995</v>
      </c>
      <c r="BC93" s="54">
        <f t="shared" ref="BC93" si="527">BB93-BC94+BC95</f>
        <v>177.99999999999994</v>
      </c>
      <c r="BD93" s="54">
        <f t="shared" ref="BD93" si="528">BC93-BD94+BD95</f>
        <v>173.49999999999994</v>
      </c>
      <c r="BE93" s="54">
        <f t="shared" ref="BE93" si="529">BD93-BE94+BE95</f>
        <v>171.69999999999993</v>
      </c>
      <c r="BF93" s="54">
        <f t="shared" ref="BF93" si="530">BE93-BF94+BF95</f>
        <v>169.89999999999992</v>
      </c>
      <c r="BG93" s="54">
        <f t="shared" ref="BG93" si="531">BF93-BG94+BG95</f>
        <v>168.09999999999991</v>
      </c>
      <c r="BH93" s="54">
        <f t="shared" ref="BH93" si="532">BG93-BH94+BH95</f>
        <v>166.2999999999999</v>
      </c>
      <c r="BI93" s="54">
        <f t="shared" ref="BI93" si="533">BH93-BI94+BI95</f>
        <v>164.49999999999989</v>
      </c>
      <c r="BJ93" s="54">
        <f t="shared" ref="BJ93" si="534">BI93-BJ94+BJ95</f>
        <v>162.69999999999987</v>
      </c>
      <c r="BK93" s="54">
        <f t="shared" ref="BK93" si="535">BJ93-BK94+BK95</f>
        <v>160.89999999999986</v>
      </c>
      <c r="BL93" s="54">
        <f t="shared" ref="BL93" si="536">BK93-BL94+BL95</f>
        <v>159.09999999999985</v>
      </c>
      <c r="BM93" s="54">
        <f t="shared" ref="BM93" si="537">BL93-BM94+BM95</f>
        <v>157.29999999999984</v>
      </c>
      <c r="BN93" s="54">
        <f t="shared" ref="BN93" si="538">BM93-BN94+BN95</f>
        <v>155.49999999999983</v>
      </c>
      <c r="BO93" s="54">
        <f t="shared" ref="BO93" si="539">BN93-BO94+BO95</f>
        <v>153.69999999999982</v>
      </c>
      <c r="BP93" s="54">
        <f t="shared" ref="BP93" si="540">BO93-BP94+BP95</f>
        <v>151.89999999999981</v>
      </c>
      <c r="BQ93" s="54">
        <f t="shared" ref="BQ93" si="541">BP93-BQ94+BQ95</f>
        <v>150.0999999999998</v>
      </c>
      <c r="BR93" s="55">
        <f t="shared" ref="BR93" si="542">BQ93-BR94+BR95</f>
        <v>148.29999999999978</v>
      </c>
      <c r="BX93" s="22"/>
    </row>
    <row r="94" spans="1:76" ht="12.75" hidden="1" outlineLevel="1" x14ac:dyDescent="0.2">
      <c r="A94" s="23"/>
      <c r="B94" s="24"/>
      <c r="C94" s="24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6" t="s">
        <v>8</v>
      </c>
      <c r="AY94" s="47">
        <f t="shared" ref="AY94" si="543">$I93*AY$3+$J93*AY$4+$K93*AY$5</f>
        <v>1.8</v>
      </c>
      <c r="AZ94" s="48">
        <f t="shared" ref="AZ94" si="544">$I93*AZ$3+$J93*AZ$4+$K93*AZ$5</f>
        <v>1.8</v>
      </c>
      <c r="BA94" s="48">
        <f t="shared" ref="BA94" si="545">$I93*BA$3+$J93*BA$4+$K93*BA$5</f>
        <v>1.8</v>
      </c>
      <c r="BB94" s="48">
        <f t="shared" ref="BB94" si="546">$I93*BB$3+$J93*BB$4+$K93*BB$5</f>
        <v>1.8</v>
      </c>
      <c r="BC94" s="48">
        <f t="shared" ref="BC94" si="547">$I93*BC$3+$J93*BC$4+$K93*BC$5</f>
        <v>1.8</v>
      </c>
      <c r="BD94" s="48">
        <f t="shared" ref="BD94" si="548">$I93*BD$3+$J93*BD$4+$K93*BD$5</f>
        <v>4.5</v>
      </c>
      <c r="BE94" s="48">
        <f t="shared" ref="BE94" si="549">$I93*BE$3+$J93*BE$4+$K93*BE$5</f>
        <v>1.8</v>
      </c>
      <c r="BF94" s="48">
        <f t="shared" ref="BF94" si="550">$I93*BF$3+$J93*BF$4+$K93*BF$5</f>
        <v>1.8</v>
      </c>
      <c r="BG94" s="48">
        <f t="shared" ref="BG94" si="551">$I93*BG$3+$J93*BG$4+$K93*BG$5</f>
        <v>1.8</v>
      </c>
      <c r="BH94" s="48">
        <f t="shared" ref="BH94" si="552">$I93*BH$3+$J93*BH$4+$K93*BH$5</f>
        <v>1.8</v>
      </c>
      <c r="BI94" s="48">
        <f t="shared" ref="BI94" si="553">$I93*BI$3+$J93*BI$4+$K93*BI$5</f>
        <v>1.8</v>
      </c>
      <c r="BJ94" s="48">
        <f t="shared" ref="BJ94" si="554">$I93*BJ$3+$J93*BJ$4+$K93*BJ$5</f>
        <v>1.8</v>
      </c>
      <c r="BK94" s="48">
        <f t="shared" ref="BK94" si="555">$I93*BK$3+$J93*BK$4+$K93*BK$5</f>
        <v>1.8</v>
      </c>
      <c r="BL94" s="48">
        <f t="shared" ref="BL94" si="556">$I93*BL$3+$J93*BL$4+$K93*BL$5</f>
        <v>1.8</v>
      </c>
      <c r="BM94" s="48">
        <f t="shared" ref="BM94" si="557">$I93*BM$3+$J93*BM$4+$K93*BM$5</f>
        <v>1.8</v>
      </c>
      <c r="BN94" s="48">
        <f t="shared" ref="BN94" si="558">$I93*BN$3+$J93*BN$4+$K93*BN$5</f>
        <v>1.8</v>
      </c>
      <c r="BO94" s="48">
        <f t="shared" ref="BO94" si="559">$I93*BO$3+$J93*BO$4+$K93*BO$5</f>
        <v>1.8</v>
      </c>
      <c r="BP94" s="48">
        <f t="shared" ref="BP94" si="560">$I93*BP$3+$J93*BP$4+$K93*BP$5</f>
        <v>1.8</v>
      </c>
      <c r="BQ94" s="48">
        <f t="shared" ref="BQ94" si="561">$I93*BQ$3+$J93*BQ$4+$K93*BQ$5</f>
        <v>1.8</v>
      </c>
      <c r="BR94" s="49">
        <f t="shared" ref="BR94" si="562">$I93*BR$3+$J93*BR$4+$K93*BR$5</f>
        <v>1.8</v>
      </c>
    </row>
    <row r="95" spans="1:76" ht="12.75" hidden="1" outlineLevel="1" x14ac:dyDescent="0.2">
      <c r="A95" s="27"/>
      <c r="B95" s="28"/>
      <c r="C95" s="28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30" t="s">
        <v>9</v>
      </c>
      <c r="AY95" s="50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2"/>
    </row>
    <row r="96" spans="1:76" ht="12.75" collapsed="1" x14ac:dyDescent="0.2">
      <c r="A96" s="20" t="s">
        <v>580</v>
      </c>
      <c r="B96" s="20" t="s">
        <v>23</v>
      </c>
      <c r="C96" s="20"/>
      <c r="D96" s="21" t="s">
        <v>581</v>
      </c>
      <c r="E96" s="21">
        <v>2</v>
      </c>
      <c r="F96" s="21">
        <f>SUMIF(stock_on_hand!A:A,A96,stock_on_hand!C:C)</f>
        <v>150</v>
      </c>
      <c r="G96" s="21"/>
      <c r="H96" s="21" t="s">
        <v>361</v>
      </c>
      <c r="I96" s="21">
        <v>0</v>
      </c>
      <c r="J96" s="21">
        <v>0.18</v>
      </c>
      <c r="K96" s="21">
        <v>0</v>
      </c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38" t="str">
        <f>IF(G96&gt;0,IF(AY96&lt;(0.8*G96),"WARNING!!!",IF(AY96&lt;G96,"ORDER","OK")),IF((VLOOKUP(A96,A:BR,51+E96,0))&lt;0,"WARNING!!!",IF((VLOOKUP(A96,A:BR,51+ROUND(1.25*E96,0),0))&lt;0,"ORDER","OK")))</f>
        <v>OK</v>
      </c>
      <c r="AY96" s="53">
        <f t="shared" ref="AY96" si="563">F96-AY97+AY98</f>
        <v>149.63999999999999</v>
      </c>
      <c r="AZ96" s="54">
        <f t="shared" ref="AZ96" si="564">AY96-AZ97+AZ98</f>
        <v>149.27999999999997</v>
      </c>
      <c r="BA96" s="54">
        <f t="shared" ref="BA96" si="565">AZ96-BA97+BA98</f>
        <v>148.91999999999996</v>
      </c>
      <c r="BB96" s="54">
        <f t="shared" ref="BB96" si="566">BA96-BB97+BB98</f>
        <v>148.55999999999995</v>
      </c>
      <c r="BC96" s="54">
        <f t="shared" ref="BC96" si="567">BB96-BC97+BC98</f>
        <v>148.19999999999993</v>
      </c>
      <c r="BD96" s="54">
        <f t="shared" ref="BD96" si="568">BC96-BD97+BD98</f>
        <v>147.29999999999993</v>
      </c>
      <c r="BE96" s="54">
        <f t="shared" ref="BE96" si="569">BD96-BE97+BE98</f>
        <v>146.93999999999991</v>
      </c>
      <c r="BF96" s="54">
        <f t="shared" ref="BF96" si="570">BE96-BF97+BF98</f>
        <v>146.5799999999999</v>
      </c>
      <c r="BG96" s="54">
        <f t="shared" ref="BG96" si="571">BF96-BG97+BG98</f>
        <v>146.21999999999989</v>
      </c>
      <c r="BH96" s="54">
        <f t="shared" ref="BH96" si="572">BG96-BH97+BH98</f>
        <v>145.85999999999987</v>
      </c>
      <c r="BI96" s="54">
        <f t="shared" ref="BI96" si="573">BH96-BI97+BI98</f>
        <v>145.49999999999986</v>
      </c>
      <c r="BJ96" s="54">
        <f t="shared" ref="BJ96" si="574">BI96-BJ97+BJ98</f>
        <v>145.13999999999984</v>
      </c>
      <c r="BK96" s="54">
        <f t="shared" ref="BK96" si="575">BJ96-BK97+BK98</f>
        <v>144.77999999999983</v>
      </c>
      <c r="BL96" s="54">
        <f t="shared" ref="BL96" si="576">BK96-BL97+BL98</f>
        <v>144.41999999999982</v>
      </c>
      <c r="BM96" s="54">
        <f t="shared" ref="BM96" si="577">BL96-BM97+BM98</f>
        <v>144.0599999999998</v>
      </c>
      <c r="BN96" s="54">
        <f t="shared" ref="BN96" si="578">BM96-BN97+BN98</f>
        <v>143.69999999999979</v>
      </c>
      <c r="BO96" s="54">
        <f t="shared" ref="BO96" si="579">BN96-BO97+BO98</f>
        <v>143.33999999999978</v>
      </c>
      <c r="BP96" s="54">
        <f t="shared" ref="BP96" si="580">BO96-BP97+BP98</f>
        <v>142.97999999999976</v>
      </c>
      <c r="BQ96" s="54">
        <f t="shared" ref="BQ96" si="581">BP96-BQ97+BQ98</f>
        <v>142.61999999999975</v>
      </c>
      <c r="BR96" s="55">
        <f t="shared" ref="BR96" si="582">BQ96-BR97+BR98</f>
        <v>142.25999999999974</v>
      </c>
      <c r="BX96" s="22"/>
    </row>
    <row r="97" spans="1:76" ht="12.75" hidden="1" outlineLevel="1" x14ac:dyDescent="0.2">
      <c r="A97" s="23"/>
      <c r="B97" s="24"/>
      <c r="C97" s="24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6" t="s">
        <v>8</v>
      </c>
      <c r="AY97" s="47">
        <f t="shared" ref="AY97" si="583">$I96*AY$3+$J96*AY$4+$K96*AY$5</f>
        <v>0.36</v>
      </c>
      <c r="AZ97" s="48">
        <f t="shared" ref="AZ97" si="584">$I96*AZ$3+$J96*AZ$4+$K96*AZ$5</f>
        <v>0.36</v>
      </c>
      <c r="BA97" s="48">
        <f t="shared" ref="BA97" si="585">$I96*BA$3+$J96*BA$4+$K96*BA$5</f>
        <v>0.36</v>
      </c>
      <c r="BB97" s="48">
        <f t="shared" ref="BB97" si="586">$I96*BB$3+$J96*BB$4+$K96*BB$5</f>
        <v>0.36</v>
      </c>
      <c r="BC97" s="48">
        <f t="shared" ref="BC97" si="587">$I96*BC$3+$J96*BC$4+$K96*BC$5</f>
        <v>0.36</v>
      </c>
      <c r="BD97" s="48">
        <f t="shared" ref="BD97" si="588">$I96*BD$3+$J96*BD$4+$K96*BD$5</f>
        <v>0.89999999999999991</v>
      </c>
      <c r="BE97" s="48">
        <f t="shared" ref="BE97" si="589">$I96*BE$3+$J96*BE$4+$K96*BE$5</f>
        <v>0.36</v>
      </c>
      <c r="BF97" s="48">
        <f t="shared" ref="BF97" si="590">$I96*BF$3+$J96*BF$4+$K96*BF$5</f>
        <v>0.36</v>
      </c>
      <c r="BG97" s="48">
        <f t="shared" ref="BG97" si="591">$I96*BG$3+$J96*BG$4+$K96*BG$5</f>
        <v>0.36</v>
      </c>
      <c r="BH97" s="48">
        <f t="shared" ref="BH97" si="592">$I96*BH$3+$J96*BH$4+$K96*BH$5</f>
        <v>0.36</v>
      </c>
      <c r="BI97" s="48">
        <f t="shared" ref="BI97" si="593">$I96*BI$3+$J96*BI$4+$K96*BI$5</f>
        <v>0.36</v>
      </c>
      <c r="BJ97" s="48">
        <f t="shared" ref="BJ97" si="594">$I96*BJ$3+$J96*BJ$4+$K96*BJ$5</f>
        <v>0.36</v>
      </c>
      <c r="BK97" s="48">
        <f t="shared" ref="BK97" si="595">$I96*BK$3+$J96*BK$4+$K96*BK$5</f>
        <v>0.36</v>
      </c>
      <c r="BL97" s="48">
        <f t="shared" ref="BL97" si="596">$I96*BL$3+$J96*BL$4+$K96*BL$5</f>
        <v>0.36</v>
      </c>
      <c r="BM97" s="48">
        <f t="shared" ref="BM97" si="597">$I96*BM$3+$J96*BM$4+$K96*BM$5</f>
        <v>0.36</v>
      </c>
      <c r="BN97" s="48">
        <f t="shared" ref="BN97" si="598">$I96*BN$3+$J96*BN$4+$K96*BN$5</f>
        <v>0.36</v>
      </c>
      <c r="BO97" s="48">
        <f t="shared" ref="BO97" si="599">$I96*BO$3+$J96*BO$4+$K96*BO$5</f>
        <v>0.36</v>
      </c>
      <c r="BP97" s="48">
        <f t="shared" ref="BP97" si="600">$I96*BP$3+$J96*BP$4+$K96*BP$5</f>
        <v>0.36</v>
      </c>
      <c r="BQ97" s="48">
        <f t="shared" ref="BQ97" si="601">$I96*BQ$3+$J96*BQ$4+$K96*BQ$5</f>
        <v>0.36</v>
      </c>
      <c r="BR97" s="49">
        <f t="shared" ref="BR97" si="602">$I96*BR$3+$J96*BR$4+$K96*BR$5</f>
        <v>0.36</v>
      </c>
    </row>
    <row r="98" spans="1:76" ht="12.75" hidden="1" outlineLevel="1" x14ac:dyDescent="0.2">
      <c r="A98" s="27"/>
      <c r="B98" s="28"/>
      <c r="C98" s="28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30" t="s">
        <v>9</v>
      </c>
      <c r="AY98" s="50"/>
      <c r="AZ98" s="51"/>
      <c r="BA98" s="51"/>
      <c r="BB98" s="51"/>
      <c r="BC98" s="51"/>
      <c r="BD98" s="51"/>
      <c r="BE98" s="51"/>
      <c r="BF98" s="51"/>
      <c r="BG98" s="51"/>
      <c r="BH98" s="51"/>
      <c r="BI98" s="51"/>
      <c r="BJ98" s="51"/>
      <c r="BK98" s="51"/>
      <c r="BL98" s="51"/>
      <c r="BM98" s="51"/>
      <c r="BN98" s="51"/>
      <c r="BO98" s="51"/>
      <c r="BP98" s="51"/>
      <c r="BQ98" s="51"/>
      <c r="BR98" s="52"/>
    </row>
    <row r="99" spans="1:76" ht="12.75" collapsed="1" x14ac:dyDescent="0.2">
      <c r="A99" s="20" t="s">
        <v>664</v>
      </c>
      <c r="B99" s="20" t="s">
        <v>248</v>
      </c>
      <c r="C99" s="20"/>
      <c r="D99" s="21" t="s">
        <v>665</v>
      </c>
      <c r="E99" s="21">
        <v>2</v>
      </c>
      <c r="F99" s="21">
        <f>SUMIF(stock_on_hand!A:A,A99,stock_on_hand!C:C)</f>
        <v>144000</v>
      </c>
      <c r="G99" s="21">
        <v>150</v>
      </c>
      <c r="H99" s="21" t="s">
        <v>7</v>
      </c>
      <c r="I99" s="21">
        <v>150</v>
      </c>
      <c r="J99" s="21">
        <v>100</v>
      </c>
      <c r="K99" s="21">
        <v>250</v>
      </c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38" t="str">
        <f>IF(G99&gt;0,IF(AY99&lt;(0.8*G99),"WARNING!!!",IF(AY99&lt;G99,"ORDER","OK")),IF((VLOOKUP(A99,A:BR,51+E99,0))&lt;0,"WARNING!!!",IF((VLOOKUP(A99,A:BR,51+ROUND(1.25*E99,0),0))&lt;0,"ORDER","OK")))</f>
        <v>OK</v>
      </c>
      <c r="AY99" s="53">
        <f t="shared" ref="AY99" si="603">F99-AY100+AY101</f>
        <v>141800</v>
      </c>
      <c r="AZ99" s="54">
        <f t="shared" ref="AZ99" si="604">AY99-AZ100+AZ101</f>
        <v>140800</v>
      </c>
      <c r="BA99" s="54">
        <f t="shared" ref="BA99" si="605">AZ99-BA100+BA101</f>
        <v>139800</v>
      </c>
      <c r="BB99" s="54">
        <f t="shared" ref="BB99" si="606">BA99-BB100+BB101</f>
        <v>138800</v>
      </c>
      <c r="BC99" s="54">
        <f t="shared" ref="BC99" si="607">BB99-BC100+BC101</f>
        <v>137800</v>
      </c>
      <c r="BD99" s="54">
        <f t="shared" ref="BD99" si="608">BC99-BD100+BD101</f>
        <v>136500</v>
      </c>
      <c r="BE99" s="54">
        <f t="shared" ref="BE99" si="609">BD99-BE100+BE101</f>
        <v>135500</v>
      </c>
      <c r="BF99" s="54">
        <f t="shared" ref="BF99" si="610">BE99-BF100+BF101</f>
        <v>134500</v>
      </c>
      <c r="BG99" s="54">
        <f t="shared" ref="BG99" si="611">BF99-BG100+BG101</f>
        <v>133500</v>
      </c>
      <c r="BH99" s="54">
        <f t="shared" ref="BH99" si="612">BG99-BH100+BH101</f>
        <v>132500</v>
      </c>
      <c r="BI99" s="54">
        <f t="shared" ref="BI99" si="613">BH99-BI100+BI101</f>
        <v>131500</v>
      </c>
      <c r="BJ99" s="54">
        <f t="shared" ref="BJ99" si="614">BI99-BJ100+BJ101</f>
        <v>130500</v>
      </c>
      <c r="BK99" s="54">
        <f t="shared" ref="BK99" si="615">BJ99-BK100+BK101</f>
        <v>129500</v>
      </c>
      <c r="BL99" s="54">
        <f t="shared" ref="BL99" si="616">BK99-BL100+BL101</f>
        <v>128500</v>
      </c>
      <c r="BM99" s="54">
        <f t="shared" ref="BM99" si="617">BL99-BM100+BM101</f>
        <v>127500</v>
      </c>
      <c r="BN99" s="54">
        <f t="shared" ref="BN99" si="618">BM99-BN100+BN101</f>
        <v>126500</v>
      </c>
      <c r="BO99" s="54">
        <f t="shared" ref="BO99" si="619">BN99-BO100+BO101</f>
        <v>125500</v>
      </c>
      <c r="BP99" s="54">
        <f t="shared" ref="BP99" si="620">BO99-BP100+BP101</f>
        <v>124500</v>
      </c>
      <c r="BQ99" s="54">
        <f t="shared" ref="BQ99" si="621">BP99-BQ100+BQ101</f>
        <v>123500</v>
      </c>
      <c r="BR99" s="55">
        <f t="shared" ref="BR99" si="622">BQ99-BR100+BR101</f>
        <v>122500</v>
      </c>
      <c r="BX99" s="22"/>
    </row>
    <row r="100" spans="1:76" ht="12.75" hidden="1" outlineLevel="1" x14ac:dyDescent="0.2">
      <c r="A100" s="23"/>
      <c r="B100" s="24"/>
      <c r="C100" s="24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6" t="s">
        <v>8</v>
      </c>
      <c r="AY100" s="47">
        <f t="shared" ref="AY100" si="623">$I99*AY$3+$J99*AY$4+$K99*AY$5</f>
        <v>2200</v>
      </c>
      <c r="AZ100" s="48">
        <f t="shared" ref="AZ100" si="624">$I99*AZ$3+$J99*AZ$4+$K99*AZ$5</f>
        <v>1000</v>
      </c>
      <c r="BA100" s="48">
        <f t="shared" ref="BA100" si="625">$I99*BA$3+$J99*BA$4+$K99*BA$5</f>
        <v>1000</v>
      </c>
      <c r="BB100" s="48">
        <f t="shared" ref="BB100" si="626">$I99*BB$3+$J99*BB$4+$K99*BB$5</f>
        <v>1000</v>
      </c>
      <c r="BC100" s="48">
        <f t="shared" ref="BC100" si="627">$I99*BC$3+$J99*BC$4+$K99*BC$5</f>
        <v>1000</v>
      </c>
      <c r="BD100" s="48">
        <f t="shared" ref="BD100" si="628">$I99*BD$3+$J99*BD$4+$K99*BD$5</f>
        <v>1300</v>
      </c>
      <c r="BE100" s="48">
        <f t="shared" ref="BE100" si="629">$I99*BE$3+$J99*BE$4+$K99*BE$5</f>
        <v>1000</v>
      </c>
      <c r="BF100" s="48">
        <f t="shared" ref="BF100" si="630">$I99*BF$3+$J99*BF$4+$K99*BF$5</f>
        <v>1000</v>
      </c>
      <c r="BG100" s="48">
        <f t="shared" ref="BG100" si="631">$I99*BG$3+$J99*BG$4+$K99*BG$5</f>
        <v>1000</v>
      </c>
      <c r="BH100" s="48">
        <f t="shared" ref="BH100" si="632">$I99*BH$3+$J99*BH$4+$K99*BH$5</f>
        <v>1000</v>
      </c>
      <c r="BI100" s="48">
        <f t="shared" ref="BI100" si="633">$I99*BI$3+$J99*BI$4+$K99*BI$5</f>
        <v>1000</v>
      </c>
      <c r="BJ100" s="48">
        <f t="shared" ref="BJ100" si="634">$I99*BJ$3+$J99*BJ$4+$K99*BJ$5</f>
        <v>1000</v>
      </c>
      <c r="BK100" s="48">
        <f t="shared" ref="BK100" si="635">$I99*BK$3+$J99*BK$4+$K99*BK$5</f>
        <v>1000</v>
      </c>
      <c r="BL100" s="48">
        <f t="shared" ref="BL100" si="636">$I99*BL$3+$J99*BL$4+$K99*BL$5</f>
        <v>1000</v>
      </c>
      <c r="BM100" s="48">
        <f t="shared" ref="BM100" si="637">$I99*BM$3+$J99*BM$4+$K99*BM$5</f>
        <v>1000</v>
      </c>
      <c r="BN100" s="48">
        <f t="shared" ref="BN100" si="638">$I99*BN$3+$J99*BN$4+$K99*BN$5</f>
        <v>1000</v>
      </c>
      <c r="BO100" s="48">
        <f t="shared" ref="BO100" si="639">$I99*BO$3+$J99*BO$4+$K99*BO$5</f>
        <v>1000</v>
      </c>
      <c r="BP100" s="48">
        <f t="shared" ref="BP100" si="640">$I99*BP$3+$J99*BP$4+$K99*BP$5</f>
        <v>1000</v>
      </c>
      <c r="BQ100" s="48">
        <f t="shared" ref="BQ100" si="641">$I99*BQ$3+$J99*BQ$4+$K99*BQ$5</f>
        <v>1000</v>
      </c>
      <c r="BR100" s="49">
        <f t="shared" ref="BR100" si="642">$I99*BR$3+$J99*BR$4+$K99*BR$5</f>
        <v>1000</v>
      </c>
    </row>
    <row r="101" spans="1:76" ht="12.75" hidden="1" outlineLevel="1" x14ac:dyDescent="0.2">
      <c r="A101" s="27"/>
      <c r="B101" s="28"/>
      <c r="C101" s="28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30" t="s">
        <v>9</v>
      </c>
      <c r="AY101" s="50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  <c r="BL101" s="51"/>
      <c r="BM101" s="51"/>
      <c r="BN101" s="51"/>
      <c r="BO101" s="51"/>
      <c r="BP101" s="51"/>
      <c r="BQ101" s="51"/>
      <c r="BR101" s="52"/>
    </row>
    <row r="102" spans="1:76" ht="12.75" collapsed="1" x14ac:dyDescent="0.2">
      <c r="A102" s="20" t="s">
        <v>672</v>
      </c>
      <c r="B102" s="20" t="s">
        <v>255</v>
      </c>
      <c r="C102" s="20"/>
      <c r="D102" s="21" t="s">
        <v>665</v>
      </c>
      <c r="E102" s="21">
        <v>2</v>
      </c>
      <c r="F102" s="21">
        <f>SUMIF(stock_on_hand!A:A,A102,stock_on_hand!C:C)</f>
        <v>72000</v>
      </c>
      <c r="G102" s="21"/>
      <c r="H102" s="21" t="s">
        <v>7</v>
      </c>
      <c r="I102" s="21">
        <v>0</v>
      </c>
      <c r="J102" s="21">
        <v>20</v>
      </c>
      <c r="K102" s="21">
        <v>0</v>
      </c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38" t="str">
        <f>IF(G102&gt;0,IF(AY102&lt;(0.8*G102),"WARNING!!!",IF(AY102&lt;G102,"ORDER","OK")),IF((VLOOKUP(A102,A:BR,51+E102,0))&lt;0,"WARNING!!!",IF((VLOOKUP(A102,A:BR,51+ROUND(1.25*E102,0),0))&lt;0,"ORDER","OK")))</f>
        <v>OK</v>
      </c>
      <c r="AY102" s="53">
        <f t="shared" ref="AY102" si="643">F102-AY103+AY104</f>
        <v>71960</v>
      </c>
      <c r="AZ102" s="54">
        <f t="shared" ref="AZ102" si="644">AY102-AZ103+AZ104</f>
        <v>71920</v>
      </c>
      <c r="BA102" s="54">
        <f t="shared" ref="BA102" si="645">AZ102-BA103+BA104</f>
        <v>71880</v>
      </c>
      <c r="BB102" s="54">
        <f t="shared" ref="BB102" si="646">BA102-BB103+BB104</f>
        <v>71840</v>
      </c>
      <c r="BC102" s="54">
        <f t="shared" ref="BC102" si="647">BB102-BC103+BC104</f>
        <v>71800</v>
      </c>
      <c r="BD102" s="54">
        <f t="shared" ref="BD102" si="648">BC102-BD103+BD104</f>
        <v>71700</v>
      </c>
      <c r="BE102" s="54">
        <f t="shared" ref="BE102" si="649">BD102-BE103+BE104</f>
        <v>71660</v>
      </c>
      <c r="BF102" s="54">
        <f t="shared" ref="BF102" si="650">BE102-BF103+BF104</f>
        <v>71620</v>
      </c>
      <c r="BG102" s="54">
        <f t="shared" ref="BG102" si="651">BF102-BG103+BG104</f>
        <v>71580</v>
      </c>
      <c r="BH102" s="54">
        <f t="shared" ref="BH102" si="652">BG102-BH103+BH104</f>
        <v>71540</v>
      </c>
      <c r="BI102" s="54">
        <f t="shared" ref="BI102" si="653">BH102-BI103+BI104</f>
        <v>71500</v>
      </c>
      <c r="BJ102" s="54">
        <f t="shared" ref="BJ102" si="654">BI102-BJ103+BJ104</f>
        <v>71460</v>
      </c>
      <c r="BK102" s="54">
        <f t="shared" ref="BK102" si="655">BJ102-BK103+BK104</f>
        <v>71420</v>
      </c>
      <c r="BL102" s="54">
        <f t="shared" ref="BL102" si="656">BK102-BL103+BL104</f>
        <v>71380</v>
      </c>
      <c r="BM102" s="54">
        <f t="shared" ref="BM102" si="657">BL102-BM103+BM104</f>
        <v>71340</v>
      </c>
      <c r="BN102" s="54">
        <f t="shared" ref="BN102" si="658">BM102-BN103+BN104</f>
        <v>71300</v>
      </c>
      <c r="BO102" s="54">
        <f t="shared" ref="BO102" si="659">BN102-BO103+BO104</f>
        <v>71260</v>
      </c>
      <c r="BP102" s="54">
        <f t="shared" ref="BP102" si="660">BO102-BP103+BP104</f>
        <v>71220</v>
      </c>
      <c r="BQ102" s="54">
        <f t="shared" ref="BQ102" si="661">BP102-BQ103+BQ104</f>
        <v>71180</v>
      </c>
      <c r="BR102" s="55">
        <f t="shared" ref="BR102" si="662">BQ102-BR103+BR104</f>
        <v>71140</v>
      </c>
      <c r="BX102" s="22"/>
    </row>
    <row r="103" spans="1:76" ht="12.75" hidden="1" outlineLevel="1" x14ac:dyDescent="0.2">
      <c r="A103" s="23"/>
      <c r="B103" s="24"/>
      <c r="C103" s="24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6" t="s">
        <v>8</v>
      </c>
      <c r="AY103" s="47">
        <f t="shared" ref="AY103" si="663">$I102*AY$3+$J102*AY$4+$K102*AY$5</f>
        <v>40</v>
      </c>
      <c r="AZ103" s="48">
        <f t="shared" ref="AZ103" si="664">$I102*AZ$3+$J102*AZ$4+$K102*AZ$5</f>
        <v>40</v>
      </c>
      <c r="BA103" s="48">
        <f t="shared" ref="BA103" si="665">$I102*BA$3+$J102*BA$4+$K102*BA$5</f>
        <v>40</v>
      </c>
      <c r="BB103" s="48">
        <f t="shared" ref="BB103" si="666">$I102*BB$3+$J102*BB$4+$K102*BB$5</f>
        <v>40</v>
      </c>
      <c r="BC103" s="48">
        <f t="shared" ref="BC103" si="667">$I102*BC$3+$J102*BC$4+$K102*BC$5</f>
        <v>40</v>
      </c>
      <c r="BD103" s="48">
        <f t="shared" ref="BD103" si="668">$I102*BD$3+$J102*BD$4+$K102*BD$5</f>
        <v>100</v>
      </c>
      <c r="BE103" s="48">
        <f t="shared" ref="BE103" si="669">$I102*BE$3+$J102*BE$4+$K102*BE$5</f>
        <v>40</v>
      </c>
      <c r="BF103" s="48">
        <f t="shared" ref="BF103" si="670">$I102*BF$3+$J102*BF$4+$K102*BF$5</f>
        <v>40</v>
      </c>
      <c r="BG103" s="48">
        <f t="shared" ref="BG103" si="671">$I102*BG$3+$J102*BG$4+$K102*BG$5</f>
        <v>40</v>
      </c>
      <c r="BH103" s="48">
        <f t="shared" ref="BH103" si="672">$I102*BH$3+$J102*BH$4+$K102*BH$5</f>
        <v>40</v>
      </c>
      <c r="BI103" s="48">
        <f t="shared" ref="BI103" si="673">$I102*BI$3+$J102*BI$4+$K102*BI$5</f>
        <v>40</v>
      </c>
      <c r="BJ103" s="48">
        <f t="shared" ref="BJ103" si="674">$I102*BJ$3+$J102*BJ$4+$K102*BJ$5</f>
        <v>40</v>
      </c>
      <c r="BK103" s="48">
        <f t="shared" ref="BK103" si="675">$I102*BK$3+$J102*BK$4+$K102*BK$5</f>
        <v>40</v>
      </c>
      <c r="BL103" s="48">
        <f t="shared" ref="BL103" si="676">$I102*BL$3+$J102*BL$4+$K102*BL$5</f>
        <v>40</v>
      </c>
      <c r="BM103" s="48">
        <f t="shared" ref="BM103" si="677">$I102*BM$3+$J102*BM$4+$K102*BM$5</f>
        <v>40</v>
      </c>
      <c r="BN103" s="48">
        <f t="shared" ref="BN103" si="678">$I102*BN$3+$J102*BN$4+$K102*BN$5</f>
        <v>40</v>
      </c>
      <c r="BO103" s="48">
        <f t="shared" ref="BO103" si="679">$I102*BO$3+$J102*BO$4+$K102*BO$5</f>
        <v>40</v>
      </c>
      <c r="BP103" s="48">
        <f t="shared" ref="BP103" si="680">$I102*BP$3+$J102*BP$4+$K102*BP$5</f>
        <v>40</v>
      </c>
      <c r="BQ103" s="48">
        <f t="shared" ref="BQ103" si="681">$I102*BQ$3+$J102*BQ$4+$K102*BQ$5</f>
        <v>40</v>
      </c>
      <c r="BR103" s="49">
        <f t="shared" ref="BR103" si="682">$I102*BR$3+$J102*BR$4+$K102*BR$5</f>
        <v>40</v>
      </c>
    </row>
    <row r="104" spans="1:76" ht="12.75" hidden="1" outlineLevel="1" x14ac:dyDescent="0.2">
      <c r="A104" s="27"/>
      <c r="B104" s="28"/>
      <c r="C104" s="28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30" t="s">
        <v>9</v>
      </c>
      <c r="AY104" s="50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  <c r="BL104" s="51"/>
      <c r="BM104" s="51"/>
      <c r="BN104" s="51"/>
      <c r="BO104" s="51"/>
      <c r="BP104" s="51"/>
      <c r="BQ104" s="51"/>
      <c r="BR104" s="52"/>
    </row>
    <row r="105" spans="1:76" ht="12.75" collapsed="1" x14ac:dyDescent="0.2">
      <c r="A105" s="20" t="s">
        <v>591</v>
      </c>
      <c r="B105" s="20" t="s">
        <v>24</v>
      </c>
      <c r="C105" s="20"/>
      <c r="D105" s="21" t="s">
        <v>592</v>
      </c>
      <c r="E105" s="21">
        <v>2</v>
      </c>
      <c r="F105" s="21">
        <f>SUMIF(stock_on_hand!A:A,A105,stock_on_hand!C:C)</f>
        <v>0</v>
      </c>
      <c r="G105" s="21"/>
      <c r="H105" s="21" t="s">
        <v>11</v>
      </c>
      <c r="I105" s="21">
        <v>1</v>
      </c>
      <c r="J105" s="21">
        <v>1</v>
      </c>
      <c r="K105" s="21">
        <v>1</v>
      </c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38" t="str">
        <f>IF(G105&gt;0,IF(AY105&lt;(0.8*G105),"WARNING!!!",IF(AY105&lt;G105,"ORDER","OK")),IF((VLOOKUP(A105,A:BR,51+E105,0))&lt;0,"WARNING!!!",IF((VLOOKUP(A105,A:BR,51+ROUND(1.25*E105,0),0))&lt;0,"ORDER","OK")))</f>
        <v>WARNING!!!</v>
      </c>
      <c r="AY105" s="53">
        <f t="shared" ref="AY105" si="683">F105-AY106+AY107</f>
        <v>-14</v>
      </c>
      <c r="AZ105" s="54">
        <f t="shared" ref="AZ105" si="684">AY105-AZ106+AZ107</f>
        <v>-20</v>
      </c>
      <c r="BA105" s="54">
        <f t="shared" ref="BA105" si="685">AZ105-BA106+BA107</f>
        <v>-26</v>
      </c>
      <c r="BB105" s="54">
        <f t="shared" ref="BB105" si="686">BA105-BB106+BB107</f>
        <v>-32</v>
      </c>
      <c r="BC105" s="54">
        <f t="shared" ref="BC105" si="687">BB105-BC106+BC107</f>
        <v>-38</v>
      </c>
      <c r="BD105" s="54">
        <f t="shared" ref="BD105" si="688">BC105-BD106+BD107</f>
        <v>-47</v>
      </c>
      <c r="BE105" s="54">
        <f t="shared" ref="BE105" si="689">BD105-BE106+BE107</f>
        <v>-53</v>
      </c>
      <c r="BF105" s="54">
        <f t="shared" ref="BF105" si="690">BE105-BF106+BF107</f>
        <v>-59</v>
      </c>
      <c r="BG105" s="54">
        <f t="shared" ref="BG105" si="691">BF105-BG106+BG107</f>
        <v>-65</v>
      </c>
      <c r="BH105" s="54">
        <f t="shared" ref="BH105" si="692">BG105-BH106+BH107</f>
        <v>-71</v>
      </c>
      <c r="BI105" s="54">
        <f t="shared" ref="BI105" si="693">BH105-BI106+BI107</f>
        <v>-77</v>
      </c>
      <c r="BJ105" s="54">
        <f t="shared" ref="BJ105" si="694">BI105-BJ106+BJ107</f>
        <v>-83</v>
      </c>
      <c r="BK105" s="54">
        <f t="shared" ref="BK105" si="695">BJ105-BK106+BK107</f>
        <v>-89</v>
      </c>
      <c r="BL105" s="54">
        <f t="shared" ref="BL105" si="696">BK105-BL106+BL107</f>
        <v>-95</v>
      </c>
      <c r="BM105" s="54">
        <f t="shared" ref="BM105" si="697">BL105-BM106+BM107</f>
        <v>-101</v>
      </c>
      <c r="BN105" s="54">
        <f t="shared" ref="BN105" si="698">BM105-BN106+BN107</f>
        <v>-107</v>
      </c>
      <c r="BO105" s="54">
        <f t="shared" ref="BO105" si="699">BN105-BO106+BO107</f>
        <v>-113</v>
      </c>
      <c r="BP105" s="54">
        <f t="shared" ref="BP105" si="700">BO105-BP106+BP107</f>
        <v>-119</v>
      </c>
      <c r="BQ105" s="54">
        <f t="shared" ref="BQ105" si="701">BP105-BQ106+BQ107</f>
        <v>-125</v>
      </c>
      <c r="BR105" s="55">
        <f t="shared" ref="BR105" si="702">BQ105-BR106+BR107</f>
        <v>-131</v>
      </c>
      <c r="BX105" s="22"/>
    </row>
    <row r="106" spans="1:76" ht="12.75" hidden="1" outlineLevel="1" x14ac:dyDescent="0.2">
      <c r="A106" s="23"/>
      <c r="B106" s="24"/>
      <c r="C106" s="24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6" t="s">
        <v>8</v>
      </c>
      <c r="AY106" s="47">
        <f t="shared" ref="AY106" si="703">$I105*AY$3+$J105*AY$4+$K105*AY$5</f>
        <v>14</v>
      </c>
      <c r="AZ106" s="48">
        <f t="shared" ref="AZ106" si="704">$I105*AZ$3+$J105*AZ$4+$K105*AZ$5</f>
        <v>6</v>
      </c>
      <c r="BA106" s="48">
        <f t="shared" ref="BA106" si="705">$I105*BA$3+$J105*BA$4+$K105*BA$5</f>
        <v>6</v>
      </c>
      <c r="BB106" s="48">
        <f t="shared" ref="BB106" si="706">$I105*BB$3+$J105*BB$4+$K105*BB$5</f>
        <v>6</v>
      </c>
      <c r="BC106" s="48">
        <f t="shared" ref="BC106" si="707">$I105*BC$3+$J105*BC$4+$K105*BC$5</f>
        <v>6</v>
      </c>
      <c r="BD106" s="48">
        <f t="shared" ref="BD106" si="708">$I105*BD$3+$J105*BD$4+$K105*BD$5</f>
        <v>9</v>
      </c>
      <c r="BE106" s="48">
        <f t="shared" ref="BE106" si="709">$I105*BE$3+$J105*BE$4+$K105*BE$5</f>
        <v>6</v>
      </c>
      <c r="BF106" s="48">
        <f t="shared" ref="BF106" si="710">$I105*BF$3+$J105*BF$4+$K105*BF$5</f>
        <v>6</v>
      </c>
      <c r="BG106" s="48">
        <f t="shared" ref="BG106" si="711">$I105*BG$3+$J105*BG$4+$K105*BG$5</f>
        <v>6</v>
      </c>
      <c r="BH106" s="48">
        <f t="shared" ref="BH106" si="712">$I105*BH$3+$J105*BH$4+$K105*BH$5</f>
        <v>6</v>
      </c>
      <c r="BI106" s="48">
        <f t="shared" ref="BI106" si="713">$I105*BI$3+$J105*BI$4+$K105*BI$5</f>
        <v>6</v>
      </c>
      <c r="BJ106" s="48">
        <f t="shared" ref="BJ106" si="714">$I105*BJ$3+$J105*BJ$4+$K105*BJ$5</f>
        <v>6</v>
      </c>
      <c r="BK106" s="48">
        <f t="shared" ref="BK106" si="715">$I105*BK$3+$J105*BK$4+$K105*BK$5</f>
        <v>6</v>
      </c>
      <c r="BL106" s="48">
        <f t="shared" ref="BL106" si="716">$I105*BL$3+$J105*BL$4+$K105*BL$5</f>
        <v>6</v>
      </c>
      <c r="BM106" s="48">
        <f t="shared" ref="BM106" si="717">$I105*BM$3+$J105*BM$4+$K105*BM$5</f>
        <v>6</v>
      </c>
      <c r="BN106" s="48">
        <f t="shared" ref="BN106" si="718">$I105*BN$3+$J105*BN$4+$K105*BN$5</f>
        <v>6</v>
      </c>
      <c r="BO106" s="48">
        <f t="shared" ref="BO106" si="719">$I105*BO$3+$J105*BO$4+$K105*BO$5</f>
        <v>6</v>
      </c>
      <c r="BP106" s="48">
        <f t="shared" ref="BP106" si="720">$I105*BP$3+$J105*BP$4+$K105*BP$5</f>
        <v>6</v>
      </c>
      <c r="BQ106" s="48">
        <f t="shared" ref="BQ106" si="721">$I105*BQ$3+$J105*BQ$4+$K105*BQ$5</f>
        <v>6</v>
      </c>
      <c r="BR106" s="49">
        <f t="shared" ref="BR106" si="722">$I105*BR$3+$J105*BR$4+$K105*BR$5</f>
        <v>6</v>
      </c>
    </row>
    <row r="107" spans="1:76" ht="12.75" hidden="1" outlineLevel="1" x14ac:dyDescent="0.2">
      <c r="A107" s="27"/>
      <c r="B107" s="28"/>
      <c r="C107" s="28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30" t="s">
        <v>9</v>
      </c>
      <c r="AY107" s="50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2"/>
    </row>
    <row r="108" spans="1:76" ht="12.75" collapsed="1" x14ac:dyDescent="0.2">
      <c r="A108" s="20" t="s">
        <v>593</v>
      </c>
      <c r="B108" s="20" t="s">
        <v>25</v>
      </c>
      <c r="C108" s="20"/>
      <c r="D108" s="21" t="s">
        <v>592</v>
      </c>
      <c r="E108" s="21">
        <v>2</v>
      </c>
      <c r="F108" s="21">
        <f>SUMIF(stock_on_hand!A:A,A108,stock_on_hand!C:C)</f>
        <v>1680</v>
      </c>
      <c r="G108" s="21"/>
      <c r="H108" s="21" t="s">
        <v>11</v>
      </c>
      <c r="I108" s="21">
        <v>1</v>
      </c>
      <c r="J108" s="21">
        <v>1</v>
      </c>
      <c r="K108" s="21">
        <v>1</v>
      </c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38" t="str">
        <f>IF(G108&gt;0,IF(AY108&lt;(0.8*G108),"WARNING!!!",IF(AY108&lt;G108,"ORDER","OK")),IF((VLOOKUP(A108,A:BR,51+E108,0))&lt;0,"WARNING!!!",IF((VLOOKUP(A108,A:BR,51+ROUND(1.25*E108,0),0))&lt;0,"ORDER","OK")))</f>
        <v>OK</v>
      </c>
      <c r="AY108" s="53">
        <f t="shared" ref="AY108" si="723">F108-AY109+AY110</f>
        <v>1666</v>
      </c>
      <c r="AZ108" s="54">
        <f t="shared" ref="AZ108" si="724">AY108-AZ109+AZ110</f>
        <v>1660</v>
      </c>
      <c r="BA108" s="54">
        <f t="shared" ref="BA108" si="725">AZ108-BA109+BA110</f>
        <v>1654</v>
      </c>
      <c r="BB108" s="54">
        <f t="shared" ref="BB108" si="726">BA108-BB109+BB110</f>
        <v>1648</v>
      </c>
      <c r="BC108" s="54">
        <f t="shared" ref="BC108" si="727">BB108-BC109+BC110</f>
        <v>1642</v>
      </c>
      <c r="BD108" s="54">
        <f t="shared" ref="BD108" si="728">BC108-BD109+BD110</f>
        <v>1633</v>
      </c>
      <c r="BE108" s="54">
        <f t="shared" ref="BE108" si="729">BD108-BE109+BE110</f>
        <v>1627</v>
      </c>
      <c r="BF108" s="54">
        <f t="shared" ref="BF108" si="730">BE108-BF109+BF110</f>
        <v>1621</v>
      </c>
      <c r="BG108" s="54">
        <f t="shared" ref="BG108" si="731">BF108-BG109+BG110</f>
        <v>1615</v>
      </c>
      <c r="BH108" s="54">
        <f t="shared" ref="BH108" si="732">BG108-BH109+BH110</f>
        <v>1609</v>
      </c>
      <c r="BI108" s="54">
        <f t="shared" ref="BI108" si="733">BH108-BI109+BI110</f>
        <v>1603</v>
      </c>
      <c r="BJ108" s="54">
        <f t="shared" ref="BJ108" si="734">BI108-BJ109+BJ110</f>
        <v>1597</v>
      </c>
      <c r="BK108" s="54">
        <f t="shared" ref="BK108" si="735">BJ108-BK109+BK110</f>
        <v>1591</v>
      </c>
      <c r="BL108" s="54">
        <f t="shared" ref="BL108" si="736">BK108-BL109+BL110</f>
        <v>1585</v>
      </c>
      <c r="BM108" s="54">
        <f t="shared" ref="BM108" si="737">BL108-BM109+BM110</f>
        <v>1579</v>
      </c>
      <c r="BN108" s="54">
        <f t="shared" ref="BN108" si="738">BM108-BN109+BN110</f>
        <v>1573</v>
      </c>
      <c r="BO108" s="54">
        <f t="shared" ref="BO108" si="739">BN108-BO109+BO110</f>
        <v>1567</v>
      </c>
      <c r="BP108" s="54">
        <f t="shared" ref="BP108" si="740">BO108-BP109+BP110</f>
        <v>1561</v>
      </c>
      <c r="BQ108" s="54">
        <f t="shared" ref="BQ108" si="741">BP108-BQ109+BQ110</f>
        <v>1555</v>
      </c>
      <c r="BR108" s="55">
        <f t="shared" ref="BR108" si="742">BQ108-BR109+BR110</f>
        <v>1549</v>
      </c>
      <c r="BX108" s="22"/>
    </row>
    <row r="109" spans="1:76" ht="12.75" hidden="1" outlineLevel="1" x14ac:dyDescent="0.2">
      <c r="A109" s="23"/>
      <c r="B109" s="24"/>
      <c r="C109" s="24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6" t="s">
        <v>8</v>
      </c>
      <c r="AY109" s="47">
        <f t="shared" ref="AY109" si="743">$I108*AY$3+$J108*AY$4+$K108*AY$5</f>
        <v>14</v>
      </c>
      <c r="AZ109" s="48">
        <f t="shared" ref="AZ109" si="744">$I108*AZ$3+$J108*AZ$4+$K108*AZ$5</f>
        <v>6</v>
      </c>
      <c r="BA109" s="48">
        <f t="shared" ref="BA109" si="745">$I108*BA$3+$J108*BA$4+$K108*BA$5</f>
        <v>6</v>
      </c>
      <c r="BB109" s="48">
        <f t="shared" ref="BB109" si="746">$I108*BB$3+$J108*BB$4+$K108*BB$5</f>
        <v>6</v>
      </c>
      <c r="BC109" s="48">
        <f t="shared" ref="BC109" si="747">$I108*BC$3+$J108*BC$4+$K108*BC$5</f>
        <v>6</v>
      </c>
      <c r="BD109" s="48">
        <f t="shared" ref="BD109" si="748">$I108*BD$3+$J108*BD$4+$K108*BD$5</f>
        <v>9</v>
      </c>
      <c r="BE109" s="48">
        <f t="shared" ref="BE109" si="749">$I108*BE$3+$J108*BE$4+$K108*BE$5</f>
        <v>6</v>
      </c>
      <c r="BF109" s="48">
        <f t="shared" ref="BF109" si="750">$I108*BF$3+$J108*BF$4+$K108*BF$5</f>
        <v>6</v>
      </c>
      <c r="BG109" s="48">
        <f t="shared" ref="BG109" si="751">$I108*BG$3+$J108*BG$4+$K108*BG$5</f>
        <v>6</v>
      </c>
      <c r="BH109" s="48">
        <f t="shared" ref="BH109" si="752">$I108*BH$3+$J108*BH$4+$K108*BH$5</f>
        <v>6</v>
      </c>
      <c r="BI109" s="48">
        <f t="shared" ref="BI109" si="753">$I108*BI$3+$J108*BI$4+$K108*BI$5</f>
        <v>6</v>
      </c>
      <c r="BJ109" s="48">
        <f t="shared" ref="BJ109" si="754">$I108*BJ$3+$J108*BJ$4+$K108*BJ$5</f>
        <v>6</v>
      </c>
      <c r="BK109" s="48">
        <f t="shared" ref="BK109" si="755">$I108*BK$3+$J108*BK$4+$K108*BK$5</f>
        <v>6</v>
      </c>
      <c r="BL109" s="48">
        <f t="shared" ref="BL109" si="756">$I108*BL$3+$J108*BL$4+$K108*BL$5</f>
        <v>6</v>
      </c>
      <c r="BM109" s="48">
        <f t="shared" ref="BM109" si="757">$I108*BM$3+$J108*BM$4+$K108*BM$5</f>
        <v>6</v>
      </c>
      <c r="BN109" s="48">
        <f t="shared" ref="BN109" si="758">$I108*BN$3+$J108*BN$4+$K108*BN$5</f>
        <v>6</v>
      </c>
      <c r="BO109" s="48">
        <f t="shared" ref="BO109" si="759">$I108*BO$3+$J108*BO$4+$K108*BO$5</f>
        <v>6</v>
      </c>
      <c r="BP109" s="48">
        <f t="shared" ref="BP109" si="760">$I108*BP$3+$J108*BP$4+$K108*BP$5</f>
        <v>6</v>
      </c>
      <c r="BQ109" s="48">
        <f t="shared" ref="BQ109" si="761">$I108*BQ$3+$J108*BQ$4+$K108*BQ$5</f>
        <v>6</v>
      </c>
      <c r="BR109" s="49">
        <f t="shared" ref="BR109" si="762">$I108*BR$3+$J108*BR$4+$K108*BR$5</f>
        <v>6</v>
      </c>
    </row>
    <row r="110" spans="1:76" ht="12.75" hidden="1" outlineLevel="1" x14ac:dyDescent="0.2">
      <c r="A110" s="27"/>
      <c r="B110" s="28"/>
      <c r="C110" s="28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30" t="s">
        <v>9</v>
      </c>
      <c r="AY110" s="50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2"/>
    </row>
    <row r="111" spans="1:76" ht="12.75" collapsed="1" x14ac:dyDescent="0.2">
      <c r="A111" s="20" t="s">
        <v>604</v>
      </c>
      <c r="B111" s="20" t="s">
        <v>32</v>
      </c>
      <c r="C111" s="20"/>
      <c r="D111" s="21" t="s">
        <v>601</v>
      </c>
      <c r="E111" s="21">
        <v>2</v>
      </c>
      <c r="F111" s="21">
        <f>SUMIF(stock_on_hand!A:A,A111,stock_on_hand!C:C)</f>
        <v>2880</v>
      </c>
      <c r="G111" s="21"/>
      <c r="H111" s="21" t="s">
        <v>7</v>
      </c>
      <c r="I111" s="21">
        <v>2.6</v>
      </c>
      <c r="J111" s="21">
        <v>0</v>
      </c>
      <c r="K111" s="21">
        <v>8.6999999999999993</v>
      </c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38" t="str">
        <f>IF(G111&gt;0,IF(AY111&lt;(0.8*G111),"WARNING!!!",IF(AY111&lt;G111,"ORDER","OK")),IF((VLOOKUP(A111,A:BR,51+E111,0))&lt;0,"WARNING!!!",IF((VLOOKUP(A111,A:BR,51+ROUND(1.25*E111,0),0))&lt;0,"ORDER","OK")))</f>
        <v>OK</v>
      </c>
      <c r="AY111" s="53">
        <f t="shared" ref="AY111" si="763">F111-AY112+AY113</f>
        <v>2836.6</v>
      </c>
      <c r="AZ111" s="54">
        <f t="shared" ref="AZ111" si="764">AY111-AZ112+AZ113</f>
        <v>2814</v>
      </c>
      <c r="BA111" s="54">
        <f t="shared" ref="BA111" si="765">AZ111-BA112+BA113</f>
        <v>2791.4</v>
      </c>
      <c r="BB111" s="54">
        <f t="shared" ref="BB111" si="766">BA111-BB112+BB113</f>
        <v>2768.8</v>
      </c>
      <c r="BC111" s="54">
        <f t="shared" ref="BC111" si="767">BB111-BC112+BC113</f>
        <v>2746.2000000000003</v>
      </c>
      <c r="BD111" s="54">
        <f t="shared" ref="BD111" si="768">BC111-BD112+BD113</f>
        <v>2723.6000000000004</v>
      </c>
      <c r="BE111" s="54">
        <f t="shared" ref="BE111" si="769">BD111-BE112+BE113</f>
        <v>2701.0000000000005</v>
      </c>
      <c r="BF111" s="54">
        <f t="shared" ref="BF111" si="770">BE111-BF112+BF113</f>
        <v>2678.4000000000005</v>
      </c>
      <c r="BG111" s="54">
        <f t="shared" ref="BG111" si="771">BF111-BG112+BG113</f>
        <v>2655.8000000000006</v>
      </c>
      <c r="BH111" s="54">
        <f t="shared" ref="BH111" si="772">BG111-BH112+BH113</f>
        <v>2633.2000000000007</v>
      </c>
      <c r="BI111" s="54">
        <f t="shared" ref="BI111" si="773">BH111-BI112+BI113</f>
        <v>2610.6000000000008</v>
      </c>
      <c r="BJ111" s="54">
        <f t="shared" ref="BJ111" si="774">BI111-BJ112+BJ113</f>
        <v>2588.0000000000009</v>
      </c>
      <c r="BK111" s="54">
        <f t="shared" ref="BK111" si="775">BJ111-BK112+BK113</f>
        <v>2565.400000000001</v>
      </c>
      <c r="BL111" s="54">
        <f t="shared" ref="BL111" si="776">BK111-BL112+BL113</f>
        <v>2542.8000000000011</v>
      </c>
      <c r="BM111" s="54">
        <f t="shared" ref="BM111" si="777">BL111-BM112+BM113</f>
        <v>2520.2000000000012</v>
      </c>
      <c r="BN111" s="54">
        <f t="shared" ref="BN111" si="778">BM111-BN112+BN113</f>
        <v>2497.6000000000013</v>
      </c>
      <c r="BO111" s="54">
        <f t="shared" ref="BO111" si="779">BN111-BO112+BO113</f>
        <v>2475.0000000000014</v>
      </c>
      <c r="BP111" s="54">
        <f t="shared" ref="BP111" si="780">BO111-BP112+BP113</f>
        <v>2452.4000000000015</v>
      </c>
      <c r="BQ111" s="54">
        <f t="shared" ref="BQ111" si="781">BP111-BQ112+BQ113</f>
        <v>2429.8000000000015</v>
      </c>
      <c r="BR111" s="55">
        <f t="shared" ref="BR111" si="782">BQ111-BR112+BR113</f>
        <v>2407.2000000000016</v>
      </c>
      <c r="BX111" s="22"/>
    </row>
    <row r="112" spans="1:76" ht="12.75" hidden="1" outlineLevel="1" x14ac:dyDescent="0.2">
      <c r="A112" s="23"/>
      <c r="B112" s="24"/>
      <c r="C112" s="24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6" t="s">
        <v>8</v>
      </c>
      <c r="AY112" s="47">
        <f t="shared" ref="AY112" si="783">$I111*AY$3+$J111*AY$4+$K111*AY$5</f>
        <v>43.4</v>
      </c>
      <c r="AZ112" s="48">
        <f t="shared" ref="AZ112" si="784">$I111*AZ$3+$J111*AZ$4+$K111*AZ$5</f>
        <v>22.599999999999998</v>
      </c>
      <c r="BA112" s="48">
        <f t="shared" ref="BA112" si="785">$I111*BA$3+$J111*BA$4+$K111*BA$5</f>
        <v>22.599999999999998</v>
      </c>
      <c r="BB112" s="48">
        <f t="shared" ref="BB112" si="786">$I111*BB$3+$J111*BB$4+$K111*BB$5</f>
        <v>22.599999999999998</v>
      </c>
      <c r="BC112" s="48">
        <f t="shared" ref="BC112" si="787">$I111*BC$3+$J111*BC$4+$K111*BC$5</f>
        <v>22.599999999999998</v>
      </c>
      <c r="BD112" s="48">
        <f t="shared" ref="BD112" si="788">$I111*BD$3+$J111*BD$4+$K111*BD$5</f>
        <v>22.599999999999998</v>
      </c>
      <c r="BE112" s="48">
        <f t="shared" ref="BE112" si="789">$I111*BE$3+$J111*BE$4+$K111*BE$5</f>
        <v>22.599999999999998</v>
      </c>
      <c r="BF112" s="48">
        <f t="shared" ref="BF112" si="790">$I111*BF$3+$J111*BF$4+$K111*BF$5</f>
        <v>22.599999999999998</v>
      </c>
      <c r="BG112" s="48">
        <f t="shared" ref="BG112" si="791">$I111*BG$3+$J111*BG$4+$K111*BG$5</f>
        <v>22.599999999999998</v>
      </c>
      <c r="BH112" s="48">
        <f t="shared" ref="BH112" si="792">$I111*BH$3+$J111*BH$4+$K111*BH$5</f>
        <v>22.599999999999998</v>
      </c>
      <c r="BI112" s="48">
        <f t="shared" ref="BI112" si="793">$I111*BI$3+$J111*BI$4+$K111*BI$5</f>
        <v>22.599999999999998</v>
      </c>
      <c r="BJ112" s="48">
        <f t="shared" ref="BJ112" si="794">$I111*BJ$3+$J111*BJ$4+$K111*BJ$5</f>
        <v>22.599999999999998</v>
      </c>
      <c r="BK112" s="48">
        <f t="shared" ref="BK112" si="795">$I111*BK$3+$J111*BK$4+$K111*BK$5</f>
        <v>22.599999999999998</v>
      </c>
      <c r="BL112" s="48">
        <f t="shared" ref="BL112" si="796">$I111*BL$3+$J111*BL$4+$K111*BL$5</f>
        <v>22.599999999999998</v>
      </c>
      <c r="BM112" s="48">
        <f t="shared" ref="BM112" si="797">$I111*BM$3+$J111*BM$4+$K111*BM$5</f>
        <v>22.599999999999998</v>
      </c>
      <c r="BN112" s="48">
        <f t="shared" ref="BN112" si="798">$I111*BN$3+$J111*BN$4+$K111*BN$5</f>
        <v>22.599999999999998</v>
      </c>
      <c r="BO112" s="48">
        <f t="shared" ref="BO112" si="799">$I111*BO$3+$J111*BO$4+$K111*BO$5</f>
        <v>22.599999999999998</v>
      </c>
      <c r="BP112" s="48">
        <f t="shared" ref="BP112" si="800">$I111*BP$3+$J111*BP$4+$K111*BP$5</f>
        <v>22.599999999999998</v>
      </c>
      <c r="BQ112" s="48">
        <f t="shared" ref="BQ112" si="801">$I111*BQ$3+$J111*BQ$4+$K111*BQ$5</f>
        <v>22.599999999999998</v>
      </c>
      <c r="BR112" s="49">
        <f t="shared" ref="BR112" si="802">$I111*BR$3+$J111*BR$4+$K111*BR$5</f>
        <v>22.599999999999998</v>
      </c>
    </row>
    <row r="113" spans="1:76" ht="12.75" hidden="1" outlineLevel="1" x14ac:dyDescent="0.2">
      <c r="A113" s="27"/>
      <c r="B113" s="28"/>
      <c r="C113" s="28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30" t="s">
        <v>9</v>
      </c>
      <c r="AY113" s="50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  <c r="BL113" s="51"/>
      <c r="BM113" s="51"/>
      <c r="BN113" s="51"/>
      <c r="BO113" s="51"/>
      <c r="BP113" s="51"/>
      <c r="BQ113" s="51"/>
      <c r="BR113" s="52"/>
    </row>
    <row r="114" spans="1:76" ht="12.75" collapsed="1" x14ac:dyDescent="0.2">
      <c r="A114" s="20" t="s">
        <v>605</v>
      </c>
      <c r="B114" s="20" t="s">
        <v>33</v>
      </c>
      <c r="C114" s="20"/>
      <c r="D114" s="21" t="s">
        <v>601</v>
      </c>
      <c r="E114" s="21">
        <v>2</v>
      </c>
      <c r="F114" s="21">
        <f>SUMIF(stock_on_hand!A:A,A114,stock_on_hand!C:C)</f>
        <v>1020</v>
      </c>
      <c r="G114" s="21"/>
      <c r="H114" s="21" t="s">
        <v>7</v>
      </c>
      <c r="I114" s="21">
        <v>0</v>
      </c>
      <c r="J114" s="21">
        <v>0</v>
      </c>
      <c r="K114" s="21">
        <v>0.8</v>
      </c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38" t="str">
        <f>IF(G114&gt;0,IF(AY114&lt;(0.8*G114),"WARNING!!!",IF(AY114&lt;G114,"ORDER","OK")),IF((VLOOKUP(A114,A:BR,51+E114,0))&lt;0,"WARNING!!!",IF((VLOOKUP(A114,A:BR,51+ROUND(1.25*E114,0),0))&lt;0,"ORDER","OK")))</f>
        <v>OK</v>
      </c>
      <c r="AY114" s="53">
        <f t="shared" ref="AY114" si="803">F114-AY115+AY116</f>
        <v>1018.4</v>
      </c>
      <c r="AZ114" s="54">
        <f t="shared" ref="AZ114" si="804">AY114-AZ115+AZ116</f>
        <v>1016.8</v>
      </c>
      <c r="BA114" s="54">
        <f t="shared" ref="BA114" si="805">AZ114-BA115+BA116</f>
        <v>1015.1999999999999</v>
      </c>
      <c r="BB114" s="54">
        <f t="shared" ref="BB114" si="806">BA114-BB115+BB116</f>
        <v>1013.5999999999999</v>
      </c>
      <c r="BC114" s="54">
        <f t="shared" ref="BC114" si="807">BB114-BC115+BC116</f>
        <v>1011.9999999999999</v>
      </c>
      <c r="BD114" s="54">
        <f t="shared" ref="BD114" si="808">BC114-BD115+BD116</f>
        <v>1010.3999999999999</v>
      </c>
      <c r="BE114" s="54">
        <f t="shared" ref="BE114" si="809">BD114-BE115+BE116</f>
        <v>1008.7999999999998</v>
      </c>
      <c r="BF114" s="54">
        <f t="shared" ref="BF114" si="810">BE114-BF115+BF116</f>
        <v>1007.1999999999998</v>
      </c>
      <c r="BG114" s="54">
        <f t="shared" ref="BG114" si="811">BF114-BG115+BG116</f>
        <v>1005.5999999999998</v>
      </c>
      <c r="BH114" s="54">
        <f t="shared" ref="BH114" si="812">BG114-BH115+BH116</f>
        <v>1003.9999999999998</v>
      </c>
      <c r="BI114" s="54">
        <f t="shared" ref="BI114" si="813">BH114-BI115+BI116</f>
        <v>1002.3999999999997</v>
      </c>
      <c r="BJ114" s="54">
        <f t="shared" ref="BJ114" si="814">BI114-BJ115+BJ116</f>
        <v>1000.7999999999997</v>
      </c>
      <c r="BK114" s="54">
        <f t="shared" ref="BK114" si="815">BJ114-BK115+BK116</f>
        <v>999.1999999999997</v>
      </c>
      <c r="BL114" s="54">
        <f t="shared" ref="BL114" si="816">BK114-BL115+BL116</f>
        <v>997.59999999999968</v>
      </c>
      <c r="BM114" s="54">
        <f t="shared" ref="BM114" si="817">BL114-BM115+BM116</f>
        <v>995.99999999999966</v>
      </c>
      <c r="BN114" s="54">
        <f t="shared" ref="BN114" si="818">BM114-BN115+BN116</f>
        <v>994.39999999999964</v>
      </c>
      <c r="BO114" s="54">
        <f t="shared" ref="BO114" si="819">BN114-BO115+BO116</f>
        <v>992.79999999999961</v>
      </c>
      <c r="BP114" s="54">
        <f t="shared" ref="BP114" si="820">BO114-BP115+BP116</f>
        <v>991.19999999999959</v>
      </c>
      <c r="BQ114" s="54">
        <f t="shared" ref="BQ114" si="821">BP114-BQ115+BQ116</f>
        <v>989.59999999999957</v>
      </c>
      <c r="BR114" s="55">
        <f t="shared" ref="BR114" si="822">BQ114-BR115+BR116</f>
        <v>987.99999999999955</v>
      </c>
      <c r="BX114" s="22"/>
    </row>
    <row r="115" spans="1:76" ht="12.75" hidden="1" outlineLevel="1" x14ac:dyDescent="0.2">
      <c r="A115" s="23"/>
      <c r="B115" s="24"/>
      <c r="C115" s="24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6" t="s">
        <v>8</v>
      </c>
      <c r="AY115" s="47">
        <f t="shared" ref="AY115" si="823">$I114*AY$3+$J114*AY$4+$K114*AY$5</f>
        <v>1.6</v>
      </c>
      <c r="AZ115" s="48">
        <f t="shared" ref="AZ115" si="824">$I114*AZ$3+$J114*AZ$4+$K114*AZ$5</f>
        <v>1.6</v>
      </c>
      <c r="BA115" s="48">
        <f t="shared" ref="BA115" si="825">$I114*BA$3+$J114*BA$4+$K114*BA$5</f>
        <v>1.6</v>
      </c>
      <c r="BB115" s="48">
        <f t="shared" ref="BB115" si="826">$I114*BB$3+$J114*BB$4+$K114*BB$5</f>
        <v>1.6</v>
      </c>
      <c r="BC115" s="48">
        <f t="shared" ref="BC115" si="827">$I114*BC$3+$J114*BC$4+$K114*BC$5</f>
        <v>1.6</v>
      </c>
      <c r="BD115" s="48">
        <f t="shared" ref="BD115" si="828">$I114*BD$3+$J114*BD$4+$K114*BD$5</f>
        <v>1.6</v>
      </c>
      <c r="BE115" s="48">
        <f t="shared" ref="BE115" si="829">$I114*BE$3+$J114*BE$4+$K114*BE$5</f>
        <v>1.6</v>
      </c>
      <c r="BF115" s="48">
        <f t="shared" ref="BF115" si="830">$I114*BF$3+$J114*BF$4+$K114*BF$5</f>
        <v>1.6</v>
      </c>
      <c r="BG115" s="48">
        <f t="shared" ref="BG115" si="831">$I114*BG$3+$J114*BG$4+$K114*BG$5</f>
        <v>1.6</v>
      </c>
      <c r="BH115" s="48">
        <f t="shared" ref="BH115" si="832">$I114*BH$3+$J114*BH$4+$K114*BH$5</f>
        <v>1.6</v>
      </c>
      <c r="BI115" s="48">
        <f t="shared" ref="BI115" si="833">$I114*BI$3+$J114*BI$4+$K114*BI$5</f>
        <v>1.6</v>
      </c>
      <c r="BJ115" s="48">
        <f t="shared" ref="BJ115" si="834">$I114*BJ$3+$J114*BJ$4+$K114*BJ$5</f>
        <v>1.6</v>
      </c>
      <c r="BK115" s="48">
        <f t="shared" ref="BK115" si="835">$I114*BK$3+$J114*BK$4+$K114*BK$5</f>
        <v>1.6</v>
      </c>
      <c r="BL115" s="48">
        <f t="shared" ref="BL115" si="836">$I114*BL$3+$J114*BL$4+$K114*BL$5</f>
        <v>1.6</v>
      </c>
      <c r="BM115" s="48">
        <f t="shared" ref="BM115" si="837">$I114*BM$3+$J114*BM$4+$K114*BM$5</f>
        <v>1.6</v>
      </c>
      <c r="BN115" s="48">
        <f t="shared" ref="BN115" si="838">$I114*BN$3+$J114*BN$4+$K114*BN$5</f>
        <v>1.6</v>
      </c>
      <c r="BO115" s="48">
        <f t="shared" ref="BO115" si="839">$I114*BO$3+$J114*BO$4+$K114*BO$5</f>
        <v>1.6</v>
      </c>
      <c r="BP115" s="48">
        <f t="shared" ref="BP115" si="840">$I114*BP$3+$J114*BP$4+$K114*BP$5</f>
        <v>1.6</v>
      </c>
      <c r="BQ115" s="48">
        <f t="shared" ref="BQ115" si="841">$I114*BQ$3+$J114*BQ$4+$K114*BQ$5</f>
        <v>1.6</v>
      </c>
      <c r="BR115" s="49">
        <f t="shared" ref="BR115" si="842">$I114*BR$3+$J114*BR$4+$K114*BR$5</f>
        <v>1.6</v>
      </c>
    </row>
    <row r="116" spans="1:76" ht="12.75" hidden="1" outlineLevel="1" x14ac:dyDescent="0.2">
      <c r="A116" s="27"/>
      <c r="B116" s="28"/>
      <c r="C116" s="28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30" t="s">
        <v>9</v>
      </c>
      <c r="AY116" s="50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  <c r="BL116" s="51"/>
      <c r="BM116" s="51"/>
      <c r="BN116" s="51"/>
      <c r="BO116" s="51"/>
      <c r="BP116" s="51"/>
      <c r="BQ116" s="51"/>
      <c r="BR116" s="52"/>
    </row>
    <row r="117" spans="1:76" ht="12.75" collapsed="1" x14ac:dyDescent="0.2">
      <c r="A117" s="20" t="s">
        <v>606</v>
      </c>
      <c r="B117" s="20" t="s">
        <v>34</v>
      </c>
      <c r="C117" s="20"/>
      <c r="D117" s="21" t="s">
        <v>601</v>
      </c>
      <c r="E117" s="21">
        <v>2</v>
      </c>
      <c r="F117" s="21">
        <f>SUMIF(stock_on_hand!A:A,A117,stock_on_hand!C:C)</f>
        <v>1440</v>
      </c>
      <c r="G117" s="21"/>
      <c r="H117" s="21" t="s">
        <v>7</v>
      </c>
      <c r="I117" s="21">
        <v>0</v>
      </c>
      <c r="J117" s="21">
        <v>0</v>
      </c>
      <c r="K117" s="21">
        <v>0.4</v>
      </c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38" t="str">
        <f>IF(G117&gt;0,IF(AY117&lt;(0.8*G117),"WARNING!!!",IF(AY117&lt;G117,"ORDER","OK")),IF((VLOOKUP(A117,A:BR,51+E117,0))&lt;0,"WARNING!!!",IF((VLOOKUP(A117,A:BR,51+ROUND(1.25*E117,0),0))&lt;0,"ORDER","OK")))</f>
        <v>OK</v>
      </c>
      <c r="AY117" s="53">
        <f t="shared" ref="AY117" si="843">F117-AY118+AY119</f>
        <v>1439.2</v>
      </c>
      <c r="AZ117" s="54">
        <f t="shared" ref="AZ117" si="844">AY117-AZ118+AZ119</f>
        <v>1438.4</v>
      </c>
      <c r="BA117" s="54">
        <f t="shared" ref="BA117" si="845">AZ117-BA118+BA119</f>
        <v>1437.6000000000001</v>
      </c>
      <c r="BB117" s="54">
        <f t="shared" ref="BB117" si="846">BA117-BB118+BB119</f>
        <v>1436.8000000000002</v>
      </c>
      <c r="BC117" s="54">
        <f t="shared" ref="BC117" si="847">BB117-BC118+BC119</f>
        <v>1436.0000000000002</v>
      </c>
      <c r="BD117" s="54">
        <f t="shared" ref="BD117" si="848">BC117-BD118+BD119</f>
        <v>1435.2000000000003</v>
      </c>
      <c r="BE117" s="54">
        <f t="shared" ref="BE117" si="849">BD117-BE118+BE119</f>
        <v>1434.4000000000003</v>
      </c>
      <c r="BF117" s="54">
        <f t="shared" ref="BF117" si="850">BE117-BF118+BF119</f>
        <v>1433.6000000000004</v>
      </c>
      <c r="BG117" s="54">
        <f t="shared" ref="BG117" si="851">BF117-BG118+BG119</f>
        <v>1432.8000000000004</v>
      </c>
      <c r="BH117" s="54">
        <f t="shared" ref="BH117" si="852">BG117-BH118+BH119</f>
        <v>1432.0000000000005</v>
      </c>
      <c r="BI117" s="54">
        <f t="shared" ref="BI117" si="853">BH117-BI118+BI119</f>
        <v>1431.2000000000005</v>
      </c>
      <c r="BJ117" s="54">
        <f t="shared" ref="BJ117" si="854">BI117-BJ118+BJ119</f>
        <v>1430.4000000000005</v>
      </c>
      <c r="BK117" s="54">
        <f t="shared" ref="BK117" si="855">BJ117-BK118+BK119</f>
        <v>1429.6000000000006</v>
      </c>
      <c r="BL117" s="54">
        <f t="shared" ref="BL117" si="856">BK117-BL118+BL119</f>
        <v>1428.8000000000006</v>
      </c>
      <c r="BM117" s="54">
        <f t="shared" ref="BM117" si="857">BL117-BM118+BM119</f>
        <v>1428.0000000000007</v>
      </c>
      <c r="BN117" s="54">
        <f t="shared" ref="BN117" si="858">BM117-BN118+BN119</f>
        <v>1427.2000000000007</v>
      </c>
      <c r="BO117" s="54">
        <f t="shared" ref="BO117" si="859">BN117-BO118+BO119</f>
        <v>1426.4000000000008</v>
      </c>
      <c r="BP117" s="54">
        <f t="shared" ref="BP117" si="860">BO117-BP118+BP119</f>
        <v>1425.6000000000008</v>
      </c>
      <c r="BQ117" s="54">
        <f t="shared" ref="BQ117" si="861">BP117-BQ118+BQ119</f>
        <v>1424.8000000000009</v>
      </c>
      <c r="BR117" s="55">
        <f t="shared" ref="BR117" si="862">BQ117-BR118+BR119</f>
        <v>1424.0000000000009</v>
      </c>
      <c r="BX117" s="22"/>
    </row>
    <row r="118" spans="1:76" ht="12.75" hidden="1" outlineLevel="1" x14ac:dyDescent="0.2">
      <c r="A118" s="23"/>
      <c r="B118" s="24"/>
      <c r="C118" s="24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6" t="s">
        <v>8</v>
      </c>
      <c r="AY118" s="47">
        <f t="shared" ref="AY118" si="863">$I117*AY$3+$J117*AY$4+$K117*AY$5</f>
        <v>0.8</v>
      </c>
      <c r="AZ118" s="48">
        <f t="shared" ref="AZ118" si="864">$I117*AZ$3+$J117*AZ$4+$K117*AZ$5</f>
        <v>0.8</v>
      </c>
      <c r="BA118" s="48">
        <f t="shared" ref="BA118" si="865">$I117*BA$3+$J117*BA$4+$K117*BA$5</f>
        <v>0.8</v>
      </c>
      <c r="BB118" s="48">
        <f t="shared" ref="BB118" si="866">$I117*BB$3+$J117*BB$4+$K117*BB$5</f>
        <v>0.8</v>
      </c>
      <c r="BC118" s="48">
        <f t="shared" ref="BC118" si="867">$I117*BC$3+$J117*BC$4+$K117*BC$5</f>
        <v>0.8</v>
      </c>
      <c r="BD118" s="48">
        <f t="shared" ref="BD118" si="868">$I117*BD$3+$J117*BD$4+$K117*BD$5</f>
        <v>0.8</v>
      </c>
      <c r="BE118" s="48">
        <f t="shared" ref="BE118" si="869">$I117*BE$3+$J117*BE$4+$K117*BE$5</f>
        <v>0.8</v>
      </c>
      <c r="BF118" s="48">
        <f t="shared" ref="BF118" si="870">$I117*BF$3+$J117*BF$4+$K117*BF$5</f>
        <v>0.8</v>
      </c>
      <c r="BG118" s="48">
        <f t="shared" ref="BG118" si="871">$I117*BG$3+$J117*BG$4+$K117*BG$5</f>
        <v>0.8</v>
      </c>
      <c r="BH118" s="48">
        <f t="shared" ref="BH118" si="872">$I117*BH$3+$J117*BH$4+$K117*BH$5</f>
        <v>0.8</v>
      </c>
      <c r="BI118" s="48">
        <f t="shared" ref="BI118" si="873">$I117*BI$3+$J117*BI$4+$K117*BI$5</f>
        <v>0.8</v>
      </c>
      <c r="BJ118" s="48">
        <f t="shared" ref="BJ118" si="874">$I117*BJ$3+$J117*BJ$4+$K117*BJ$5</f>
        <v>0.8</v>
      </c>
      <c r="BK118" s="48">
        <f t="shared" ref="BK118" si="875">$I117*BK$3+$J117*BK$4+$K117*BK$5</f>
        <v>0.8</v>
      </c>
      <c r="BL118" s="48">
        <f t="shared" ref="BL118" si="876">$I117*BL$3+$J117*BL$4+$K117*BL$5</f>
        <v>0.8</v>
      </c>
      <c r="BM118" s="48">
        <f t="shared" ref="BM118" si="877">$I117*BM$3+$J117*BM$4+$K117*BM$5</f>
        <v>0.8</v>
      </c>
      <c r="BN118" s="48">
        <f t="shared" ref="BN118" si="878">$I117*BN$3+$J117*BN$4+$K117*BN$5</f>
        <v>0.8</v>
      </c>
      <c r="BO118" s="48">
        <f t="shared" ref="BO118" si="879">$I117*BO$3+$J117*BO$4+$K117*BO$5</f>
        <v>0.8</v>
      </c>
      <c r="BP118" s="48">
        <f t="shared" ref="BP118" si="880">$I117*BP$3+$J117*BP$4+$K117*BP$5</f>
        <v>0.8</v>
      </c>
      <c r="BQ118" s="48">
        <f t="shared" ref="BQ118" si="881">$I117*BQ$3+$J117*BQ$4+$K117*BQ$5</f>
        <v>0.8</v>
      </c>
      <c r="BR118" s="49">
        <f t="shared" ref="BR118" si="882">$I117*BR$3+$J117*BR$4+$K117*BR$5</f>
        <v>0.8</v>
      </c>
    </row>
    <row r="119" spans="1:76" ht="12.75" hidden="1" outlineLevel="1" x14ac:dyDescent="0.2">
      <c r="A119" s="27"/>
      <c r="B119" s="28"/>
      <c r="C119" s="28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30" t="s">
        <v>9</v>
      </c>
      <c r="AY119" s="50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2"/>
    </row>
    <row r="120" spans="1:76" ht="12.75" collapsed="1" x14ac:dyDescent="0.2">
      <c r="A120" s="20" t="s">
        <v>493</v>
      </c>
      <c r="B120" s="20" t="s">
        <v>66</v>
      </c>
      <c r="C120" s="20"/>
      <c r="D120" s="21" t="s">
        <v>482</v>
      </c>
      <c r="E120" s="21">
        <v>2</v>
      </c>
      <c r="F120" s="21">
        <f>SUMIF(stock_on_hand!A:A,A120,stock_on_hand!C:C)</f>
        <v>1167</v>
      </c>
      <c r="G120" s="21"/>
      <c r="H120" s="21" t="s">
        <v>11</v>
      </c>
      <c r="I120" s="21">
        <v>0</v>
      </c>
      <c r="J120" s="21">
        <v>0</v>
      </c>
      <c r="K120" s="21">
        <v>2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38" t="str">
        <f>IF(G120&gt;0,IF(AY120&lt;(0.8*G120),"WARNING!!!",IF(AY120&lt;G120,"ORDER","OK")),IF((VLOOKUP(A120,A:BR,51+E120,0))&lt;0,"WARNING!!!",IF((VLOOKUP(A120,A:BR,51+ROUND(1.25*E120,0),0))&lt;0,"ORDER","OK")))</f>
        <v>OK</v>
      </c>
      <c r="AY120" s="53">
        <f t="shared" ref="AY120" si="883">F120-AY121+AY122</f>
        <v>1163</v>
      </c>
      <c r="AZ120" s="54">
        <f t="shared" ref="AZ120" si="884">AY120-AZ121+AZ122</f>
        <v>1159</v>
      </c>
      <c r="BA120" s="54">
        <f t="shared" ref="BA120" si="885">AZ120-BA121+BA122</f>
        <v>1155</v>
      </c>
      <c r="BB120" s="54">
        <f t="shared" ref="BB120" si="886">BA120-BB121+BB122</f>
        <v>1151</v>
      </c>
      <c r="BC120" s="54">
        <f t="shared" ref="BC120" si="887">BB120-BC121+BC122</f>
        <v>1147</v>
      </c>
      <c r="BD120" s="54">
        <f t="shared" ref="BD120" si="888">BC120-BD121+BD122</f>
        <v>1143</v>
      </c>
      <c r="BE120" s="54">
        <f t="shared" ref="BE120" si="889">BD120-BE121+BE122</f>
        <v>1139</v>
      </c>
      <c r="BF120" s="54">
        <f t="shared" ref="BF120" si="890">BE120-BF121+BF122</f>
        <v>1135</v>
      </c>
      <c r="BG120" s="54">
        <f t="shared" ref="BG120" si="891">BF120-BG121+BG122</f>
        <v>1131</v>
      </c>
      <c r="BH120" s="54">
        <f t="shared" ref="BH120" si="892">BG120-BH121+BH122</f>
        <v>1127</v>
      </c>
      <c r="BI120" s="54">
        <f t="shared" ref="BI120" si="893">BH120-BI121+BI122</f>
        <v>1123</v>
      </c>
      <c r="BJ120" s="54">
        <f t="shared" ref="BJ120" si="894">BI120-BJ121+BJ122</f>
        <v>1119</v>
      </c>
      <c r="BK120" s="54">
        <f t="shared" ref="BK120" si="895">BJ120-BK121+BK122</f>
        <v>1115</v>
      </c>
      <c r="BL120" s="54">
        <f t="shared" ref="BL120" si="896">BK120-BL121+BL122</f>
        <v>1111</v>
      </c>
      <c r="BM120" s="54">
        <f t="shared" ref="BM120" si="897">BL120-BM121+BM122</f>
        <v>1107</v>
      </c>
      <c r="BN120" s="54">
        <f t="shared" ref="BN120" si="898">BM120-BN121+BN122</f>
        <v>1103</v>
      </c>
      <c r="BO120" s="54">
        <f t="shared" ref="BO120" si="899">BN120-BO121+BO122</f>
        <v>1099</v>
      </c>
      <c r="BP120" s="54">
        <f t="shared" ref="BP120" si="900">BO120-BP121+BP122</f>
        <v>1095</v>
      </c>
      <c r="BQ120" s="54">
        <f t="shared" ref="BQ120" si="901">BP120-BQ121+BQ122</f>
        <v>1091</v>
      </c>
      <c r="BR120" s="55">
        <f t="shared" ref="BR120" si="902">BQ120-BR121+BR122</f>
        <v>1087</v>
      </c>
      <c r="BX120" s="22"/>
    </row>
    <row r="121" spans="1:76" ht="12.75" hidden="1" outlineLevel="1" x14ac:dyDescent="0.2">
      <c r="A121" s="23"/>
      <c r="B121" s="24"/>
      <c r="C121" s="24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6" t="s">
        <v>8</v>
      </c>
      <c r="AY121" s="47">
        <f t="shared" ref="AY121" si="903">$I120*AY$3+$J120*AY$4+$K120*AY$5</f>
        <v>4</v>
      </c>
      <c r="AZ121" s="48">
        <f t="shared" ref="AZ121" si="904">$I120*AZ$3+$J120*AZ$4+$K120*AZ$5</f>
        <v>4</v>
      </c>
      <c r="BA121" s="48">
        <f t="shared" ref="BA121" si="905">$I120*BA$3+$J120*BA$4+$K120*BA$5</f>
        <v>4</v>
      </c>
      <c r="BB121" s="48">
        <f t="shared" ref="BB121" si="906">$I120*BB$3+$J120*BB$4+$K120*BB$5</f>
        <v>4</v>
      </c>
      <c r="BC121" s="48">
        <f t="shared" ref="BC121" si="907">$I120*BC$3+$J120*BC$4+$K120*BC$5</f>
        <v>4</v>
      </c>
      <c r="BD121" s="48">
        <f t="shared" ref="BD121" si="908">$I120*BD$3+$J120*BD$4+$K120*BD$5</f>
        <v>4</v>
      </c>
      <c r="BE121" s="48">
        <f t="shared" ref="BE121" si="909">$I120*BE$3+$J120*BE$4+$K120*BE$5</f>
        <v>4</v>
      </c>
      <c r="BF121" s="48">
        <f t="shared" ref="BF121" si="910">$I120*BF$3+$J120*BF$4+$K120*BF$5</f>
        <v>4</v>
      </c>
      <c r="BG121" s="48">
        <f t="shared" ref="BG121" si="911">$I120*BG$3+$J120*BG$4+$K120*BG$5</f>
        <v>4</v>
      </c>
      <c r="BH121" s="48">
        <f t="shared" ref="BH121" si="912">$I120*BH$3+$J120*BH$4+$K120*BH$5</f>
        <v>4</v>
      </c>
      <c r="BI121" s="48">
        <f t="shared" ref="BI121" si="913">$I120*BI$3+$J120*BI$4+$K120*BI$5</f>
        <v>4</v>
      </c>
      <c r="BJ121" s="48">
        <f t="shared" ref="BJ121" si="914">$I120*BJ$3+$J120*BJ$4+$K120*BJ$5</f>
        <v>4</v>
      </c>
      <c r="BK121" s="48">
        <f t="shared" ref="BK121" si="915">$I120*BK$3+$J120*BK$4+$K120*BK$5</f>
        <v>4</v>
      </c>
      <c r="BL121" s="48">
        <f t="shared" ref="BL121" si="916">$I120*BL$3+$J120*BL$4+$K120*BL$5</f>
        <v>4</v>
      </c>
      <c r="BM121" s="48">
        <f t="shared" ref="BM121" si="917">$I120*BM$3+$J120*BM$4+$K120*BM$5</f>
        <v>4</v>
      </c>
      <c r="BN121" s="48">
        <f t="shared" ref="BN121" si="918">$I120*BN$3+$J120*BN$4+$K120*BN$5</f>
        <v>4</v>
      </c>
      <c r="BO121" s="48">
        <f t="shared" ref="BO121" si="919">$I120*BO$3+$J120*BO$4+$K120*BO$5</f>
        <v>4</v>
      </c>
      <c r="BP121" s="48">
        <f t="shared" ref="BP121" si="920">$I120*BP$3+$J120*BP$4+$K120*BP$5</f>
        <v>4</v>
      </c>
      <c r="BQ121" s="48">
        <f t="shared" ref="BQ121" si="921">$I120*BQ$3+$J120*BQ$4+$K120*BQ$5</f>
        <v>4</v>
      </c>
      <c r="BR121" s="49">
        <f t="shared" ref="BR121" si="922">$I120*BR$3+$J120*BR$4+$K120*BR$5</f>
        <v>4</v>
      </c>
    </row>
    <row r="122" spans="1:76" ht="12.75" hidden="1" outlineLevel="1" x14ac:dyDescent="0.2">
      <c r="A122" s="27"/>
      <c r="B122" s="28"/>
      <c r="C122" s="28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30" t="s">
        <v>9</v>
      </c>
      <c r="AY122" s="50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  <c r="BL122" s="51"/>
      <c r="BM122" s="51"/>
      <c r="BN122" s="51"/>
      <c r="BO122" s="51"/>
      <c r="BP122" s="51"/>
      <c r="BQ122" s="51"/>
      <c r="BR122" s="52"/>
    </row>
    <row r="123" spans="1:76" ht="12.75" collapsed="1" x14ac:dyDescent="0.2">
      <c r="A123" s="20" t="s">
        <v>481</v>
      </c>
      <c r="B123" s="20" t="s">
        <v>58</v>
      </c>
      <c r="C123" s="20"/>
      <c r="D123" s="21" t="s">
        <v>482</v>
      </c>
      <c r="E123" s="21">
        <v>2</v>
      </c>
      <c r="F123" s="21">
        <f>SUMIF(stock_on_hand!A:A,A123,stock_on_hand!C:C)</f>
        <v>3276</v>
      </c>
      <c r="G123" s="21"/>
      <c r="H123" s="21" t="s">
        <v>11</v>
      </c>
      <c r="I123" s="21">
        <v>0</v>
      </c>
      <c r="J123" s="21">
        <v>0</v>
      </c>
      <c r="K123" s="21">
        <v>2</v>
      </c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38" t="str">
        <f>IF(G123&gt;0,IF(AY123&lt;(0.8*G123),"WARNING!!!",IF(AY123&lt;G123,"ORDER","OK")),IF((VLOOKUP(A123,A:BR,51+E123,0))&lt;0,"WARNING!!!",IF((VLOOKUP(A123,A:BR,51+ROUND(1.25*E123,0),0))&lt;0,"ORDER","OK")))</f>
        <v>OK</v>
      </c>
      <c r="AY123" s="53">
        <f t="shared" ref="AY123" si="923">F123-AY124+AY125</f>
        <v>3272</v>
      </c>
      <c r="AZ123" s="54">
        <f t="shared" ref="AZ123" si="924">AY123-AZ124+AZ125</f>
        <v>3268</v>
      </c>
      <c r="BA123" s="54">
        <f t="shared" ref="BA123" si="925">AZ123-BA124+BA125</f>
        <v>3264</v>
      </c>
      <c r="BB123" s="54">
        <f t="shared" ref="BB123" si="926">BA123-BB124+BB125</f>
        <v>3260</v>
      </c>
      <c r="BC123" s="54">
        <f t="shared" ref="BC123" si="927">BB123-BC124+BC125</f>
        <v>3256</v>
      </c>
      <c r="BD123" s="54">
        <f t="shared" ref="BD123" si="928">BC123-BD124+BD125</f>
        <v>3252</v>
      </c>
      <c r="BE123" s="54">
        <f t="shared" ref="BE123" si="929">BD123-BE124+BE125</f>
        <v>3248</v>
      </c>
      <c r="BF123" s="54">
        <f t="shared" ref="BF123" si="930">BE123-BF124+BF125</f>
        <v>3244</v>
      </c>
      <c r="BG123" s="54">
        <f t="shared" ref="BG123" si="931">BF123-BG124+BG125</f>
        <v>3240</v>
      </c>
      <c r="BH123" s="54">
        <f t="shared" ref="BH123" si="932">BG123-BH124+BH125</f>
        <v>3236</v>
      </c>
      <c r="BI123" s="54">
        <f t="shared" ref="BI123" si="933">BH123-BI124+BI125</f>
        <v>3232</v>
      </c>
      <c r="BJ123" s="54">
        <f t="shared" ref="BJ123" si="934">BI123-BJ124+BJ125</f>
        <v>3228</v>
      </c>
      <c r="BK123" s="54">
        <f t="shared" ref="BK123" si="935">BJ123-BK124+BK125</f>
        <v>3224</v>
      </c>
      <c r="BL123" s="54">
        <f t="shared" ref="BL123" si="936">BK123-BL124+BL125</f>
        <v>3220</v>
      </c>
      <c r="BM123" s="54">
        <f t="shared" ref="BM123" si="937">BL123-BM124+BM125</f>
        <v>3216</v>
      </c>
      <c r="BN123" s="54">
        <f t="shared" ref="BN123" si="938">BM123-BN124+BN125</f>
        <v>3212</v>
      </c>
      <c r="BO123" s="54">
        <f t="shared" ref="BO123" si="939">BN123-BO124+BO125</f>
        <v>3208</v>
      </c>
      <c r="BP123" s="54">
        <f t="shared" ref="BP123" si="940">BO123-BP124+BP125</f>
        <v>3204</v>
      </c>
      <c r="BQ123" s="54">
        <f t="shared" ref="BQ123" si="941">BP123-BQ124+BQ125</f>
        <v>3200</v>
      </c>
      <c r="BR123" s="55">
        <f t="shared" ref="BR123" si="942">BQ123-BR124+BR125</f>
        <v>3196</v>
      </c>
      <c r="BX123" s="22"/>
    </row>
    <row r="124" spans="1:76" ht="12.75" hidden="1" outlineLevel="1" x14ac:dyDescent="0.2">
      <c r="A124" s="23"/>
      <c r="B124" s="24"/>
      <c r="C124" s="24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6" t="s">
        <v>8</v>
      </c>
      <c r="AY124" s="47">
        <f t="shared" ref="AY124" si="943">$I123*AY$3+$J123*AY$4+$K123*AY$5</f>
        <v>4</v>
      </c>
      <c r="AZ124" s="48">
        <f t="shared" ref="AZ124" si="944">$I123*AZ$3+$J123*AZ$4+$K123*AZ$5</f>
        <v>4</v>
      </c>
      <c r="BA124" s="48">
        <f t="shared" ref="BA124" si="945">$I123*BA$3+$J123*BA$4+$K123*BA$5</f>
        <v>4</v>
      </c>
      <c r="BB124" s="48">
        <f t="shared" ref="BB124" si="946">$I123*BB$3+$J123*BB$4+$K123*BB$5</f>
        <v>4</v>
      </c>
      <c r="BC124" s="48">
        <f t="shared" ref="BC124" si="947">$I123*BC$3+$J123*BC$4+$K123*BC$5</f>
        <v>4</v>
      </c>
      <c r="BD124" s="48">
        <f t="shared" ref="BD124" si="948">$I123*BD$3+$J123*BD$4+$K123*BD$5</f>
        <v>4</v>
      </c>
      <c r="BE124" s="48">
        <f t="shared" ref="BE124" si="949">$I123*BE$3+$J123*BE$4+$K123*BE$5</f>
        <v>4</v>
      </c>
      <c r="BF124" s="48">
        <f t="shared" ref="BF124" si="950">$I123*BF$3+$J123*BF$4+$K123*BF$5</f>
        <v>4</v>
      </c>
      <c r="BG124" s="48">
        <f t="shared" ref="BG124" si="951">$I123*BG$3+$J123*BG$4+$K123*BG$5</f>
        <v>4</v>
      </c>
      <c r="BH124" s="48">
        <f t="shared" ref="BH124" si="952">$I123*BH$3+$J123*BH$4+$K123*BH$5</f>
        <v>4</v>
      </c>
      <c r="BI124" s="48">
        <f t="shared" ref="BI124" si="953">$I123*BI$3+$J123*BI$4+$K123*BI$5</f>
        <v>4</v>
      </c>
      <c r="BJ124" s="48">
        <f t="shared" ref="BJ124" si="954">$I123*BJ$3+$J123*BJ$4+$K123*BJ$5</f>
        <v>4</v>
      </c>
      <c r="BK124" s="48">
        <f t="shared" ref="BK124" si="955">$I123*BK$3+$J123*BK$4+$K123*BK$5</f>
        <v>4</v>
      </c>
      <c r="BL124" s="48">
        <f t="shared" ref="BL124" si="956">$I123*BL$3+$J123*BL$4+$K123*BL$5</f>
        <v>4</v>
      </c>
      <c r="BM124" s="48">
        <f t="shared" ref="BM124" si="957">$I123*BM$3+$J123*BM$4+$K123*BM$5</f>
        <v>4</v>
      </c>
      <c r="BN124" s="48">
        <f t="shared" ref="BN124" si="958">$I123*BN$3+$J123*BN$4+$K123*BN$5</f>
        <v>4</v>
      </c>
      <c r="BO124" s="48">
        <f t="shared" ref="BO124" si="959">$I123*BO$3+$J123*BO$4+$K123*BO$5</f>
        <v>4</v>
      </c>
      <c r="BP124" s="48">
        <f t="shared" ref="BP124" si="960">$I123*BP$3+$J123*BP$4+$K123*BP$5</f>
        <v>4</v>
      </c>
      <c r="BQ124" s="48">
        <f t="shared" ref="BQ124" si="961">$I123*BQ$3+$J123*BQ$4+$K123*BQ$5</f>
        <v>4</v>
      </c>
      <c r="BR124" s="49">
        <f t="shared" ref="BR124" si="962">$I123*BR$3+$J123*BR$4+$K123*BR$5</f>
        <v>4</v>
      </c>
    </row>
    <row r="125" spans="1:76" ht="12.75" hidden="1" outlineLevel="1" x14ac:dyDescent="0.2">
      <c r="A125" s="27"/>
      <c r="B125" s="28"/>
      <c r="C125" s="28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30" t="s">
        <v>9</v>
      </c>
      <c r="AY125" s="50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  <c r="BL125" s="51"/>
      <c r="BM125" s="51"/>
      <c r="BN125" s="51"/>
      <c r="BO125" s="51"/>
      <c r="BP125" s="51"/>
      <c r="BQ125" s="51"/>
      <c r="BR125" s="52"/>
    </row>
    <row r="126" spans="1:76" ht="12.75" collapsed="1" x14ac:dyDescent="0.2">
      <c r="A126" s="20" t="s">
        <v>483</v>
      </c>
      <c r="B126" s="20" t="s">
        <v>59</v>
      </c>
      <c r="C126" s="20"/>
      <c r="D126" s="21" t="s">
        <v>482</v>
      </c>
      <c r="E126" s="21">
        <v>2</v>
      </c>
      <c r="F126" s="21">
        <f>SUMIF(stock_on_hand!A:A,A126,stock_on_hand!C:C)</f>
        <v>5395</v>
      </c>
      <c r="G126" s="21"/>
      <c r="H126" s="21" t="s">
        <v>11</v>
      </c>
      <c r="I126" s="21">
        <v>0</v>
      </c>
      <c r="J126" s="21">
        <v>0</v>
      </c>
      <c r="K126" s="21">
        <v>2</v>
      </c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38" t="str">
        <f>IF(G126&gt;0,IF(AY126&lt;(0.8*G126),"WARNING!!!",IF(AY126&lt;G126,"ORDER","OK")),IF((VLOOKUP(A126,A:BR,51+E126,0))&lt;0,"WARNING!!!",IF((VLOOKUP(A126,A:BR,51+ROUND(1.25*E126,0),0))&lt;0,"ORDER","OK")))</f>
        <v>OK</v>
      </c>
      <c r="AY126" s="53">
        <f t="shared" ref="AY126" si="963">F126-AY127+AY128</f>
        <v>5391</v>
      </c>
      <c r="AZ126" s="54">
        <f t="shared" ref="AZ126" si="964">AY126-AZ127+AZ128</f>
        <v>5387</v>
      </c>
      <c r="BA126" s="54">
        <f t="shared" ref="BA126" si="965">AZ126-BA127+BA128</f>
        <v>5383</v>
      </c>
      <c r="BB126" s="54">
        <f t="shared" ref="BB126" si="966">BA126-BB127+BB128</f>
        <v>5379</v>
      </c>
      <c r="BC126" s="54">
        <f t="shared" ref="BC126" si="967">BB126-BC127+BC128</f>
        <v>5375</v>
      </c>
      <c r="BD126" s="54">
        <f t="shared" ref="BD126" si="968">BC126-BD127+BD128</f>
        <v>5371</v>
      </c>
      <c r="BE126" s="54">
        <f t="shared" ref="BE126" si="969">BD126-BE127+BE128</f>
        <v>5367</v>
      </c>
      <c r="BF126" s="54">
        <f t="shared" ref="BF126" si="970">BE126-BF127+BF128</f>
        <v>5363</v>
      </c>
      <c r="BG126" s="54">
        <f t="shared" ref="BG126" si="971">BF126-BG127+BG128</f>
        <v>5359</v>
      </c>
      <c r="BH126" s="54">
        <f t="shared" ref="BH126" si="972">BG126-BH127+BH128</f>
        <v>5355</v>
      </c>
      <c r="BI126" s="54">
        <f t="shared" ref="BI126" si="973">BH126-BI127+BI128</f>
        <v>5351</v>
      </c>
      <c r="BJ126" s="54">
        <f t="shared" ref="BJ126" si="974">BI126-BJ127+BJ128</f>
        <v>5347</v>
      </c>
      <c r="BK126" s="54">
        <f t="shared" ref="BK126" si="975">BJ126-BK127+BK128</f>
        <v>5343</v>
      </c>
      <c r="BL126" s="54">
        <f t="shared" ref="BL126" si="976">BK126-BL127+BL128</f>
        <v>5339</v>
      </c>
      <c r="BM126" s="54">
        <f t="shared" ref="BM126" si="977">BL126-BM127+BM128</f>
        <v>5335</v>
      </c>
      <c r="BN126" s="54">
        <f t="shared" ref="BN126" si="978">BM126-BN127+BN128</f>
        <v>5331</v>
      </c>
      <c r="BO126" s="54">
        <f t="shared" ref="BO126" si="979">BN126-BO127+BO128</f>
        <v>5327</v>
      </c>
      <c r="BP126" s="54">
        <f t="shared" ref="BP126" si="980">BO126-BP127+BP128</f>
        <v>5323</v>
      </c>
      <c r="BQ126" s="54">
        <f t="shared" ref="BQ126" si="981">BP126-BQ127+BQ128</f>
        <v>5319</v>
      </c>
      <c r="BR126" s="55">
        <f t="shared" ref="BR126" si="982">BQ126-BR127+BR128</f>
        <v>5315</v>
      </c>
      <c r="BX126" s="22"/>
    </row>
    <row r="127" spans="1:76" ht="12.75" hidden="1" outlineLevel="1" x14ac:dyDescent="0.2">
      <c r="A127" s="23"/>
      <c r="B127" s="24"/>
      <c r="C127" s="24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6" t="s">
        <v>8</v>
      </c>
      <c r="AY127" s="47">
        <f t="shared" ref="AY127" si="983">$I126*AY$3+$J126*AY$4+$K126*AY$5</f>
        <v>4</v>
      </c>
      <c r="AZ127" s="48">
        <f t="shared" ref="AZ127" si="984">$I126*AZ$3+$J126*AZ$4+$K126*AZ$5</f>
        <v>4</v>
      </c>
      <c r="BA127" s="48">
        <f t="shared" ref="BA127" si="985">$I126*BA$3+$J126*BA$4+$K126*BA$5</f>
        <v>4</v>
      </c>
      <c r="BB127" s="48">
        <f t="shared" ref="BB127" si="986">$I126*BB$3+$J126*BB$4+$K126*BB$5</f>
        <v>4</v>
      </c>
      <c r="BC127" s="48">
        <f t="shared" ref="BC127" si="987">$I126*BC$3+$J126*BC$4+$K126*BC$5</f>
        <v>4</v>
      </c>
      <c r="BD127" s="48">
        <f t="shared" ref="BD127" si="988">$I126*BD$3+$J126*BD$4+$K126*BD$5</f>
        <v>4</v>
      </c>
      <c r="BE127" s="48">
        <f t="shared" ref="BE127" si="989">$I126*BE$3+$J126*BE$4+$K126*BE$5</f>
        <v>4</v>
      </c>
      <c r="BF127" s="48">
        <f t="shared" ref="BF127" si="990">$I126*BF$3+$J126*BF$4+$K126*BF$5</f>
        <v>4</v>
      </c>
      <c r="BG127" s="48">
        <f t="shared" ref="BG127" si="991">$I126*BG$3+$J126*BG$4+$K126*BG$5</f>
        <v>4</v>
      </c>
      <c r="BH127" s="48">
        <f t="shared" ref="BH127" si="992">$I126*BH$3+$J126*BH$4+$K126*BH$5</f>
        <v>4</v>
      </c>
      <c r="BI127" s="48">
        <f t="shared" ref="BI127" si="993">$I126*BI$3+$J126*BI$4+$K126*BI$5</f>
        <v>4</v>
      </c>
      <c r="BJ127" s="48">
        <f t="shared" ref="BJ127" si="994">$I126*BJ$3+$J126*BJ$4+$K126*BJ$5</f>
        <v>4</v>
      </c>
      <c r="BK127" s="48">
        <f t="shared" ref="BK127" si="995">$I126*BK$3+$J126*BK$4+$K126*BK$5</f>
        <v>4</v>
      </c>
      <c r="BL127" s="48">
        <f t="shared" ref="BL127" si="996">$I126*BL$3+$J126*BL$4+$K126*BL$5</f>
        <v>4</v>
      </c>
      <c r="BM127" s="48">
        <f t="shared" ref="BM127" si="997">$I126*BM$3+$J126*BM$4+$K126*BM$5</f>
        <v>4</v>
      </c>
      <c r="BN127" s="48">
        <f t="shared" ref="BN127" si="998">$I126*BN$3+$J126*BN$4+$K126*BN$5</f>
        <v>4</v>
      </c>
      <c r="BO127" s="48">
        <f t="shared" ref="BO127" si="999">$I126*BO$3+$J126*BO$4+$K126*BO$5</f>
        <v>4</v>
      </c>
      <c r="BP127" s="48">
        <f t="shared" ref="BP127" si="1000">$I126*BP$3+$J126*BP$4+$K126*BP$5</f>
        <v>4</v>
      </c>
      <c r="BQ127" s="48">
        <f t="shared" ref="BQ127" si="1001">$I126*BQ$3+$J126*BQ$4+$K126*BQ$5</f>
        <v>4</v>
      </c>
      <c r="BR127" s="49">
        <f t="shared" ref="BR127" si="1002">$I126*BR$3+$J126*BR$4+$K126*BR$5</f>
        <v>4</v>
      </c>
    </row>
    <row r="128" spans="1:76" ht="12.75" hidden="1" outlineLevel="1" x14ac:dyDescent="0.2">
      <c r="A128" s="27"/>
      <c r="B128" s="28"/>
      <c r="C128" s="28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30" t="s">
        <v>9</v>
      </c>
      <c r="AY128" s="50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  <c r="BL128" s="51"/>
      <c r="BM128" s="51"/>
      <c r="BN128" s="51"/>
      <c r="BO128" s="51"/>
      <c r="BP128" s="51"/>
      <c r="BQ128" s="51"/>
      <c r="BR128" s="52"/>
    </row>
    <row r="129" spans="1:76" ht="12.75" collapsed="1" x14ac:dyDescent="0.2">
      <c r="A129" s="20" t="s">
        <v>496</v>
      </c>
      <c r="B129" s="20" t="s">
        <v>69</v>
      </c>
      <c r="C129" s="20"/>
      <c r="D129" s="21" t="s">
        <v>482</v>
      </c>
      <c r="E129" s="21">
        <v>2</v>
      </c>
      <c r="F129" s="21">
        <f>SUMIF(stock_on_hand!A:A,A129,stock_on_hand!C:C)</f>
        <v>3459</v>
      </c>
      <c r="G129" s="21"/>
      <c r="H129" s="21" t="s">
        <v>11</v>
      </c>
      <c r="I129" s="21">
        <v>0</v>
      </c>
      <c r="J129" s="21">
        <v>0</v>
      </c>
      <c r="K129" s="21">
        <v>12</v>
      </c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38" t="str">
        <f>IF(G129&gt;0,IF(AY129&lt;(0.8*G129),"WARNING!!!",IF(AY129&lt;G129,"ORDER","OK")),IF((VLOOKUP(A129,A:BR,51+E129,0))&lt;0,"WARNING!!!",IF((VLOOKUP(A129,A:BR,51+ROUND(1.25*E129,0),0))&lt;0,"ORDER","OK")))</f>
        <v>OK</v>
      </c>
      <c r="AY129" s="53">
        <f t="shared" ref="AY129" si="1003">F129-AY130+AY131</f>
        <v>3435</v>
      </c>
      <c r="AZ129" s="54">
        <f t="shared" ref="AZ129" si="1004">AY129-AZ130+AZ131</f>
        <v>3411</v>
      </c>
      <c r="BA129" s="54">
        <f t="shared" ref="BA129" si="1005">AZ129-BA130+BA131</f>
        <v>3387</v>
      </c>
      <c r="BB129" s="54">
        <f t="shared" ref="BB129" si="1006">BA129-BB130+BB131</f>
        <v>3363</v>
      </c>
      <c r="BC129" s="54">
        <f t="shared" ref="BC129" si="1007">BB129-BC130+BC131</f>
        <v>3339</v>
      </c>
      <c r="BD129" s="54">
        <f t="shared" ref="BD129" si="1008">BC129-BD130+BD131</f>
        <v>3315</v>
      </c>
      <c r="BE129" s="54">
        <f t="shared" ref="BE129" si="1009">BD129-BE130+BE131</f>
        <v>3291</v>
      </c>
      <c r="BF129" s="54">
        <f t="shared" ref="BF129" si="1010">BE129-BF130+BF131</f>
        <v>3267</v>
      </c>
      <c r="BG129" s="54">
        <f t="shared" ref="BG129" si="1011">BF129-BG130+BG131</f>
        <v>3243</v>
      </c>
      <c r="BH129" s="54">
        <f t="shared" ref="BH129" si="1012">BG129-BH130+BH131</f>
        <v>3219</v>
      </c>
      <c r="BI129" s="54">
        <f t="shared" ref="BI129" si="1013">BH129-BI130+BI131</f>
        <v>3195</v>
      </c>
      <c r="BJ129" s="54">
        <f t="shared" ref="BJ129" si="1014">BI129-BJ130+BJ131</f>
        <v>3171</v>
      </c>
      <c r="BK129" s="54">
        <f t="shared" ref="BK129" si="1015">BJ129-BK130+BK131</f>
        <v>3147</v>
      </c>
      <c r="BL129" s="54">
        <f t="shared" ref="BL129" si="1016">BK129-BL130+BL131</f>
        <v>3123</v>
      </c>
      <c r="BM129" s="54">
        <f t="shared" ref="BM129" si="1017">BL129-BM130+BM131</f>
        <v>3099</v>
      </c>
      <c r="BN129" s="54">
        <f t="shared" ref="BN129" si="1018">BM129-BN130+BN131</f>
        <v>3075</v>
      </c>
      <c r="BO129" s="54">
        <f t="shared" ref="BO129" si="1019">BN129-BO130+BO131</f>
        <v>3051</v>
      </c>
      <c r="BP129" s="54">
        <f t="shared" ref="BP129" si="1020">BO129-BP130+BP131</f>
        <v>3027</v>
      </c>
      <c r="BQ129" s="54">
        <f t="shared" ref="BQ129" si="1021">BP129-BQ130+BQ131</f>
        <v>3003</v>
      </c>
      <c r="BR129" s="55">
        <f t="shared" ref="BR129" si="1022">BQ129-BR130+BR131</f>
        <v>2979</v>
      </c>
      <c r="BX129" s="22"/>
    </row>
    <row r="130" spans="1:76" ht="12.75" hidden="1" outlineLevel="1" x14ac:dyDescent="0.2">
      <c r="A130" s="23"/>
      <c r="B130" s="24"/>
      <c r="C130" s="24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6" t="s">
        <v>8</v>
      </c>
      <c r="AY130" s="47">
        <f t="shared" ref="AY130" si="1023">$I129*AY$3+$J129*AY$4+$K129*AY$5</f>
        <v>24</v>
      </c>
      <c r="AZ130" s="48">
        <f t="shared" ref="AZ130" si="1024">$I129*AZ$3+$J129*AZ$4+$K129*AZ$5</f>
        <v>24</v>
      </c>
      <c r="BA130" s="48">
        <f t="shared" ref="BA130" si="1025">$I129*BA$3+$J129*BA$4+$K129*BA$5</f>
        <v>24</v>
      </c>
      <c r="BB130" s="48">
        <f t="shared" ref="BB130" si="1026">$I129*BB$3+$J129*BB$4+$K129*BB$5</f>
        <v>24</v>
      </c>
      <c r="BC130" s="48">
        <f t="shared" ref="BC130" si="1027">$I129*BC$3+$J129*BC$4+$K129*BC$5</f>
        <v>24</v>
      </c>
      <c r="BD130" s="48">
        <f t="shared" ref="BD130" si="1028">$I129*BD$3+$J129*BD$4+$K129*BD$5</f>
        <v>24</v>
      </c>
      <c r="BE130" s="48">
        <f t="shared" ref="BE130" si="1029">$I129*BE$3+$J129*BE$4+$K129*BE$5</f>
        <v>24</v>
      </c>
      <c r="BF130" s="48">
        <f t="shared" ref="BF130" si="1030">$I129*BF$3+$J129*BF$4+$K129*BF$5</f>
        <v>24</v>
      </c>
      <c r="BG130" s="48">
        <f t="shared" ref="BG130" si="1031">$I129*BG$3+$J129*BG$4+$K129*BG$5</f>
        <v>24</v>
      </c>
      <c r="BH130" s="48">
        <f t="shared" ref="BH130" si="1032">$I129*BH$3+$J129*BH$4+$K129*BH$5</f>
        <v>24</v>
      </c>
      <c r="BI130" s="48">
        <f t="shared" ref="BI130" si="1033">$I129*BI$3+$J129*BI$4+$K129*BI$5</f>
        <v>24</v>
      </c>
      <c r="BJ130" s="48">
        <f t="shared" ref="BJ130" si="1034">$I129*BJ$3+$J129*BJ$4+$K129*BJ$5</f>
        <v>24</v>
      </c>
      <c r="BK130" s="48">
        <f t="shared" ref="BK130" si="1035">$I129*BK$3+$J129*BK$4+$K129*BK$5</f>
        <v>24</v>
      </c>
      <c r="BL130" s="48">
        <f t="shared" ref="BL130" si="1036">$I129*BL$3+$J129*BL$4+$K129*BL$5</f>
        <v>24</v>
      </c>
      <c r="BM130" s="48">
        <f t="shared" ref="BM130" si="1037">$I129*BM$3+$J129*BM$4+$K129*BM$5</f>
        <v>24</v>
      </c>
      <c r="BN130" s="48">
        <f t="shared" ref="BN130" si="1038">$I129*BN$3+$J129*BN$4+$K129*BN$5</f>
        <v>24</v>
      </c>
      <c r="BO130" s="48">
        <f t="shared" ref="BO130" si="1039">$I129*BO$3+$J129*BO$4+$K129*BO$5</f>
        <v>24</v>
      </c>
      <c r="BP130" s="48">
        <f t="shared" ref="BP130" si="1040">$I129*BP$3+$J129*BP$4+$K129*BP$5</f>
        <v>24</v>
      </c>
      <c r="BQ130" s="48">
        <f t="shared" ref="BQ130" si="1041">$I129*BQ$3+$J129*BQ$4+$K129*BQ$5</f>
        <v>24</v>
      </c>
      <c r="BR130" s="49">
        <f t="shared" ref="BR130" si="1042">$I129*BR$3+$J129*BR$4+$K129*BR$5</f>
        <v>24</v>
      </c>
    </row>
    <row r="131" spans="1:76" ht="12.75" hidden="1" outlineLevel="1" x14ac:dyDescent="0.2">
      <c r="A131" s="27"/>
      <c r="B131" s="28"/>
      <c r="C131" s="28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30" t="s">
        <v>9</v>
      </c>
      <c r="AY131" s="50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  <c r="BN131" s="51"/>
      <c r="BO131" s="51"/>
      <c r="BP131" s="51"/>
      <c r="BQ131" s="51"/>
      <c r="BR131" s="52"/>
    </row>
    <row r="132" spans="1:76" ht="12.75" collapsed="1" x14ac:dyDescent="0.2">
      <c r="A132" s="20" t="s">
        <v>495</v>
      </c>
      <c r="B132" s="20" t="s">
        <v>68</v>
      </c>
      <c r="C132" s="20"/>
      <c r="D132" s="21" t="s">
        <v>482</v>
      </c>
      <c r="E132" s="21">
        <v>2</v>
      </c>
      <c r="F132" s="21">
        <f>SUMIF(stock_on_hand!A:A,A132,stock_on_hand!C:C)</f>
        <v>5659</v>
      </c>
      <c r="G132" s="21"/>
      <c r="H132" s="21" t="s">
        <v>11</v>
      </c>
      <c r="I132" s="21">
        <v>0</v>
      </c>
      <c r="J132" s="21">
        <v>0</v>
      </c>
      <c r="K132" s="21">
        <v>4</v>
      </c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38" t="str">
        <f>IF(G132&gt;0,IF(AY132&lt;(0.8*G132),"WARNING!!!",IF(AY132&lt;G132,"ORDER","OK")),IF((VLOOKUP(A132,A:BR,51+E132,0))&lt;0,"WARNING!!!",IF((VLOOKUP(A132,A:BR,51+ROUND(1.25*E132,0),0))&lt;0,"ORDER","OK")))</f>
        <v>OK</v>
      </c>
      <c r="AY132" s="53">
        <f t="shared" ref="AY132" si="1043">F132-AY133+AY134</f>
        <v>5651</v>
      </c>
      <c r="AZ132" s="54">
        <f t="shared" ref="AZ132" si="1044">AY132-AZ133+AZ134</f>
        <v>5643</v>
      </c>
      <c r="BA132" s="54">
        <f t="shared" ref="BA132" si="1045">AZ132-BA133+BA134</f>
        <v>5635</v>
      </c>
      <c r="BB132" s="54">
        <f t="shared" ref="BB132" si="1046">BA132-BB133+BB134</f>
        <v>5627</v>
      </c>
      <c r="BC132" s="54">
        <f t="shared" ref="BC132" si="1047">BB132-BC133+BC134</f>
        <v>5619</v>
      </c>
      <c r="BD132" s="54">
        <f t="shared" ref="BD132" si="1048">BC132-BD133+BD134</f>
        <v>5611</v>
      </c>
      <c r="BE132" s="54">
        <f t="shared" ref="BE132" si="1049">BD132-BE133+BE134</f>
        <v>5603</v>
      </c>
      <c r="BF132" s="54">
        <f t="shared" ref="BF132" si="1050">BE132-BF133+BF134</f>
        <v>5595</v>
      </c>
      <c r="BG132" s="54">
        <f t="shared" ref="BG132" si="1051">BF132-BG133+BG134</f>
        <v>5587</v>
      </c>
      <c r="BH132" s="54">
        <f t="shared" ref="BH132" si="1052">BG132-BH133+BH134</f>
        <v>5579</v>
      </c>
      <c r="BI132" s="54">
        <f t="shared" ref="BI132" si="1053">BH132-BI133+BI134</f>
        <v>5571</v>
      </c>
      <c r="BJ132" s="54">
        <f t="shared" ref="BJ132" si="1054">BI132-BJ133+BJ134</f>
        <v>5563</v>
      </c>
      <c r="BK132" s="54">
        <f t="shared" ref="BK132" si="1055">BJ132-BK133+BK134</f>
        <v>5555</v>
      </c>
      <c r="BL132" s="54">
        <f t="shared" ref="BL132" si="1056">BK132-BL133+BL134</f>
        <v>5547</v>
      </c>
      <c r="BM132" s="54">
        <f t="shared" ref="BM132" si="1057">BL132-BM133+BM134</f>
        <v>5539</v>
      </c>
      <c r="BN132" s="54">
        <f t="shared" ref="BN132" si="1058">BM132-BN133+BN134</f>
        <v>5531</v>
      </c>
      <c r="BO132" s="54">
        <f t="shared" ref="BO132" si="1059">BN132-BO133+BO134</f>
        <v>5523</v>
      </c>
      <c r="BP132" s="54">
        <f t="shared" ref="BP132" si="1060">BO132-BP133+BP134</f>
        <v>5515</v>
      </c>
      <c r="BQ132" s="54">
        <f t="shared" ref="BQ132" si="1061">BP132-BQ133+BQ134</f>
        <v>5507</v>
      </c>
      <c r="BR132" s="55">
        <f t="shared" ref="BR132" si="1062">BQ132-BR133+BR134</f>
        <v>5499</v>
      </c>
      <c r="BX132" s="22"/>
    </row>
    <row r="133" spans="1:76" ht="12.75" hidden="1" outlineLevel="1" x14ac:dyDescent="0.2">
      <c r="A133" s="23"/>
      <c r="B133" s="24"/>
      <c r="C133" s="24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6" t="s">
        <v>8</v>
      </c>
      <c r="AY133" s="47">
        <f t="shared" ref="AY133" si="1063">$I132*AY$3+$J132*AY$4+$K132*AY$5</f>
        <v>8</v>
      </c>
      <c r="AZ133" s="48">
        <f t="shared" ref="AZ133" si="1064">$I132*AZ$3+$J132*AZ$4+$K132*AZ$5</f>
        <v>8</v>
      </c>
      <c r="BA133" s="48">
        <f t="shared" ref="BA133" si="1065">$I132*BA$3+$J132*BA$4+$K132*BA$5</f>
        <v>8</v>
      </c>
      <c r="BB133" s="48">
        <f t="shared" ref="BB133" si="1066">$I132*BB$3+$J132*BB$4+$K132*BB$5</f>
        <v>8</v>
      </c>
      <c r="BC133" s="48">
        <f t="shared" ref="BC133" si="1067">$I132*BC$3+$J132*BC$4+$K132*BC$5</f>
        <v>8</v>
      </c>
      <c r="BD133" s="48">
        <f t="shared" ref="BD133" si="1068">$I132*BD$3+$J132*BD$4+$K132*BD$5</f>
        <v>8</v>
      </c>
      <c r="BE133" s="48">
        <f t="shared" ref="BE133" si="1069">$I132*BE$3+$J132*BE$4+$K132*BE$5</f>
        <v>8</v>
      </c>
      <c r="BF133" s="48">
        <f t="shared" ref="BF133" si="1070">$I132*BF$3+$J132*BF$4+$K132*BF$5</f>
        <v>8</v>
      </c>
      <c r="BG133" s="48">
        <f t="shared" ref="BG133" si="1071">$I132*BG$3+$J132*BG$4+$K132*BG$5</f>
        <v>8</v>
      </c>
      <c r="BH133" s="48">
        <f t="shared" ref="BH133" si="1072">$I132*BH$3+$J132*BH$4+$K132*BH$5</f>
        <v>8</v>
      </c>
      <c r="BI133" s="48">
        <f t="shared" ref="BI133" si="1073">$I132*BI$3+$J132*BI$4+$K132*BI$5</f>
        <v>8</v>
      </c>
      <c r="BJ133" s="48">
        <f t="shared" ref="BJ133" si="1074">$I132*BJ$3+$J132*BJ$4+$K132*BJ$5</f>
        <v>8</v>
      </c>
      <c r="BK133" s="48">
        <f t="shared" ref="BK133" si="1075">$I132*BK$3+$J132*BK$4+$K132*BK$5</f>
        <v>8</v>
      </c>
      <c r="BL133" s="48">
        <f t="shared" ref="BL133" si="1076">$I132*BL$3+$J132*BL$4+$K132*BL$5</f>
        <v>8</v>
      </c>
      <c r="BM133" s="48">
        <f t="shared" ref="BM133" si="1077">$I132*BM$3+$J132*BM$4+$K132*BM$5</f>
        <v>8</v>
      </c>
      <c r="BN133" s="48">
        <f t="shared" ref="BN133" si="1078">$I132*BN$3+$J132*BN$4+$K132*BN$5</f>
        <v>8</v>
      </c>
      <c r="BO133" s="48">
        <f t="shared" ref="BO133" si="1079">$I132*BO$3+$J132*BO$4+$K132*BO$5</f>
        <v>8</v>
      </c>
      <c r="BP133" s="48">
        <f t="shared" ref="BP133" si="1080">$I132*BP$3+$J132*BP$4+$K132*BP$5</f>
        <v>8</v>
      </c>
      <c r="BQ133" s="48">
        <f t="shared" ref="BQ133" si="1081">$I132*BQ$3+$J132*BQ$4+$K132*BQ$5</f>
        <v>8</v>
      </c>
      <c r="BR133" s="49">
        <f t="shared" ref="BR133" si="1082">$I132*BR$3+$J132*BR$4+$K132*BR$5</f>
        <v>8</v>
      </c>
    </row>
    <row r="134" spans="1:76" ht="12.75" hidden="1" outlineLevel="1" x14ac:dyDescent="0.2">
      <c r="A134" s="27"/>
      <c r="B134" s="28"/>
      <c r="C134" s="28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30" t="s">
        <v>9</v>
      </c>
      <c r="AY134" s="50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2"/>
    </row>
    <row r="135" spans="1:76" ht="12.75" collapsed="1" x14ac:dyDescent="0.2">
      <c r="A135" s="20" t="s">
        <v>360</v>
      </c>
      <c r="B135" s="20" t="s">
        <v>141</v>
      </c>
      <c r="C135" s="20"/>
      <c r="D135" s="21" t="s">
        <v>351</v>
      </c>
      <c r="E135" s="21">
        <v>2</v>
      </c>
      <c r="F135" s="21">
        <f>SUMIF(stock_on_hand!A:A,A135,stock_on_hand!C:C)</f>
        <v>0</v>
      </c>
      <c r="G135" s="21"/>
      <c r="H135" s="21" t="s">
        <v>361</v>
      </c>
      <c r="I135" s="21">
        <v>0</v>
      </c>
      <c r="J135" s="21">
        <v>0</v>
      </c>
      <c r="K135" s="21">
        <v>0.2</v>
      </c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38" t="str">
        <f>IF(G135&gt;0,IF(AY135&lt;(0.8*G135),"WARNING!!!",IF(AY135&lt;G135,"ORDER","OK")),IF((VLOOKUP(A135,A:BR,51+E135,0))&lt;0,"WARNING!!!",IF((VLOOKUP(A135,A:BR,51+ROUND(1.25*E135,0),0))&lt;0,"ORDER","OK")))</f>
        <v>WARNING!!!</v>
      </c>
      <c r="AY135" s="53">
        <f t="shared" ref="AY135" si="1083">F135-AY136+AY137</f>
        <v>-0.4</v>
      </c>
      <c r="AZ135" s="54">
        <f t="shared" ref="AZ135" si="1084">AY135-AZ136+AZ137</f>
        <v>-0.8</v>
      </c>
      <c r="BA135" s="54">
        <f t="shared" ref="BA135" si="1085">AZ135-BA136+BA137</f>
        <v>-1.2000000000000002</v>
      </c>
      <c r="BB135" s="54">
        <f t="shared" ref="BB135" si="1086">BA135-BB136+BB137</f>
        <v>-1.6</v>
      </c>
      <c r="BC135" s="54">
        <f t="shared" ref="BC135" si="1087">BB135-BC136+BC137</f>
        <v>-2</v>
      </c>
      <c r="BD135" s="54">
        <f t="shared" ref="BD135" si="1088">BC135-BD136+BD137</f>
        <v>-2.4</v>
      </c>
      <c r="BE135" s="54">
        <f t="shared" ref="BE135" si="1089">BD135-BE136+BE137</f>
        <v>-2.8</v>
      </c>
      <c r="BF135" s="54">
        <f t="shared" ref="BF135" si="1090">BE135-BF136+BF137</f>
        <v>-3.1999999999999997</v>
      </c>
      <c r="BG135" s="54">
        <f t="shared" ref="BG135" si="1091">BF135-BG136+BG137</f>
        <v>-3.5999999999999996</v>
      </c>
      <c r="BH135" s="54">
        <f t="shared" ref="BH135" si="1092">BG135-BH136+BH137</f>
        <v>-3.9999999999999996</v>
      </c>
      <c r="BI135" s="54">
        <f t="shared" ref="BI135" si="1093">BH135-BI136+BI137</f>
        <v>-4.3999999999999995</v>
      </c>
      <c r="BJ135" s="54">
        <f t="shared" ref="BJ135" si="1094">BI135-BJ136+BJ137</f>
        <v>-4.8</v>
      </c>
      <c r="BK135" s="54">
        <f t="shared" ref="BK135" si="1095">BJ135-BK136+BK137</f>
        <v>-5.2</v>
      </c>
      <c r="BL135" s="54">
        <f t="shared" ref="BL135" si="1096">BK135-BL136+BL137</f>
        <v>-5.6000000000000005</v>
      </c>
      <c r="BM135" s="54">
        <f t="shared" ref="BM135" si="1097">BL135-BM136+BM137</f>
        <v>-6.0000000000000009</v>
      </c>
      <c r="BN135" s="54">
        <f t="shared" ref="BN135" si="1098">BM135-BN136+BN137</f>
        <v>-6.4000000000000012</v>
      </c>
      <c r="BO135" s="54">
        <f t="shared" ref="BO135" si="1099">BN135-BO136+BO137</f>
        <v>-6.8000000000000016</v>
      </c>
      <c r="BP135" s="54">
        <f t="shared" ref="BP135" si="1100">BO135-BP136+BP137</f>
        <v>-7.200000000000002</v>
      </c>
      <c r="BQ135" s="54">
        <f t="shared" ref="BQ135" si="1101">BP135-BQ136+BQ137</f>
        <v>-7.6000000000000023</v>
      </c>
      <c r="BR135" s="55">
        <f t="shared" ref="BR135" si="1102">BQ135-BR136+BR137</f>
        <v>-8.0000000000000018</v>
      </c>
      <c r="BX135" s="22"/>
    </row>
    <row r="136" spans="1:76" ht="12.75" hidden="1" outlineLevel="1" x14ac:dyDescent="0.2">
      <c r="A136" s="23"/>
      <c r="B136" s="24"/>
      <c r="C136" s="24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6" t="s">
        <v>8</v>
      </c>
      <c r="AY136" s="47">
        <f t="shared" ref="AY136" si="1103">$I135*AY$3+$J135*AY$4+$K135*AY$5</f>
        <v>0.4</v>
      </c>
      <c r="AZ136" s="48">
        <f t="shared" ref="AZ136" si="1104">$I135*AZ$3+$J135*AZ$4+$K135*AZ$5</f>
        <v>0.4</v>
      </c>
      <c r="BA136" s="48">
        <f t="shared" ref="BA136" si="1105">$I135*BA$3+$J135*BA$4+$K135*BA$5</f>
        <v>0.4</v>
      </c>
      <c r="BB136" s="48">
        <f t="shared" ref="BB136" si="1106">$I135*BB$3+$J135*BB$4+$K135*BB$5</f>
        <v>0.4</v>
      </c>
      <c r="BC136" s="48">
        <f t="shared" ref="BC136" si="1107">$I135*BC$3+$J135*BC$4+$K135*BC$5</f>
        <v>0.4</v>
      </c>
      <c r="BD136" s="48">
        <f t="shared" ref="BD136" si="1108">$I135*BD$3+$J135*BD$4+$K135*BD$5</f>
        <v>0.4</v>
      </c>
      <c r="BE136" s="48">
        <f t="shared" ref="BE136" si="1109">$I135*BE$3+$J135*BE$4+$K135*BE$5</f>
        <v>0.4</v>
      </c>
      <c r="BF136" s="48">
        <f t="shared" ref="BF136" si="1110">$I135*BF$3+$J135*BF$4+$K135*BF$5</f>
        <v>0.4</v>
      </c>
      <c r="BG136" s="48">
        <f t="shared" ref="BG136" si="1111">$I135*BG$3+$J135*BG$4+$K135*BG$5</f>
        <v>0.4</v>
      </c>
      <c r="BH136" s="48">
        <f t="shared" ref="BH136" si="1112">$I135*BH$3+$J135*BH$4+$K135*BH$5</f>
        <v>0.4</v>
      </c>
      <c r="BI136" s="48">
        <f t="shared" ref="BI136" si="1113">$I135*BI$3+$J135*BI$4+$K135*BI$5</f>
        <v>0.4</v>
      </c>
      <c r="BJ136" s="48">
        <f t="shared" ref="BJ136" si="1114">$I135*BJ$3+$J135*BJ$4+$K135*BJ$5</f>
        <v>0.4</v>
      </c>
      <c r="BK136" s="48">
        <f t="shared" ref="BK136" si="1115">$I135*BK$3+$J135*BK$4+$K135*BK$5</f>
        <v>0.4</v>
      </c>
      <c r="BL136" s="48">
        <f t="shared" ref="BL136" si="1116">$I135*BL$3+$J135*BL$4+$K135*BL$5</f>
        <v>0.4</v>
      </c>
      <c r="BM136" s="48">
        <f t="shared" ref="BM136" si="1117">$I135*BM$3+$J135*BM$4+$K135*BM$5</f>
        <v>0.4</v>
      </c>
      <c r="BN136" s="48">
        <f t="shared" ref="BN136" si="1118">$I135*BN$3+$J135*BN$4+$K135*BN$5</f>
        <v>0.4</v>
      </c>
      <c r="BO136" s="48">
        <f t="shared" ref="BO136" si="1119">$I135*BO$3+$J135*BO$4+$K135*BO$5</f>
        <v>0.4</v>
      </c>
      <c r="BP136" s="48">
        <f t="shared" ref="BP136" si="1120">$I135*BP$3+$J135*BP$4+$K135*BP$5</f>
        <v>0.4</v>
      </c>
      <c r="BQ136" s="48">
        <f t="shared" ref="BQ136" si="1121">$I135*BQ$3+$J135*BQ$4+$K135*BQ$5</f>
        <v>0.4</v>
      </c>
      <c r="BR136" s="49">
        <f t="shared" ref="BR136" si="1122">$I135*BR$3+$J135*BR$4+$K135*BR$5</f>
        <v>0.4</v>
      </c>
    </row>
    <row r="137" spans="1:76" ht="12.75" hidden="1" outlineLevel="1" x14ac:dyDescent="0.2">
      <c r="A137" s="27"/>
      <c r="B137" s="28"/>
      <c r="C137" s="28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30" t="s">
        <v>9</v>
      </c>
      <c r="AY137" s="50"/>
      <c r="AZ137" s="51"/>
      <c r="BA137" s="51"/>
      <c r="BB137" s="51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2"/>
    </row>
    <row r="138" spans="1:76" ht="12.75" collapsed="1" x14ac:dyDescent="0.2">
      <c r="A138" s="20" t="s">
        <v>478</v>
      </c>
      <c r="B138" s="20" t="s">
        <v>138</v>
      </c>
      <c r="C138" s="20"/>
      <c r="D138" s="21" t="s">
        <v>477</v>
      </c>
      <c r="E138" s="21">
        <v>2</v>
      </c>
      <c r="F138" s="21">
        <f>SUMIF(stock_on_hand!A:A,A138,stock_on_hand!C:C)</f>
        <v>36</v>
      </c>
      <c r="G138" s="21"/>
      <c r="H138" s="21" t="s">
        <v>361</v>
      </c>
      <c r="I138" s="21">
        <v>0</v>
      </c>
      <c r="J138" s="21">
        <v>0</v>
      </c>
      <c r="K138" s="21">
        <v>7.4999999999999997E-2</v>
      </c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38" t="str">
        <f>IF(G138&gt;0,IF(AY138&lt;(0.8*G138),"WARNING!!!",IF(AY138&lt;G138,"ORDER","OK")),IF((VLOOKUP(A138,A:BR,51+E138,0))&lt;0,"WARNING!!!",IF((VLOOKUP(A138,A:BR,51+ROUND(1.25*E138,0),0))&lt;0,"ORDER","OK")))</f>
        <v>OK</v>
      </c>
      <c r="AY138" s="53">
        <f t="shared" ref="AY138" si="1123">F138-AY139+AY140</f>
        <v>35.85</v>
      </c>
      <c r="AZ138" s="54">
        <f t="shared" ref="AZ138" si="1124">AY138-AZ139+AZ140</f>
        <v>35.700000000000003</v>
      </c>
      <c r="BA138" s="54">
        <f t="shared" ref="BA138" si="1125">AZ138-BA139+BA140</f>
        <v>35.550000000000004</v>
      </c>
      <c r="BB138" s="54">
        <f t="shared" ref="BB138" si="1126">BA138-BB139+BB140</f>
        <v>35.400000000000006</v>
      </c>
      <c r="BC138" s="54">
        <f t="shared" ref="BC138" si="1127">BB138-BC139+BC140</f>
        <v>35.250000000000007</v>
      </c>
      <c r="BD138" s="54">
        <f t="shared" ref="BD138" si="1128">BC138-BD139+BD140</f>
        <v>35.100000000000009</v>
      </c>
      <c r="BE138" s="54">
        <f t="shared" ref="BE138" si="1129">BD138-BE139+BE140</f>
        <v>34.95000000000001</v>
      </c>
      <c r="BF138" s="54">
        <f t="shared" ref="BF138" si="1130">BE138-BF139+BF140</f>
        <v>34.800000000000011</v>
      </c>
      <c r="BG138" s="54">
        <f t="shared" ref="BG138" si="1131">BF138-BG139+BG140</f>
        <v>34.650000000000013</v>
      </c>
      <c r="BH138" s="54">
        <f t="shared" ref="BH138" si="1132">BG138-BH139+BH140</f>
        <v>34.500000000000014</v>
      </c>
      <c r="BI138" s="54">
        <f t="shared" ref="BI138" si="1133">BH138-BI139+BI140</f>
        <v>34.350000000000016</v>
      </c>
      <c r="BJ138" s="54">
        <f t="shared" ref="BJ138" si="1134">BI138-BJ139+BJ140</f>
        <v>34.200000000000017</v>
      </c>
      <c r="BK138" s="54">
        <f t="shared" ref="BK138" si="1135">BJ138-BK139+BK140</f>
        <v>34.050000000000018</v>
      </c>
      <c r="BL138" s="54">
        <f t="shared" ref="BL138" si="1136">BK138-BL139+BL140</f>
        <v>33.90000000000002</v>
      </c>
      <c r="BM138" s="54">
        <f t="shared" ref="BM138" si="1137">BL138-BM139+BM140</f>
        <v>33.750000000000021</v>
      </c>
      <c r="BN138" s="54">
        <f t="shared" ref="BN138" si="1138">BM138-BN139+BN140</f>
        <v>33.600000000000023</v>
      </c>
      <c r="BO138" s="54">
        <f t="shared" ref="BO138" si="1139">BN138-BO139+BO140</f>
        <v>33.450000000000024</v>
      </c>
      <c r="BP138" s="54">
        <f t="shared" ref="BP138" si="1140">BO138-BP139+BP140</f>
        <v>33.300000000000026</v>
      </c>
      <c r="BQ138" s="54">
        <f t="shared" ref="BQ138" si="1141">BP138-BQ139+BQ140</f>
        <v>33.150000000000027</v>
      </c>
      <c r="BR138" s="55">
        <f t="shared" ref="BR138" si="1142">BQ138-BR139+BR140</f>
        <v>33.000000000000028</v>
      </c>
      <c r="BX138" s="22"/>
    </row>
    <row r="139" spans="1:76" ht="12.75" hidden="1" outlineLevel="1" x14ac:dyDescent="0.2">
      <c r="A139" s="23"/>
      <c r="B139" s="24"/>
      <c r="C139" s="24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6" t="s">
        <v>8</v>
      </c>
      <c r="AY139" s="47">
        <f t="shared" ref="AY139" si="1143">$I138*AY$3+$J138*AY$4+$K138*AY$5</f>
        <v>0.15</v>
      </c>
      <c r="AZ139" s="48">
        <f t="shared" ref="AZ139" si="1144">$I138*AZ$3+$J138*AZ$4+$K138*AZ$5</f>
        <v>0.15</v>
      </c>
      <c r="BA139" s="48">
        <f t="shared" ref="BA139" si="1145">$I138*BA$3+$J138*BA$4+$K138*BA$5</f>
        <v>0.15</v>
      </c>
      <c r="BB139" s="48">
        <f t="shared" ref="BB139" si="1146">$I138*BB$3+$J138*BB$4+$K138*BB$5</f>
        <v>0.15</v>
      </c>
      <c r="BC139" s="48">
        <f t="shared" ref="BC139" si="1147">$I138*BC$3+$J138*BC$4+$K138*BC$5</f>
        <v>0.15</v>
      </c>
      <c r="BD139" s="48">
        <f t="shared" ref="BD139" si="1148">$I138*BD$3+$J138*BD$4+$K138*BD$5</f>
        <v>0.15</v>
      </c>
      <c r="BE139" s="48">
        <f t="shared" ref="BE139" si="1149">$I138*BE$3+$J138*BE$4+$K138*BE$5</f>
        <v>0.15</v>
      </c>
      <c r="BF139" s="48">
        <f t="shared" ref="BF139" si="1150">$I138*BF$3+$J138*BF$4+$K138*BF$5</f>
        <v>0.15</v>
      </c>
      <c r="BG139" s="48">
        <f t="shared" ref="BG139" si="1151">$I138*BG$3+$J138*BG$4+$K138*BG$5</f>
        <v>0.15</v>
      </c>
      <c r="BH139" s="48">
        <f t="shared" ref="BH139" si="1152">$I138*BH$3+$J138*BH$4+$K138*BH$5</f>
        <v>0.15</v>
      </c>
      <c r="BI139" s="48">
        <f t="shared" ref="BI139" si="1153">$I138*BI$3+$J138*BI$4+$K138*BI$5</f>
        <v>0.15</v>
      </c>
      <c r="BJ139" s="48">
        <f t="shared" ref="BJ139" si="1154">$I138*BJ$3+$J138*BJ$4+$K138*BJ$5</f>
        <v>0.15</v>
      </c>
      <c r="BK139" s="48">
        <f t="shared" ref="BK139" si="1155">$I138*BK$3+$J138*BK$4+$K138*BK$5</f>
        <v>0.15</v>
      </c>
      <c r="BL139" s="48">
        <f t="shared" ref="BL139" si="1156">$I138*BL$3+$J138*BL$4+$K138*BL$5</f>
        <v>0.15</v>
      </c>
      <c r="BM139" s="48">
        <f t="shared" ref="BM139" si="1157">$I138*BM$3+$J138*BM$4+$K138*BM$5</f>
        <v>0.15</v>
      </c>
      <c r="BN139" s="48">
        <f t="shared" ref="BN139" si="1158">$I138*BN$3+$J138*BN$4+$K138*BN$5</f>
        <v>0.15</v>
      </c>
      <c r="BO139" s="48">
        <f t="shared" ref="BO139" si="1159">$I138*BO$3+$J138*BO$4+$K138*BO$5</f>
        <v>0.15</v>
      </c>
      <c r="BP139" s="48">
        <f t="shared" ref="BP139" si="1160">$I138*BP$3+$J138*BP$4+$K138*BP$5</f>
        <v>0.15</v>
      </c>
      <c r="BQ139" s="48">
        <f t="shared" ref="BQ139" si="1161">$I138*BQ$3+$J138*BQ$4+$K138*BQ$5</f>
        <v>0.15</v>
      </c>
      <c r="BR139" s="49">
        <f t="shared" ref="BR139" si="1162">$I138*BR$3+$J138*BR$4+$K138*BR$5</f>
        <v>0.15</v>
      </c>
    </row>
    <row r="140" spans="1:76" ht="12.75" hidden="1" outlineLevel="1" x14ac:dyDescent="0.2">
      <c r="A140" s="27"/>
      <c r="B140" s="28"/>
      <c r="C140" s="28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30" t="s">
        <v>9</v>
      </c>
      <c r="AY140" s="50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2"/>
    </row>
    <row r="141" spans="1:76" ht="12.75" collapsed="1" x14ac:dyDescent="0.2">
      <c r="A141" s="20" t="s">
        <v>408</v>
      </c>
      <c r="B141" s="20" t="s">
        <v>165</v>
      </c>
      <c r="C141" s="20"/>
      <c r="D141" s="21" t="s">
        <v>351</v>
      </c>
      <c r="E141" s="21">
        <v>2</v>
      </c>
      <c r="F141" s="21">
        <f>SUMIF(stock_on_hand!A:A,A141,stock_on_hand!C:C)</f>
        <v>0</v>
      </c>
      <c r="G141" s="21"/>
      <c r="H141" s="21" t="s">
        <v>361</v>
      </c>
      <c r="I141" s="21">
        <v>0.2</v>
      </c>
      <c r="J141" s="21">
        <v>0</v>
      </c>
      <c r="K141" s="21">
        <v>1</v>
      </c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38" t="str">
        <f>IF(G141&gt;0,IF(AY141&lt;(0.8*G141),"WARNING!!!",IF(AY141&lt;G141,"ORDER","OK")),IF((VLOOKUP(A141,A:BR,51+E141,0))&lt;0,"WARNING!!!",IF((VLOOKUP(A141,A:BR,51+ROUND(1.25*E141,0),0))&lt;0,"ORDER","OK")))</f>
        <v>WARNING!!!</v>
      </c>
      <c r="AY141" s="53">
        <f t="shared" ref="AY141" si="1163">F141-AY142+AY143</f>
        <v>-4</v>
      </c>
      <c r="AZ141" s="54">
        <f t="shared" ref="AZ141" si="1164">AY141-AZ142+AZ143</f>
        <v>-6.4</v>
      </c>
      <c r="BA141" s="54">
        <f t="shared" ref="BA141" si="1165">AZ141-BA142+BA143</f>
        <v>-8.8000000000000007</v>
      </c>
      <c r="BB141" s="54">
        <f t="shared" ref="BB141" si="1166">BA141-BB142+BB143</f>
        <v>-11.200000000000001</v>
      </c>
      <c r="BC141" s="54">
        <f t="shared" ref="BC141" si="1167">BB141-BC142+BC143</f>
        <v>-13.600000000000001</v>
      </c>
      <c r="BD141" s="54">
        <f t="shared" ref="BD141" si="1168">BC141-BD142+BD143</f>
        <v>-16</v>
      </c>
      <c r="BE141" s="54">
        <f t="shared" ref="BE141" si="1169">BD141-BE142+BE143</f>
        <v>-18.399999999999999</v>
      </c>
      <c r="BF141" s="54">
        <f t="shared" ref="BF141" si="1170">BE141-BF142+BF143</f>
        <v>-20.799999999999997</v>
      </c>
      <c r="BG141" s="54">
        <f t="shared" ref="BG141" si="1171">BF141-BG142+BG143</f>
        <v>-23.199999999999996</v>
      </c>
      <c r="BH141" s="54">
        <f t="shared" ref="BH141" si="1172">BG141-BH142+BH143</f>
        <v>-25.599999999999994</v>
      </c>
      <c r="BI141" s="54">
        <f t="shared" ref="BI141" si="1173">BH141-BI142+BI143</f>
        <v>-27.999999999999993</v>
      </c>
      <c r="BJ141" s="54">
        <f t="shared" ref="BJ141" si="1174">BI141-BJ142+BJ143</f>
        <v>-30.399999999999991</v>
      </c>
      <c r="BK141" s="54">
        <f t="shared" ref="BK141" si="1175">BJ141-BK142+BK143</f>
        <v>-32.79999999999999</v>
      </c>
      <c r="BL141" s="54">
        <f t="shared" ref="BL141" si="1176">BK141-BL142+BL143</f>
        <v>-35.199999999999989</v>
      </c>
      <c r="BM141" s="54">
        <f t="shared" ref="BM141" si="1177">BL141-BM142+BM143</f>
        <v>-37.599999999999987</v>
      </c>
      <c r="BN141" s="54">
        <f t="shared" ref="BN141" si="1178">BM141-BN142+BN143</f>
        <v>-39.999999999999986</v>
      </c>
      <c r="BO141" s="54">
        <f t="shared" ref="BO141" si="1179">BN141-BO142+BO143</f>
        <v>-42.399999999999984</v>
      </c>
      <c r="BP141" s="54">
        <f t="shared" ref="BP141" si="1180">BO141-BP142+BP143</f>
        <v>-44.799999999999983</v>
      </c>
      <c r="BQ141" s="54">
        <f t="shared" ref="BQ141" si="1181">BP141-BQ142+BQ143</f>
        <v>-47.199999999999982</v>
      </c>
      <c r="BR141" s="55">
        <f t="shared" ref="BR141" si="1182">BQ141-BR142+BR143</f>
        <v>-49.59999999999998</v>
      </c>
      <c r="BX141" s="22"/>
    </row>
    <row r="142" spans="1:76" ht="12.75" hidden="1" outlineLevel="1" x14ac:dyDescent="0.2">
      <c r="A142" s="23"/>
      <c r="B142" s="24"/>
      <c r="C142" s="24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6" t="s">
        <v>8</v>
      </c>
      <c r="AY142" s="47">
        <f t="shared" ref="AY142" si="1183">$I141*AY$3+$J141*AY$4+$K141*AY$5</f>
        <v>4</v>
      </c>
      <c r="AZ142" s="48">
        <f t="shared" ref="AZ142" si="1184">$I141*AZ$3+$J141*AZ$4+$K141*AZ$5</f>
        <v>2.4</v>
      </c>
      <c r="BA142" s="48">
        <f t="shared" ref="BA142" si="1185">$I141*BA$3+$J141*BA$4+$K141*BA$5</f>
        <v>2.4</v>
      </c>
      <c r="BB142" s="48">
        <f t="shared" ref="BB142" si="1186">$I141*BB$3+$J141*BB$4+$K141*BB$5</f>
        <v>2.4</v>
      </c>
      <c r="BC142" s="48">
        <f t="shared" ref="BC142" si="1187">$I141*BC$3+$J141*BC$4+$K141*BC$5</f>
        <v>2.4</v>
      </c>
      <c r="BD142" s="48">
        <f t="shared" ref="BD142" si="1188">$I141*BD$3+$J141*BD$4+$K141*BD$5</f>
        <v>2.4</v>
      </c>
      <c r="BE142" s="48">
        <f t="shared" ref="BE142" si="1189">$I141*BE$3+$J141*BE$4+$K141*BE$5</f>
        <v>2.4</v>
      </c>
      <c r="BF142" s="48">
        <f t="shared" ref="BF142" si="1190">$I141*BF$3+$J141*BF$4+$K141*BF$5</f>
        <v>2.4</v>
      </c>
      <c r="BG142" s="48">
        <f t="shared" ref="BG142" si="1191">$I141*BG$3+$J141*BG$4+$K141*BG$5</f>
        <v>2.4</v>
      </c>
      <c r="BH142" s="48">
        <f t="shared" ref="BH142" si="1192">$I141*BH$3+$J141*BH$4+$K141*BH$5</f>
        <v>2.4</v>
      </c>
      <c r="BI142" s="48">
        <f t="shared" ref="BI142" si="1193">$I141*BI$3+$J141*BI$4+$K141*BI$5</f>
        <v>2.4</v>
      </c>
      <c r="BJ142" s="48">
        <f t="shared" ref="BJ142" si="1194">$I141*BJ$3+$J141*BJ$4+$K141*BJ$5</f>
        <v>2.4</v>
      </c>
      <c r="BK142" s="48">
        <f t="shared" ref="BK142" si="1195">$I141*BK$3+$J141*BK$4+$K141*BK$5</f>
        <v>2.4</v>
      </c>
      <c r="BL142" s="48">
        <f t="shared" ref="BL142" si="1196">$I141*BL$3+$J141*BL$4+$K141*BL$5</f>
        <v>2.4</v>
      </c>
      <c r="BM142" s="48">
        <f t="shared" ref="BM142" si="1197">$I141*BM$3+$J141*BM$4+$K141*BM$5</f>
        <v>2.4</v>
      </c>
      <c r="BN142" s="48">
        <f t="shared" ref="BN142" si="1198">$I141*BN$3+$J141*BN$4+$K141*BN$5</f>
        <v>2.4</v>
      </c>
      <c r="BO142" s="48">
        <f t="shared" ref="BO142" si="1199">$I141*BO$3+$J141*BO$4+$K141*BO$5</f>
        <v>2.4</v>
      </c>
      <c r="BP142" s="48">
        <f t="shared" ref="BP142" si="1200">$I141*BP$3+$J141*BP$4+$K141*BP$5</f>
        <v>2.4</v>
      </c>
      <c r="BQ142" s="48">
        <f t="shared" ref="BQ142" si="1201">$I141*BQ$3+$J141*BQ$4+$K141*BQ$5</f>
        <v>2.4</v>
      </c>
      <c r="BR142" s="49">
        <f t="shared" ref="BR142" si="1202">$I141*BR$3+$J141*BR$4+$K141*BR$5</f>
        <v>2.4</v>
      </c>
    </row>
    <row r="143" spans="1:76" ht="12.75" hidden="1" outlineLevel="1" x14ac:dyDescent="0.2">
      <c r="A143" s="27"/>
      <c r="B143" s="28"/>
      <c r="C143" s="28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30" t="s">
        <v>9</v>
      </c>
      <c r="AY143" s="50"/>
      <c r="AZ143" s="51"/>
      <c r="BA143" s="51"/>
      <c r="BB143" s="51"/>
      <c r="BC143" s="51"/>
      <c r="BD143" s="51"/>
      <c r="BE143" s="51"/>
      <c r="BF143" s="51"/>
      <c r="BG143" s="51"/>
      <c r="BH143" s="51"/>
      <c r="BI143" s="51"/>
      <c r="BJ143" s="51"/>
      <c r="BK143" s="51"/>
      <c r="BL143" s="51"/>
      <c r="BM143" s="51"/>
      <c r="BN143" s="51"/>
      <c r="BO143" s="51"/>
      <c r="BP143" s="51"/>
      <c r="BQ143" s="51"/>
      <c r="BR143" s="52"/>
    </row>
    <row r="144" spans="1:76" ht="12.75" collapsed="1" x14ac:dyDescent="0.2">
      <c r="A144" s="20" t="s">
        <v>352</v>
      </c>
      <c r="B144" s="20" t="s">
        <v>131</v>
      </c>
      <c r="C144" s="20"/>
      <c r="D144" s="21" t="s">
        <v>351</v>
      </c>
      <c r="E144" s="21">
        <v>2</v>
      </c>
      <c r="F144" s="21">
        <f>SUMIF(stock_on_hand!A:A,A144,stock_on_hand!C:C)</f>
        <v>141</v>
      </c>
      <c r="G144" s="21"/>
      <c r="H144" s="21" t="s">
        <v>361</v>
      </c>
      <c r="I144" s="21">
        <v>0</v>
      </c>
      <c r="J144" s="21">
        <v>0</v>
      </c>
      <c r="K144" s="21">
        <v>0.25</v>
      </c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38" t="str">
        <f>IF(G144&gt;0,IF(AY144&lt;(0.8*G144),"WARNING!!!",IF(AY144&lt;G144,"ORDER","OK")),IF((VLOOKUP(A144,A:BR,51+E144,0))&lt;0,"WARNING!!!",IF((VLOOKUP(A144,A:BR,51+ROUND(1.25*E144,0),0))&lt;0,"ORDER","OK")))</f>
        <v>OK</v>
      </c>
      <c r="AY144" s="53">
        <f t="shared" ref="AY144" si="1203">F144-AY145+AY146</f>
        <v>140.5</v>
      </c>
      <c r="AZ144" s="54">
        <f t="shared" ref="AZ144" si="1204">AY144-AZ145+AZ146</f>
        <v>140</v>
      </c>
      <c r="BA144" s="54">
        <f t="shared" ref="BA144" si="1205">AZ144-BA145+BA146</f>
        <v>139.5</v>
      </c>
      <c r="BB144" s="54">
        <f t="shared" ref="BB144" si="1206">BA144-BB145+BB146</f>
        <v>139</v>
      </c>
      <c r="BC144" s="54">
        <f t="shared" ref="BC144" si="1207">BB144-BC145+BC146</f>
        <v>138.5</v>
      </c>
      <c r="BD144" s="54">
        <f t="shared" ref="BD144" si="1208">BC144-BD145+BD146</f>
        <v>138</v>
      </c>
      <c r="BE144" s="54">
        <f t="shared" ref="BE144" si="1209">BD144-BE145+BE146</f>
        <v>137.5</v>
      </c>
      <c r="BF144" s="54">
        <f t="shared" ref="BF144" si="1210">BE144-BF145+BF146</f>
        <v>137</v>
      </c>
      <c r="BG144" s="54">
        <f t="shared" ref="BG144" si="1211">BF144-BG145+BG146</f>
        <v>136.5</v>
      </c>
      <c r="BH144" s="54">
        <f t="shared" ref="BH144" si="1212">BG144-BH145+BH146</f>
        <v>136</v>
      </c>
      <c r="BI144" s="54">
        <f t="shared" ref="BI144" si="1213">BH144-BI145+BI146</f>
        <v>135.5</v>
      </c>
      <c r="BJ144" s="54">
        <f t="shared" ref="BJ144" si="1214">BI144-BJ145+BJ146</f>
        <v>135</v>
      </c>
      <c r="BK144" s="54">
        <f t="shared" ref="BK144" si="1215">BJ144-BK145+BK146</f>
        <v>134.5</v>
      </c>
      <c r="BL144" s="54">
        <f t="shared" ref="BL144" si="1216">BK144-BL145+BL146</f>
        <v>134</v>
      </c>
      <c r="BM144" s="54">
        <f t="shared" ref="BM144" si="1217">BL144-BM145+BM146</f>
        <v>133.5</v>
      </c>
      <c r="BN144" s="54">
        <f t="shared" ref="BN144" si="1218">BM144-BN145+BN146</f>
        <v>133</v>
      </c>
      <c r="BO144" s="54">
        <f t="shared" ref="BO144" si="1219">BN144-BO145+BO146</f>
        <v>132.5</v>
      </c>
      <c r="BP144" s="54">
        <f t="shared" ref="BP144" si="1220">BO144-BP145+BP146</f>
        <v>132</v>
      </c>
      <c r="BQ144" s="54">
        <f t="shared" ref="BQ144" si="1221">BP144-BQ145+BQ146</f>
        <v>131.5</v>
      </c>
      <c r="BR144" s="55">
        <f t="shared" ref="BR144" si="1222">BQ144-BR145+BR146</f>
        <v>131</v>
      </c>
      <c r="BX144" s="22"/>
    </row>
    <row r="145" spans="1:76" ht="12.75" hidden="1" outlineLevel="1" x14ac:dyDescent="0.2">
      <c r="A145" s="23"/>
      <c r="B145" s="24"/>
      <c r="C145" s="24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6" t="s">
        <v>8</v>
      </c>
      <c r="AY145" s="47">
        <f t="shared" ref="AY145" si="1223">$I144*AY$3+$J144*AY$4+$K144*AY$5</f>
        <v>0.5</v>
      </c>
      <c r="AZ145" s="48">
        <f t="shared" ref="AZ145" si="1224">$I144*AZ$3+$J144*AZ$4+$K144*AZ$5</f>
        <v>0.5</v>
      </c>
      <c r="BA145" s="48">
        <f t="shared" ref="BA145" si="1225">$I144*BA$3+$J144*BA$4+$K144*BA$5</f>
        <v>0.5</v>
      </c>
      <c r="BB145" s="48">
        <f t="shared" ref="BB145" si="1226">$I144*BB$3+$J144*BB$4+$K144*BB$5</f>
        <v>0.5</v>
      </c>
      <c r="BC145" s="48">
        <f t="shared" ref="BC145" si="1227">$I144*BC$3+$J144*BC$4+$K144*BC$5</f>
        <v>0.5</v>
      </c>
      <c r="BD145" s="48">
        <f t="shared" ref="BD145" si="1228">$I144*BD$3+$J144*BD$4+$K144*BD$5</f>
        <v>0.5</v>
      </c>
      <c r="BE145" s="48">
        <f t="shared" ref="BE145" si="1229">$I144*BE$3+$J144*BE$4+$K144*BE$5</f>
        <v>0.5</v>
      </c>
      <c r="BF145" s="48">
        <f t="shared" ref="BF145" si="1230">$I144*BF$3+$J144*BF$4+$K144*BF$5</f>
        <v>0.5</v>
      </c>
      <c r="BG145" s="48">
        <f t="shared" ref="BG145" si="1231">$I144*BG$3+$J144*BG$4+$K144*BG$5</f>
        <v>0.5</v>
      </c>
      <c r="BH145" s="48">
        <f t="shared" ref="BH145" si="1232">$I144*BH$3+$J144*BH$4+$K144*BH$5</f>
        <v>0.5</v>
      </c>
      <c r="BI145" s="48">
        <f t="shared" ref="BI145" si="1233">$I144*BI$3+$J144*BI$4+$K144*BI$5</f>
        <v>0.5</v>
      </c>
      <c r="BJ145" s="48">
        <f t="shared" ref="BJ145" si="1234">$I144*BJ$3+$J144*BJ$4+$K144*BJ$5</f>
        <v>0.5</v>
      </c>
      <c r="BK145" s="48">
        <f t="shared" ref="BK145" si="1235">$I144*BK$3+$J144*BK$4+$K144*BK$5</f>
        <v>0.5</v>
      </c>
      <c r="BL145" s="48">
        <f t="shared" ref="BL145" si="1236">$I144*BL$3+$J144*BL$4+$K144*BL$5</f>
        <v>0.5</v>
      </c>
      <c r="BM145" s="48">
        <f t="shared" ref="BM145" si="1237">$I144*BM$3+$J144*BM$4+$K144*BM$5</f>
        <v>0.5</v>
      </c>
      <c r="BN145" s="48">
        <f t="shared" ref="BN145" si="1238">$I144*BN$3+$J144*BN$4+$K144*BN$5</f>
        <v>0.5</v>
      </c>
      <c r="BO145" s="48">
        <f t="shared" ref="BO145" si="1239">$I144*BO$3+$J144*BO$4+$K144*BO$5</f>
        <v>0.5</v>
      </c>
      <c r="BP145" s="48">
        <f t="shared" ref="BP145" si="1240">$I144*BP$3+$J144*BP$4+$K144*BP$5</f>
        <v>0.5</v>
      </c>
      <c r="BQ145" s="48">
        <f t="shared" ref="BQ145" si="1241">$I144*BQ$3+$J144*BQ$4+$K144*BQ$5</f>
        <v>0.5</v>
      </c>
      <c r="BR145" s="49">
        <f t="shared" ref="BR145" si="1242">$I144*BR$3+$J144*BR$4+$K144*BR$5</f>
        <v>0.5</v>
      </c>
    </row>
    <row r="146" spans="1:76" ht="12.75" hidden="1" outlineLevel="1" x14ac:dyDescent="0.2">
      <c r="A146" s="27"/>
      <c r="B146" s="28"/>
      <c r="C146" s="28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30" t="s">
        <v>9</v>
      </c>
      <c r="AY146" s="50"/>
      <c r="AZ146" s="51"/>
      <c r="BA146" s="51"/>
      <c r="BB146" s="51"/>
      <c r="BC146" s="51"/>
      <c r="BD146" s="51"/>
      <c r="BE146" s="51"/>
      <c r="BF146" s="51"/>
      <c r="BG146" s="51"/>
      <c r="BH146" s="51"/>
      <c r="BI146" s="51"/>
      <c r="BJ146" s="51"/>
      <c r="BK146" s="51"/>
      <c r="BL146" s="51"/>
      <c r="BM146" s="51"/>
      <c r="BN146" s="51"/>
      <c r="BO146" s="51"/>
      <c r="BP146" s="51"/>
      <c r="BQ146" s="51"/>
      <c r="BR146" s="52"/>
    </row>
    <row r="147" spans="1:76" ht="12.75" collapsed="1" x14ac:dyDescent="0.2">
      <c r="A147" s="20" t="s">
        <v>364</v>
      </c>
      <c r="B147" s="20" t="s">
        <v>143</v>
      </c>
      <c r="C147" s="20"/>
      <c r="D147" s="21" t="s">
        <v>351</v>
      </c>
      <c r="E147" s="21">
        <v>2</v>
      </c>
      <c r="F147" s="21">
        <f>SUMIF(stock_on_hand!A:A,A147,stock_on_hand!C:C)</f>
        <v>0</v>
      </c>
      <c r="G147" s="21"/>
      <c r="H147" s="21" t="s">
        <v>361</v>
      </c>
      <c r="I147" s="21">
        <v>0</v>
      </c>
      <c r="J147" s="21">
        <v>0</v>
      </c>
      <c r="K147" s="21">
        <v>1.35</v>
      </c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38" t="str">
        <f>IF(G147&gt;0,IF(AY147&lt;(0.8*G147),"WARNING!!!",IF(AY147&lt;G147,"ORDER","OK")),IF((VLOOKUP(A147,A:BR,51+E147,0))&lt;0,"WARNING!!!",IF((VLOOKUP(A147,A:BR,51+ROUND(1.25*E147,0),0))&lt;0,"ORDER","OK")))</f>
        <v>WARNING!!!</v>
      </c>
      <c r="AY147" s="53">
        <f t="shared" ref="AY147" si="1243">F147-AY148+AY149</f>
        <v>-2.7</v>
      </c>
      <c r="AZ147" s="54">
        <f t="shared" ref="AZ147" si="1244">AY147-AZ148+AZ149</f>
        <v>-5.4</v>
      </c>
      <c r="BA147" s="54">
        <f t="shared" ref="BA147" si="1245">AZ147-BA148+BA149</f>
        <v>-8.1000000000000014</v>
      </c>
      <c r="BB147" s="54">
        <f t="shared" ref="BB147" si="1246">BA147-BB148+BB149</f>
        <v>-10.8</v>
      </c>
      <c r="BC147" s="54">
        <f t="shared" ref="BC147" si="1247">BB147-BC148+BC149</f>
        <v>-13.5</v>
      </c>
      <c r="BD147" s="54">
        <f t="shared" ref="BD147" si="1248">BC147-BD148+BD149</f>
        <v>-16.2</v>
      </c>
      <c r="BE147" s="54">
        <f t="shared" ref="BE147" si="1249">BD147-BE148+BE149</f>
        <v>-18.899999999999999</v>
      </c>
      <c r="BF147" s="54">
        <f t="shared" ref="BF147" si="1250">BE147-BF148+BF149</f>
        <v>-21.599999999999998</v>
      </c>
      <c r="BG147" s="54">
        <f t="shared" ref="BG147" si="1251">BF147-BG148+BG149</f>
        <v>-24.299999999999997</v>
      </c>
      <c r="BH147" s="54">
        <f t="shared" ref="BH147" si="1252">BG147-BH148+BH149</f>
        <v>-26.999999999999996</v>
      </c>
      <c r="BI147" s="54">
        <f t="shared" ref="BI147" si="1253">BH147-BI148+BI149</f>
        <v>-29.699999999999996</v>
      </c>
      <c r="BJ147" s="54">
        <f t="shared" ref="BJ147" si="1254">BI147-BJ148+BJ149</f>
        <v>-32.4</v>
      </c>
      <c r="BK147" s="54">
        <f t="shared" ref="BK147" si="1255">BJ147-BK148+BK149</f>
        <v>-35.1</v>
      </c>
      <c r="BL147" s="54">
        <f t="shared" ref="BL147" si="1256">BK147-BL148+BL149</f>
        <v>-37.800000000000004</v>
      </c>
      <c r="BM147" s="54">
        <f t="shared" ref="BM147" si="1257">BL147-BM148+BM149</f>
        <v>-40.500000000000007</v>
      </c>
      <c r="BN147" s="54">
        <f t="shared" ref="BN147" si="1258">BM147-BN148+BN149</f>
        <v>-43.20000000000001</v>
      </c>
      <c r="BO147" s="54">
        <f t="shared" ref="BO147" si="1259">BN147-BO148+BO149</f>
        <v>-45.900000000000013</v>
      </c>
      <c r="BP147" s="54">
        <f t="shared" ref="BP147" si="1260">BO147-BP148+BP149</f>
        <v>-48.600000000000016</v>
      </c>
      <c r="BQ147" s="54">
        <f t="shared" ref="BQ147" si="1261">BP147-BQ148+BQ149</f>
        <v>-51.300000000000018</v>
      </c>
      <c r="BR147" s="55">
        <f t="shared" ref="BR147" si="1262">BQ147-BR148+BR149</f>
        <v>-54.000000000000021</v>
      </c>
      <c r="BX147" s="22"/>
    </row>
    <row r="148" spans="1:76" ht="12.75" hidden="1" outlineLevel="1" x14ac:dyDescent="0.2">
      <c r="A148" s="23"/>
      <c r="B148" s="24"/>
      <c r="C148" s="24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6" t="s">
        <v>8</v>
      </c>
      <c r="AY148" s="47">
        <f t="shared" ref="AY148" si="1263">$I147*AY$3+$J147*AY$4+$K147*AY$5</f>
        <v>2.7</v>
      </c>
      <c r="AZ148" s="48">
        <f t="shared" ref="AZ148" si="1264">$I147*AZ$3+$J147*AZ$4+$K147*AZ$5</f>
        <v>2.7</v>
      </c>
      <c r="BA148" s="48">
        <f t="shared" ref="BA148" si="1265">$I147*BA$3+$J147*BA$4+$K147*BA$5</f>
        <v>2.7</v>
      </c>
      <c r="BB148" s="48">
        <f t="shared" ref="BB148" si="1266">$I147*BB$3+$J147*BB$4+$K147*BB$5</f>
        <v>2.7</v>
      </c>
      <c r="BC148" s="48">
        <f t="shared" ref="BC148" si="1267">$I147*BC$3+$J147*BC$4+$K147*BC$5</f>
        <v>2.7</v>
      </c>
      <c r="BD148" s="48">
        <f t="shared" ref="BD148" si="1268">$I147*BD$3+$J147*BD$4+$K147*BD$5</f>
        <v>2.7</v>
      </c>
      <c r="BE148" s="48">
        <f t="shared" ref="BE148" si="1269">$I147*BE$3+$J147*BE$4+$K147*BE$5</f>
        <v>2.7</v>
      </c>
      <c r="BF148" s="48">
        <f t="shared" ref="BF148" si="1270">$I147*BF$3+$J147*BF$4+$K147*BF$5</f>
        <v>2.7</v>
      </c>
      <c r="BG148" s="48">
        <f t="shared" ref="BG148" si="1271">$I147*BG$3+$J147*BG$4+$K147*BG$5</f>
        <v>2.7</v>
      </c>
      <c r="BH148" s="48">
        <f t="shared" ref="BH148" si="1272">$I147*BH$3+$J147*BH$4+$K147*BH$5</f>
        <v>2.7</v>
      </c>
      <c r="BI148" s="48">
        <f t="shared" ref="BI148" si="1273">$I147*BI$3+$J147*BI$4+$K147*BI$5</f>
        <v>2.7</v>
      </c>
      <c r="BJ148" s="48">
        <f t="shared" ref="BJ148" si="1274">$I147*BJ$3+$J147*BJ$4+$K147*BJ$5</f>
        <v>2.7</v>
      </c>
      <c r="BK148" s="48">
        <f t="shared" ref="BK148" si="1275">$I147*BK$3+$J147*BK$4+$K147*BK$5</f>
        <v>2.7</v>
      </c>
      <c r="BL148" s="48">
        <f t="shared" ref="BL148" si="1276">$I147*BL$3+$J147*BL$4+$K147*BL$5</f>
        <v>2.7</v>
      </c>
      <c r="BM148" s="48">
        <f t="shared" ref="BM148" si="1277">$I147*BM$3+$J147*BM$4+$K147*BM$5</f>
        <v>2.7</v>
      </c>
      <c r="BN148" s="48">
        <f t="shared" ref="BN148" si="1278">$I147*BN$3+$J147*BN$4+$K147*BN$5</f>
        <v>2.7</v>
      </c>
      <c r="BO148" s="48">
        <f t="shared" ref="BO148" si="1279">$I147*BO$3+$J147*BO$4+$K147*BO$5</f>
        <v>2.7</v>
      </c>
      <c r="BP148" s="48">
        <f t="shared" ref="BP148" si="1280">$I147*BP$3+$J147*BP$4+$K147*BP$5</f>
        <v>2.7</v>
      </c>
      <c r="BQ148" s="48">
        <f t="shared" ref="BQ148" si="1281">$I147*BQ$3+$J147*BQ$4+$K147*BQ$5</f>
        <v>2.7</v>
      </c>
      <c r="BR148" s="49">
        <f t="shared" ref="BR148" si="1282">$I147*BR$3+$J147*BR$4+$K147*BR$5</f>
        <v>2.7</v>
      </c>
    </row>
    <row r="149" spans="1:76" ht="12.75" hidden="1" outlineLevel="1" x14ac:dyDescent="0.2">
      <c r="A149" s="27"/>
      <c r="B149" s="28"/>
      <c r="C149" s="28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30" t="s">
        <v>9</v>
      </c>
      <c r="AY149" s="50"/>
      <c r="AZ149" s="51"/>
      <c r="BA149" s="51"/>
      <c r="BB149" s="51"/>
      <c r="BC149" s="51"/>
      <c r="BD149" s="51"/>
      <c r="BE149" s="51"/>
      <c r="BF149" s="51"/>
      <c r="BG149" s="51"/>
      <c r="BH149" s="51"/>
      <c r="BI149" s="51"/>
      <c r="BJ149" s="51"/>
      <c r="BK149" s="51"/>
      <c r="BL149" s="51"/>
      <c r="BM149" s="51"/>
      <c r="BN149" s="51"/>
      <c r="BO149" s="51"/>
      <c r="BP149" s="51"/>
      <c r="BQ149" s="51"/>
      <c r="BR149" s="52"/>
    </row>
    <row r="150" spans="1:76" ht="12.75" collapsed="1" x14ac:dyDescent="0.2">
      <c r="A150" s="20" t="s">
        <v>391</v>
      </c>
      <c r="B150" s="20" t="s">
        <v>158</v>
      </c>
      <c r="C150" s="20"/>
      <c r="D150" s="21" t="s">
        <v>351</v>
      </c>
      <c r="E150" s="21">
        <v>2</v>
      </c>
      <c r="F150" s="21">
        <f>SUMIF(stock_on_hand!A:A,A150,stock_on_hand!C:C)</f>
        <v>188</v>
      </c>
      <c r="G150" s="21"/>
      <c r="H150" s="21" t="s">
        <v>361</v>
      </c>
      <c r="I150" s="21">
        <v>0.2</v>
      </c>
      <c r="J150" s="21">
        <v>0</v>
      </c>
      <c r="K150" s="21">
        <v>0.02</v>
      </c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38" t="str">
        <f>IF(G150&gt;0,IF(AY150&lt;(0.8*G150),"WARNING!!!",IF(AY150&lt;G150,"ORDER","OK")),IF((VLOOKUP(A150,A:BR,51+E150,0))&lt;0,"WARNING!!!",IF((VLOOKUP(A150,A:BR,51+ROUND(1.25*E150,0),0))&lt;0,"ORDER","OK")))</f>
        <v>OK</v>
      </c>
      <c r="AY150" s="53">
        <f t="shared" ref="AY150" si="1283">F150-AY151+AY152</f>
        <v>185.96</v>
      </c>
      <c r="AZ150" s="54">
        <f t="shared" ref="AZ150" si="1284">AY150-AZ151+AZ152</f>
        <v>185.52</v>
      </c>
      <c r="BA150" s="54">
        <f t="shared" ref="BA150" si="1285">AZ150-BA151+BA152</f>
        <v>185.08</v>
      </c>
      <c r="BB150" s="54">
        <f t="shared" ref="BB150" si="1286">BA150-BB151+BB152</f>
        <v>184.64000000000001</v>
      </c>
      <c r="BC150" s="54">
        <f t="shared" ref="BC150" si="1287">BB150-BC151+BC152</f>
        <v>184.20000000000002</v>
      </c>
      <c r="BD150" s="54">
        <f t="shared" ref="BD150" si="1288">BC150-BD151+BD152</f>
        <v>183.76000000000002</v>
      </c>
      <c r="BE150" s="54">
        <f t="shared" ref="BE150" si="1289">BD150-BE151+BE152</f>
        <v>183.32000000000002</v>
      </c>
      <c r="BF150" s="54">
        <f t="shared" ref="BF150" si="1290">BE150-BF151+BF152</f>
        <v>182.88000000000002</v>
      </c>
      <c r="BG150" s="54">
        <f t="shared" ref="BG150" si="1291">BF150-BG151+BG152</f>
        <v>182.44000000000003</v>
      </c>
      <c r="BH150" s="54">
        <f t="shared" ref="BH150" si="1292">BG150-BH151+BH152</f>
        <v>182.00000000000003</v>
      </c>
      <c r="BI150" s="54">
        <f t="shared" ref="BI150" si="1293">BH150-BI151+BI152</f>
        <v>181.56000000000003</v>
      </c>
      <c r="BJ150" s="54">
        <f t="shared" ref="BJ150" si="1294">BI150-BJ151+BJ152</f>
        <v>181.12000000000003</v>
      </c>
      <c r="BK150" s="54">
        <f t="shared" ref="BK150" si="1295">BJ150-BK151+BK152</f>
        <v>180.68000000000004</v>
      </c>
      <c r="BL150" s="54">
        <f t="shared" ref="BL150" si="1296">BK150-BL151+BL152</f>
        <v>180.24000000000004</v>
      </c>
      <c r="BM150" s="54">
        <f t="shared" ref="BM150" si="1297">BL150-BM151+BM152</f>
        <v>179.80000000000004</v>
      </c>
      <c r="BN150" s="54">
        <f t="shared" ref="BN150" si="1298">BM150-BN151+BN152</f>
        <v>179.36000000000004</v>
      </c>
      <c r="BO150" s="54">
        <f t="shared" ref="BO150" si="1299">BN150-BO151+BO152</f>
        <v>178.92000000000004</v>
      </c>
      <c r="BP150" s="54">
        <f t="shared" ref="BP150" si="1300">BO150-BP151+BP152</f>
        <v>178.48000000000005</v>
      </c>
      <c r="BQ150" s="54">
        <f t="shared" ref="BQ150" si="1301">BP150-BQ151+BQ152</f>
        <v>178.04000000000005</v>
      </c>
      <c r="BR150" s="55">
        <f t="shared" ref="BR150" si="1302">BQ150-BR151+BR152</f>
        <v>177.60000000000005</v>
      </c>
      <c r="BX150" s="22"/>
    </row>
    <row r="151" spans="1:76" ht="12.75" hidden="1" outlineLevel="1" x14ac:dyDescent="0.2">
      <c r="A151" s="23"/>
      <c r="B151" s="24"/>
      <c r="C151" s="24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6" t="s">
        <v>8</v>
      </c>
      <c r="AY151" s="47">
        <f t="shared" ref="AY151" si="1303">$I150*AY$3+$J150*AY$4+$K150*AY$5</f>
        <v>2.04</v>
      </c>
      <c r="AZ151" s="48">
        <f t="shared" ref="AZ151" si="1304">$I150*AZ$3+$J150*AZ$4+$K150*AZ$5</f>
        <v>0.44</v>
      </c>
      <c r="BA151" s="48">
        <f t="shared" ref="BA151" si="1305">$I150*BA$3+$J150*BA$4+$K150*BA$5</f>
        <v>0.44</v>
      </c>
      <c r="BB151" s="48">
        <f t="shared" ref="BB151" si="1306">$I150*BB$3+$J150*BB$4+$K150*BB$5</f>
        <v>0.44</v>
      </c>
      <c r="BC151" s="48">
        <f t="shared" ref="BC151" si="1307">$I150*BC$3+$J150*BC$4+$K150*BC$5</f>
        <v>0.44</v>
      </c>
      <c r="BD151" s="48">
        <f t="shared" ref="BD151" si="1308">$I150*BD$3+$J150*BD$4+$K150*BD$5</f>
        <v>0.44</v>
      </c>
      <c r="BE151" s="48">
        <f t="shared" ref="BE151" si="1309">$I150*BE$3+$J150*BE$4+$K150*BE$5</f>
        <v>0.44</v>
      </c>
      <c r="BF151" s="48">
        <f t="shared" ref="BF151" si="1310">$I150*BF$3+$J150*BF$4+$K150*BF$5</f>
        <v>0.44</v>
      </c>
      <c r="BG151" s="48">
        <f t="shared" ref="BG151" si="1311">$I150*BG$3+$J150*BG$4+$K150*BG$5</f>
        <v>0.44</v>
      </c>
      <c r="BH151" s="48">
        <f t="shared" ref="BH151" si="1312">$I150*BH$3+$J150*BH$4+$K150*BH$5</f>
        <v>0.44</v>
      </c>
      <c r="BI151" s="48">
        <f t="shared" ref="BI151" si="1313">$I150*BI$3+$J150*BI$4+$K150*BI$5</f>
        <v>0.44</v>
      </c>
      <c r="BJ151" s="48">
        <f t="shared" ref="BJ151" si="1314">$I150*BJ$3+$J150*BJ$4+$K150*BJ$5</f>
        <v>0.44</v>
      </c>
      <c r="BK151" s="48">
        <f t="shared" ref="BK151" si="1315">$I150*BK$3+$J150*BK$4+$K150*BK$5</f>
        <v>0.44</v>
      </c>
      <c r="BL151" s="48">
        <f t="shared" ref="BL151" si="1316">$I150*BL$3+$J150*BL$4+$K150*BL$5</f>
        <v>0.44</v>
      </c>
      <c r="BM151" s="48">
        <f t="shared" ref="BM151" si="1317">$I150*BM$3+$J150*BM$4+$K150*BM$5</f>
        <v>0.44</v>
      </c>
      <c r="BN151" s="48">
        <f t="shared" ref="BN151" si="1318">$I150*BN$3+$J150*BN$4+$K150*BN$5</f>
        <v>0.44</v>
      </c>
      <c r="BO151" s="48">
        <f t="shared" ref="BO151" si="1319">$I150*BO$3+$J150*BO$4+$K150*BO$5</f>
        <v>0.44</v>
      </c>
      <c r="BP151" s="48">
        <f t="shared" ref="BP151" si="1320">$I150*BP$3+$J150*BP$4+$K150*BP$5</f>
        <v>0.44</v>
      </c>
      <c r="BQ151" s="48">
        <f t="shared" ref="BQ151" si="1321">$I150*BQ$3+$J150*BQ$4+$K150*BQ$5</f>
        <v>0.44</v>
      </c>
      <c r="BR151" s="49">
        <f t="shared" ref="BR151" si="1322">$I150*BR$3+$J150*BR$4+$K150*BR$5</f>
        <v>0.44</v>
      </c>
    </row>
    <row r="152" spans="1:76" ht="12.75" hidden="1" outlineLevel="1" x14ac:dyDescent="0.2">
      <c r="A152" s="27"/>
      <c r="B152" s="28"/>
      <c r="C152" s="28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30" t="s">
        <v>9</v>
      </c>
      <c r="AY152" s="50"/>
      <c r="AZ152" s="51"/>
      <c r="BA152" s="51"/>
      <c r="BB152" s="51"/>
      <c r="BC152" s="51"/>
      <c r="BD152" s="51"/>
      <c r="BE152" s="51"/>
      <c r="BF152" s="51"/>
      <c r="BG152" s="51"/>
      <c r="BH152" s="51"/>
      <c r="BI152" s="51"/>
      <c r="BJ152" s="51"/>
      <c r="BK152" s="51"/>
      <c r="BL152" s="51"/>
      <c r="BM152" s="51"/>
      <c r="BN152" s="51"/>
      <c r="BO152" s="51"/>
      <c r="BP152" s="51"/>
      <c r="BQ152" s="51"/>
      <c r="BR152" s="52"/>
    </row>
    <row r="153" spans="1:76" ht="12.75" collapsed="1" x14ac:dyDescent="0.2">
      <c r="A153" s="20" t="s">
        <v>585</v>
      </c>
      <c r="B153" s="20" t="s">
        <v>242</v>
      </c>
      <c r="C153" s="20"/>
      <c r="D153" s="21" t="s">
        <v>581</v>
      </c>
      <c r="E153" s="21">
        <v>2</v>
      </c>
      <c r="F153" s="21">
        <f>SUMIF(stock_on_hand!A:A,A153,stock_on_hand!C:C)</f>
        <v>0</v>
      </c>
      <c r="G153" s="21"/>
      <c r="H153" s="21" t="s">
        <v>361</v>
      </c>
      <c r="I153" s="21">
        <v>1.4999999999999999E-2</v>
      </c>
      <c r="J153" s="21">
        <v>0</v>
      </c>
      <c r="K153" s="21">
        <v>1.4999999999999999E-2</v>
      </c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38" t="str">
        <f>IF(G153&gt;0,IF(AY153&lt;(0.8*G153),"WARNING!!!",IF(AY153&lt;G153,"ORDER","OK")),IF((VLOOKUP(A153,A:BR,51+E153,0))&lt;0,"WARNING!!!",IF((VLOOKUP(A153,A:BR,51+ROUND(1.25*E153,0),0))&lt;0,"ORDER","OK")))</f>
        <v>WARNING!!!</v>
      </c>
      <c r="AY153" s="53">
        <f t="shared" ref="AY153" si="1323">F153-AY154+AY155</f>
        <v>-0.18</v>
      </c>
      <c r="AZ153" s="54">
        <f t="shared" ref="AZ153" si="1324">AY153-AZ154+AZ155</f>
        <v>-0.24</v>
      </c>
      <c r="BA153" s="54">
        <f t="shared" ref="BA153" si="1325">AZ153-BA154+BA155</f>
        <v>-0.3</v>
      </c>
      <c r="BB153" s="54">
        <f t="shared" ref="BB153" si="1326">BA153-BB154+BB155</f>
        <v>-0.36</v>
      </c>
      <c r="BC153" s="54">
        <f t="shared" ref="BC153" si="1327">BB153-BC154+BC155</f>
        <v>-0.42</v>
      </c>
      <c r="BD153" s="54">
        <f t="shared" ref="BD153" si="1328">BC153-BD154+BD155</f>
        <v>-0.48</v>
      </c>
      <c r="BE153" s="54">
        <f t="shared" ref="BE153" si="1329">BD153-BE154+BE155</f>
        <v>-0.54</v>
      </c>
      <c r="BF153" s="54">
        <f t="shared" ref="BF153" si="1330">BE153-BF154+BF155</f>
        <v>-0.60000000000000009</v>
      </c>
      <c r="BG153" s="54">
        <f t="shared" ref="BG153" si="1331">BF153-BG154+BG155</f>
        <v>-0.66000000000000014</v>
      </c>
      <c r="BH153" s="54">
        <f t="shared" ref="BH153" si="1332">BG153-BH154+BH155</f>
        <v>-0.7200000000000002</v>
      </c>
      <c r="BI153" s="54">
        <f t="shared" ref="BI153" si="1333">BH153-BI154+BI155</f>
        <v>-0.78000000000000025</v>
      </c>
      <c r="BJ153" s="54">
        <f t="shared" ref="BJ153" si="1334">BI153-BJ154+BJ155</f>
        <v>-0.8400000000000003</v>
      </c>
      <c r="BK153" s="54">
        <f t="shared" ref="BK153" si="1335">BJ153-BK154+BK155</f>
        <v>-0.90000000000000036</v>
      </c>
      <c r="BL153" s="54">
        <f t="shared" ref="BL153" si="1336">BK153-BL154+BL155</f>
        <v>-0.96000000000000041</v>
      </c>
      <c r="BM153" s="54">
        <f t="shared" ref="BM153" si="1337">BL153-BM154+BM155</f>
        <v>-1.0200000000000005</v>
      </c>
      <c r="BN153" s="54">
        <f t="shared" ref="BN153" si="1338">BM153-BN154+BN155</f>
        <v>-1.0800000000000005</v>
      </c>
      <c r="BO153" s="54">
        <f t="shared" ref="BO153" si="1339">BN153-BO154+BO155</f>
        <v>-1.1400000000000006</v>
      </c>
      <c r="BP153" s="54">
        <f t="shared" ref="BP153" si="1340">BO153-BP154+BP155</f>
        <v>-1.2000000000000006</v>
      </c>
      <c r="BQ153" s="54">
        <f t="shared" ref="BQ153" si="1341">BP153-BQ154+BQ155</f>
        <v>-1.2600000000000007</v>
      </c>
      <c r="BR153" s="55">
        <f t="shared" ref="BR153" si="1342">BQ153-BR154+BR155</f>
        <v>-1.3200000000000007</v>
      </c>
      <c r="BX153" s="22"/>
    </row>
    <row r="154" spans="1:76" ht="12.75" hidden="1" outlineLevel="1" x14ac:dyDescent="0.2">
      <c r="A154" s="23"/>
      <c r="B154" s="24"/>
      <c r="C154" s="24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6" t="s">
        <v>8</v>
      </c>
      <c r="AY154" s="47">
        <f t="shared" ref="AY154" si="1343">$I153*AY$3+$J153*AY$4+$K153*AY$5</f>
        <v>0.18</v>
      </c>
      <c r="AZ154" s="48">
        <f t="shared" ref="AZ154" si="1344">$I153*AZ$3+$J153*AZ$4+$K153*AZ$5</f>
        <v>0.06</v>
      </c>
      <c r="BA154" s="48">
        <f t="shared" ref="BA154" si="1345">$I153*BA$3+$J153*BA$4+$K153*BA$5</f>
        <v>0.06</v>
      </c>
      <c r="BB154" s="48">
        <f t="shared" ref="BB154" si="1346">$I153*BB$3+$J153*BB$4+$K153*BB$5</f>
        <v>0.06</v>
      </c>
      <c r="BC154" s="48">
        <f t="shared" ref="BC154" si="1347">$I153*BC$3+$J153*BC$4+$K153*BC$5</f>
        <v>0.06</v>
      </c>
      <c r="BD154" s="48">
        <f t="shared" ref="BD154" si="1348">$I153*BD$3+$J153*BD$4+$K153*BD$5</f>
        <v>0.06</v>
      </c>
      <c r="BE154" s="48">
        <f t="shared" ref="BE154" si="1349">$I153*BE$3+$J153*BE$4+$K153*BE$5</f>
        <v>0.06</v>
      </c>
      <c r="BF154" s="48">
        <f t="shared" ref="BF154" si="1350">$I153*BF$3+$J153*BF$4+$K153*BF$5</f>
        <v>0.06</v>
      </c>
      <c r="BG154" s="48">
        <f t="shared" ref="BG154" si="1351">$I153*BG$3+$J153*BG$4+$K153*BG$5</f>
        <v>0.06</v>
      </c>
      <c r="BH154" s="48">
        <f t="shared" ref="BH154" si="1352">$I153*BH$3+$J153*BH$4+$K153*BH$5</f>
        <v>0.06</v>
      </c>
      <c r="BI154" s="48">
        <f t="shared" ref="BI154" si="1353">$I153*BI$3+$J153*BI$4+$K153*BI$5</f>
        <v>0.06</v>
      </c>
      <c r="BJ154" s="48">
        <f t="shared" ref="BJ154" si="1354">$I153*BJ$3+$J153*BJ$4+$K153*BJ$5</f>
        <v>0.06</v>
      </c>
      <c r="BK154" s="48">
        <f t="shared" ref="BK154" si="1355">$I153*BK$3+$J153*BK$4+$K153*BK$5</f>
        <v>0.06</v>
      </c>
      <c r="BL154" s="48">
        <f t="shared" ref="BL154" si="1356">$I153*BL$3+$J153*BL$4+$K153*BL$5</f>
        <v>0.06</v>
      </c>
      <c r="BM154" s="48">
        <f t="shared" ref="BM154" si="1357">$I153*BM$3+$J153*BM$4+$K153*BM$5</f>
        <v>0.06</v>
      </c>
      <c r="BN154" s="48">
        <f t="shared" ref="BN154" si="1358">$I153*BN$3+$J153*BN$4+$K153*BN$5</f>
        <v>0.06</v>
      </c>
      <c r="BO154" s="48">
        <f t="shared" ref="BO154" si="1359">$I153*BO$3+$J153*BO$4+$K153*BO$5</f>
        <v>0.06</v>
      </c>
      <c r="BP154" s="48">
        <f t="shared" ref="BP154" si="1360">$I153*BP$3+$J153*BP$4+$K153*BP$5</f>
        <v>0.06</v>
      </c>
      <c r="BQ154" s="48">
        <f t="shared" ref="BQ154" si="1361">$I153*BQ$3+$J153*BQ$4+$K153*BQ$5</f>
        <v>0.06</v>
      </c>
      <c r="BR154" s="49">
        <f t="shared" ref="BR154" si="1362">$I153*BR$3+$J153*BR$4+$K153*BR$5</f>
        <v>0.06</v>
      </c>
    </row>
    <row r="155" spans="1:76" ht="12.75" hidden="1" outlineLevel="1" x14ac:dyDescent="0.2">
      <c r="A155" s="27"/>
      <c r="B155" s="28"/>
      <c r="C155" s="28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30" t="s">
        <v>9</v>
      </c>
      <c r="AY155" s="50"/>
      <c r="AZ155" s="51"/>
      <c r="BA155" s="51"/>
      <c r="BB155" s="51"/>
      <c r="BC155" s="51"/>
      <c r="BD155" s="51"/>
      <c r="BE155" s="51"/>
      <c r="BF155" s="51"/>
      <c r="BG155" s="51"/>
      <c r="BH155" s="51"/>
      <c r="BI155" s="51"/>
      <c r="BJ155" s="51"/>
      <c r="BK155" s="51"/>
      <c r="BL155" s="51"/>
      <c r="BM155" s="51"/>
      <c r="BN155" s="51"/>
      <c r="BO155" s="51"/>
      <c r="BP155" s="51"/>
      <c r="BQ155" s="51"/>
      <c r="BR155" s="52"/>
    </row>
    <row r="156" spans="1:76" ht="12.75" collapsed="1" x14ac:dyDescent="0.2">
      <c r="A156" s="20" t="s">
        <v>648</v>
      </c>
      <c r="B156" s="20" t="s">
        <v>49</v>
      </c>
      <c r="C156" s="20"/>
      <c r="D156" s="21" t="s">
        <v>601</v>
      </c>
      <c r="E156" s="21">
        <v>2</v>
      </c>
      <c r="F156" s="21">
        <f>SUMIF(stock_on_hand!A:A,A156,stock_on_hand!C:C)</f>
        <v>120</v>
      </c>
      <c r="G156" s="21"/>
      <c r="H156" s="21" t="s">
        <v>7</v>
      </c>
      <c r="I156" s="21">
        <v>0</v>
      </c>
      <c r="J156" s="21">
        <v>0</v>
      </c>
      <c r="K156" s="21">
        <v>0.45</v>
      </c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38" t="str">
        <f>IF(G156&gt;0,IF(AY156&lt;(0.8*G156),"WARNING!!!",IF(AY156&lt;G156,"ORDER","OK")),IF((VLOOKUP(A156,A:BR,51+E156,0))&lt;0,"WARNING!!!",IF((VLOOKUP(A156,A:BR,51+ROUND(1.25*E156,0),0))&lt;0,"ORDER","OK")))</f>
        <v>OK</v>
      </c>
      <c r="AY156" s="53">
        <f t="shared" ref="AY156" si="1363">F156-AY157+AY158</f>
        <v>119.1</v>
      </c>
      <c r="AZ156" s="54">
        <f t="shared" ref="AZ156" si="1364">AY156-AZ157+AZ158</f>
        <v>118.19999999999999</v>
      </c>
      <c r="BA156" s="54">
        <f t="shared" ref="BA156" si="1365">AZ156-BA157+BA158</f>
        <v>117.29999999999998</v>
      </c>
      <c r="BB156" s="54">
        <f t="shared" ref="BB156" si="1366">BA156-BB157+BB158</f>
        <v>116.39999999999998</v>
      </c>
      <c r="BC156" s="54">
        <f t="shared" ref="BC156" si="1367">BB156-BC157+BC158</f>
        <v>115.49999999999997</v>
      </c>
      <c r="BD156" s="54">
        <f t="shared" ref="BD156" si="1368">BC156-BD157+BD158</f>
        <v>114.59999999999997</v>
      </c>
      <c r="BE156" s="54">
        <f t="shared" ref="BE156" si="1369">BD156-BE157+BE158</f>
        <v>113.69999999999996</v>
      </c>
      <c r="BF156" s="54">
        <f t="shared" ref="BF156" si="1370">BE156-BF157+BF158</f>
        <v>112.79999999999995</v>
      </c>
      <c r="BG156" s="54">
        <f t="shared" ref="BG156" si="1371">BF156-BG157+BG158</f>
        <v>111.89999999999995</v>
      </c>
      <c r="BH156" s="54">
        <f t="shared" ref="BH156" si="1372">BG156-BH157+BH158</f>
        <v>110.99999999999994</v>
      </c>
      <c r="BI156" s="54">
        <f t="shared" ref="BI156" si="1373">BH156-BI157+BI158</f>
        <v>110.09999999999994</v>
      </c>
      <c r="BJ156" s="54">
        <f t="shared" ref="BJ156" si="1374">BI156-BJ157+BJ158</f>
        <v>109.19999999999993</v>
      </c>
      <c r="BK156" s="54">
        <f t="shared" ref="BK156" si="1375">BJ156-BK157+BK158</f>
        <v>108.29999999999993</v>
      </c>
      <c r="BL156" s="54">
        <f t="shared" ref="BL156" si="1376">BK156-BL157+BL158</f>
        <v>107.39999999999992</v>
      </c>
      <c r="BM156" s="54">
        <f t="shared" ref="BM156" si="1377">BL156-BM157+BM158</f>
        <v>106.49999999999991</v>
      </c>
      <c r="BN156" s="54">
        <f t="shared" ref="BN156" si="1378">BM156-BN157+BN158</f>
        <v>105.59999999999991</v>
      </c>
      <c r="BO156" s="54">
        <f t="shared" ref="BO156" si="1379">BN156-BO157+BO158</f>
        <v>104.6999999999999</v>
      </c>
      <c r="BP156" s="54">
        <f t="shared" ref="BP156" si="1380">BO156-BP157+BP158</f>
        <v>103.7999999999999</v>
      </c>
      <c r="BQ156" s="54">
        <f t="shared" ref="BQ156" si="1381">BP156-BQ157+BQ158</f>
        <v>102.89999999999989</v>
      </c>
      <c r="BR156" s="55">
        <f t="shared" ref="BR156" si="1382">BQ156-BR157+BR158</f>
        <v>101.99999999999989</v>
      </c>
      <c r="BX156" s="22"/>
    </row>
    <row r="157" spans="1:76" ht="12.75" hidden="1" outlineLevel="1" x14ac:dyDescent="0.2">
      <c r="A157" s="23"/>
      <c r="B157" s="24"/>
      <c r="C157" s="24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6" t="s">
        <v>8</v>
      </c>
      <c r="AY157" s="47">
        <f t="shared" ref="AY157" si="1383">$I156*AY$3+$J156*AY$4+$K156*AY$5</f>
        <v>0.9</v>
      </c>
      <c r="AZ157" s="48">
        <f t="shared" ref="AZ157" si="1384">$I156*AZ$3+$J156*AZ$4+$K156*AZ$5</f>
        <v>0.9</v>
      </c>
      <c r="BA157" s="48">
        <f t="shared" ref="BA157" si="1385">$I156*BA$3+$J156*BA$4+$K156*BA$5</f>
        <v>0.9</v>
      </c>
      <c r="BB157" s="48">
        <f t="shared" ref="BB157" si="1386">$I156*BB$3+$J156*BB$4+$K156*BB$5</f>
        <v>0.9</v>
      </c>
      <c r="BC157" s="48">
        <f t="shared" ref="BC157" si="1387">$I156*BC$3+$J156*BC$4+$K156*BC$5</f>
        <v>0.9</v>
      </c>
      <c r="BD157" s="48">
        <f t="shared" ref="BD157" si="1388">$I156*BD$3+$J156*BD$4+$K156*BD$5</f>
        <v>0.9</v>
      </c>
      <c r="BE157" s="48">
        <f t="shared" ref="BE157" si="1389">$I156*BE$3+$J156*BE$4+$K156*BE$5</f>
        <v>0.9</v>
      </c>
      <c r="BF157" s="48">
        <f t="shared" ref="BF157" si="1390">$I156*BF$3+$J156*BF$4+$K156*BF$5</f>
        <v>0.9</v>
      </c>
      <c r="BG157" s="48">
        <f t="shared" ref="BG157" si="1391">$I156*BG$3+$J156*BG$4+$K156*BG$5</f>
        <v>0.9</v>
      </c>
      <c r="BH157" s="48">
        <f t="shared" ref="BH157" si="1392">$I156*BH$3+$J156*BH$4+$K156*BH$5</f>
        <v>0.9</v>
      </c>
      <c r="BI157" s="48">
        <f t="shared" ref="BI157" si="1393">$I156*BI$3+$J156*BI$4+$K156*BI$5</f>
        <v>0.9</v>
      </c>
      <c r="BJ157" s="48">
        <f t="shared" ref="BJ157" si="1394">$I156*BJ$3+$J156*BJ$4+$K156*BJ$5</f>
        <v>0.9</v>
      </c>
      <c r="BK157" s="48">
        <f t="shared" ref="BK157" si="1395">$I156*BK$3+$J156*BK$4+$K156*BK$5</f>
        <v>0.9</v>
      </c>
      <c r="BL157" s="48">
        <f t="shared" ref="BL157" si="1396">$I156*BL$3+$J156*BL$4+$K156*BL$5</f>
        <v>0.9</v>
      </c>
      <c r="BM157" s="48">
        <f t="shared" ref="BM157" si="1397">$I156*BM$3+$J156*BM$4+$K156*BM$5</f>
        <v>0.9</v>
      </c>
      <c r="BN157" s="48">
        <f t="shared" ref="BN157" si="1398">$I156*BN$3+$J156*BN$4+$K156*BN$5</f>
        <v>0.9</v>
      </c>
      <c r="BO157" s="48">
        <f t="shared" ref="BO157" si="1399">$I156*BO$3+$J156*BO$4+$K156*BO$5</f>
        <v>0.9</v>
      </c>
      <c r="BP157" s="48">
        <f t="shared" ref="BP157" si="1400">$I156*BP$3+$J156*BP$4+$K156*BP$5</f>
        <v>0.9</v>
      </c>
      <c r="BQ157" s="48">
        <f t="shared" ref="BQ157" si="1401">$I156*BQ$3+$J156*BQ$4+$K156*BQ$5</f>
        <v>0.9</v>
      </c>
      <c r="BR157" s="49">
        <f t="shared" ref="BR157" si="1402">$I156*BR$3+$J156*BR$4+$K156*BR$5</f>
        <v>0.9</v>
      </c>
    </row>
    <row r="158" spans="1:76" ht="12.75" hidden="1" outlineLevel="1" x14ac:dyDescent="0.2">
      <c r="A158" s="27"/>
      <c r="B158" s="28"/>
      <c r="C158" s="28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30" t="s">
        <v>9</v>
      </c>
      <c r="AY158" s="50"/>
      <c r="AZ158" s="51"/>
      <c r="BA158" s="51"/>
      <c r="BB158" s="51"/>
      <c r="BC158" s="51"/>
      <c r="BD158" s="51"/>
      <c r="BE158" s="51"/>
      <c r="BF158" s="51"/>
      <c r="BG158" s="51"/>
      <c r="BH158" s="51"/>
      <c r="BI158" s="51"/>
      <c r="BJ158" s="51"/>
      <c r="BK158" s="51"/>
      <c r="BL158" s="51"/>
      <c r="BM158" s="51"/>
      <c r="BN158" s="51"/>
      <c r="BO158" s="51"/>
      <c r="BP158" s="51"/>
      <c r="BQ158" s="51"/>
      <c r="BR158" s="52"/>
    </row>
    <row r="159" spans="1:76" ht="12.75" collapsed="1" x14ac:dyDescent="0.2">
      <c r="A159" s="20" t="s">
        <v>668</v>
      </c>
      <c r="B159" s="20" t="s">
        <v>251</v>
      </c>
      <c r="C159" s="20"/>
      <c r="D159" s="21" t="s">
        <v>665</v>
      </c>
      <c r="E159" s="21">
        <v>2</v>
      </c>
      <c r="F159" s="21">
        <f>SUMIF(stock_on_hand!A:A,A159,stock_on_hand!C:C)</f>
        <v>81600</v>
      </c>
      <c r="G159" s="21"/>
      <c r="H159" s="21" t="s">
        <v>7</v>
      </c>
      <c r="I159" s="21">
        <v>0</v>
      </c>
      <c r="J159" s="21">
        <v>0</v>
      </c>
      <c r="K159" s="21">
        <v>40</v>
      </c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38" t="str">
        <f>IF(G159&gt;0,IF(AY159&lt;(0.8*G159),"WARNING!!!",IF(AY159&lt;G159,"ORDER","OK")),IF((VLOOKUP(A159,A:BR,51+E159,0))&lt;0,"WARNING!!!",IF((VLOOKUP(A159,A:BR,51+ROUND(1.25*E159,0),0))&lt;0,"ORDER","OK")))</f>
        <v>OK</v>
      </c>
      <c r="AY159" s="53">
        <f t="shared" ref="AY159" si="1403">F159-AY160+AY161</f>
        <v>81520</v>
      </c>
      <c r="AZ159" s="54">
        <f t="shared" ref="AZ159" si="1404">AY159-AZ160+AZ161</f>
        <v>81440</v>
      </c>
      <c r="BA159" s="54">
        <f t="shared" ref="BA159" si="1405">AZ159-BA160+BA161</f>
        <v>81360</v>
      </c>
      <c r="BB159" s="54">
        <f t="shared" ref="BB159" si="1406">BA159-BB160+BB161</f>
        <v>81280</v>
      </c>
      <c r="BC159" s="54">
        <f t="shared" ref="BC159" si="1407">BB159-BC160+BC161</f>
        <v>81200</v>
      </c>
      <c r="BD159" s="54">
        <f t="shared" ref="BD159" si="1408">BC159-BD160+BD161</f>
        <v>81120</v>
      </c>
      <c r="BE159" s="54">
        <f t="shared" ref="BE159" si="1409">BD159-BE160+BE161</f>
        <v>81040</v>
      </c>
      <c r="BF159" s="54">
        <f t="shared" ref="BF159" si="1410">BE159-BF160+BF161</f>
        <v>80960</v>
      </c>
      <c r="BG159" s="54">
        <f t="shared" ref="BG159" si="1411">BF159-BG160+BG161</f>
        <v>80880</v>
      </c>
      <c r="BH159" s="54">
        <f t="shared" ref="BH159" si="1412">BG159-BH160+BH161</f>
        <v>80800</v>
      </c>
      <c r="BI159" s="54">
        <f t="shared" ref="BI159" si="1413">BH159-BI160+BI161</f>
        <v>80720</v>
      </c>
      <c r="BJ159" s="54">
        <f t="shared" ref="BJ159" si="1414">BI159-BJ160+BJ161</f>
        <v>80640</v>
      </c>
      <c r="BK159" s="54">
        <f t="shared" ref="BK159" si="1415">BJ159-BK160+BK161</f>
        <v>80560</v>
      </c>
      <c r="BL159" s="54">
        <f t="shared" ref="BL159" si="1416">BK159-BL160+BL161</f>
        <v>80480</v>
      </c>
      <c r="BM159" s="54">
        <f t="shared" ref="BM159" si="1417">BL159-BM160+BM161</f>
        <v>80400</v>
      </c>
      <c r="BN159" s="54">
        <f t="shared" ref="BN159" si="1418">BM159-BN160+BN161</f>
        <v>80320</v>
      </c>
      <c r="BO159" s="54">
        <f t="shared" ref="BO159" si="1419">BN159-BO160+BO161</f>
        <v>80240</v>
      </c>
      <c r="BP159" s="54">
        <f t="shared" ref="BP159" si="1420">BO159-BP160+BP161</f>
        <v>80160</v>
      </c>
      <c r="BQ159" s="54">
        <f t="shared" ref="BQ159" si="1421">BP159-BQ160+BQ161</f>
        <v>80080</v>
      </c>
      <c r="BR159" s="55">
        <f t="shared" ref="BR159" si="1422">BQ159-BR160+BR161</f>
        <v>80000</v>
      </c>
      <c r="BX159" s="22"/>
    </row>
    <row r="160" spans="1:76" ht="12.75" hidden="1" outlineLevel="1" x14ac:dyDescent="0.2">
      <c r="A160" s="23"/>
      <c r="B160" s="24"/>
      <c r="C160" s="24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6" t="s">
        <v>8</v>
      </c>
      <c r="AY160" s="47">
        <f t="shared" ref="AY160" si="1423">$I159*AY$3+$J159*AY$4+$K159*AY$5</f>
        <v>80</v>
      </c>
      <c r="AZ160" s="48">
        <f t="shared" ref="AZ160" si="1424">$I159*AZ$3+$J159*AZ$4+$K159*AZ$5</f>
        <v>80</v>
      </c>
      <c r="BA160" s="48">
        <f t="shared" ref="BA160" si="1425">$I159*BA$3+$J159*BA$4+$K159*BA$5</f>
        <v>80</v>
      </c>
      <c r="BB160" s="48">
        <f t="shared" ref="BB160" si="1426">$I159*BB$3+$J159*BB$4+$K159*BB$5</f>
        <v>80</v>
      </c>
      <c r="BC160" s="48">
        <f t="shared" ref="BC160" si="1427">$I159*BC$3+$J159*BC$4+$K159*BC$5</f>
        <v>80</v>
      </c>
      <c r="BD160" s="48">
        <f t="shared" ref="BD160" si="1428">$I159*BD$3+$J159*BD$4+$K159*BD$5</f>
        <v>80</v>
      </c>
      <c r="BE160" s="48">
        <f t="shared" ref="BE160" si="1429">$I159*BE$3+$J159*BE$4+$K159*BE$5</f>
        <v>80</v>
      </c>
      <c r="BF160" s="48">
        <f t="shared" ref="BF160" si="1430">$I159*BF$3+$J159*BF$4+$K159*BF$5</f>
        <v>80</v>
      </c>
      <c r="BG160" s="48">
        <f t="shared" ref="BG160" si="1431">$I159*BG$3+$J159*BG$4+$K159*BG$5</f>
        <v>80</v>
      </c>
      <c r="BH160" s="48">
        <f t="shared" ref="BH160" si="1432">$I159*BH$3+$J159*BH$4+$K159*BH$5</f>
        <v>80</v>
      </c>
      <c r="BI160" s="48">
        <f t="shared" ref="BI160" si="1433">$I159*BI$3+$J159*BI$4+$K159*BI$5</f>
        <v>80</v>
      </c>
      <c r="BJ160" s="48">
        <f t="shared" ref="BJ160" si="1434">$I159*BJ$3+$J159*BJ$4+$K159*BJ$5</f>
        <v>80</v>
      </c>
      <c r="BK160" s="48">
        <f t="shared" ref="BK160" si="1435">$I159*BK$3+$J159*BK$4+$K159*BK$5</f>
        <v>80</v>
      </c>
      <c r="BL160" s="48">
        <f t="shared" ref="BL160" si="1436">$I159*BL$3+$J159*BL$4+$K159*BL$5</f>
        <v>80</v>
      </c>
      <c r="BM160" s="48">
        <f t="shared" ref="BM160" si="1437">$I159*BM$3+$J159*BM$4+$K159*BM$5</f>
        <v>80</v>
      </c>
      <c r="BN160" s="48">
        <f t="shared" ref="BN160" si="1438">$I159*BN$3+$J159*BN$4+$K159*BN$5</f>
        <v>80</v>
      </c>
      <c r="BO160" s="48">
        <f t="shared" ref="BO160" si="1439">$I159*BO$3+$J159*BO$4+$K159*BO$5</f>
        <v>80</v>
      </c>
      <c r="BP160" s="48">
        <f t="shared" ref="BP160" si="1440">$I159*BP$3+$J159*BP$4+$K159*BP$5</f>
        <v>80</v>
      </c>
      <c r="BQ160" s="48">
        <f t="shared" ref="BQ160" si="1441">$I159*BQ$3+$J159*BQ$4+$K159*BQ$5</f>
        <v>80</v>
      </c>
      <c r="BR160" s="49">
        <f t="shared" ref="BR160" si="1442">$I159*BR$3+$J159*BR$4+$K159*BR$5</f>
        <v>80</v>
      </c>
    </row>
    <row r="161" spans="1:76" ht="12.75" hidden="1" outlineLevel="1" x14ac:dyDescent="0.2">
      <c r="A161" s="27"/>
      <c r="B161" s="28"/>
      <c r="C161" s="28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30" t="s">
        <v>9</v>
      </c>
      <c r="AY161" s="50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2"/>
    </row>
    <row r="162" spans="1:76" ht="12.75" collapsed="1" x14ac:dyDescent="0.2">
      <c r="A162" s="20" t="s">
        <v>432</v>
      </c>
      <c r="B162" s="20" t="s">
        <v>190</v>
      </c>
      <c r="C162" s="20"/>
      <c r="D162" s="21" t="s">
        <v>351</v>
      </c>
      <c r="E162" s="21">
        <v>2</v>
      </c>
      <c r="F162" s="21">
        <f>SUMIF(stock_on_hand!A:A,A162,stock_on_hand!C:C)</f>
        <v>540</v>
      </c>
      <c r="G162" s="21"/>
      <c r="H162" s="21" t="s">
        <v>361</v>
      </c>
      <c r="I162" s="21">
        <v>0.75</v>
      </c>
      <c r="J162" s="21">
        <v>0</v>
      </c>
      <c r="K162" s="21">
        <v>0</v>
      </c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38" t="str">
        <f>IF(G162&gt;0,IF(AY162&lt;(0.8*G162),"WARNING!!!",IF(AY162&lt;G162,"ORDER","OK")),IF((VLOOKUP(A162,A:BR,51+E162,0))&lt;0,"WARNING!!!",IF((VLOOKUP(A162,A:BR,51+ROUND(1.25*E162,0),0))&lt;0,"ORDER","OK")))</f>
        <v>OK</v>
      </c>
      <c r="AY162" s="53">
        <f t="shared" ref="AY162" si="1443">F162-AY163+AY164</f>
        <v>532.5</v>
      </c>
      <c r="AZ162" s="54">
        <f t="shared" ref="AZ162" si="1444">AY162-AZ163+AZ164</f>
        <v>531</v>
      </c>
      <c r="BA162" s="54">
        <f t="shared" ref="BA162" si="1445">AZ162-BA163+BA164</f>
        <v>529.5</v>
      </c>
      <c r="BB162" s="54">
        <f t="shared" ref="BB162" si="1446">BA162-BB163+BB164</f>
        <v>528</v>
      </c>
      <c r="BC162" s="54">
        <f t="shared" ref="BC162" si="1447">BB162-BC163+BC164</f>
        <v>526.5</v>
      </c>
      <c r="BD162" s="54">
        <f t="shared" ref="BD162" si="1448">BC162-BD163+BD164</f>
        <v>525</v>
      </c>
      <c r="BE162" s="54">
        <f t="shared" ref="BE162" si="1449">BD162-BE163+BE164</f>
        <v>523.5</v>
      </c>
      <c r="BF162" s="54">
        <f t="shared" ref="BF162" si="1450">BE162-BF163+BF164</f>
        <v>522</v>
      </c>
      <c r="BG162" s="54">
        <f t="shared" ref="BG162" si="1451">BF162-BG163+BG164</f>
        <v>520.5</v>
      </c>
      <c r="BH162" s="54">
        <f t="shared" ref="BH162" si="1452">BG162-BH163+BH164</f>
        <v>519</v>
      </c>
      <c r="BI162" s="54">
        <f t="shared" ref="BI162" si="1453">BH162-BI163+BI164</f>
        <v>517.5</v>
      </c>
      <c r="BJ162" s="54">
        <f t="shared" ref="BJ162" si="1454">BI162-BJ163+BJ164</f>
        <v>516</v>
      </c>
      <c r="BK162" s="54">
        <f t="shared" ref="BK162" si="1455">BJ162-BK163+BK164</f>
        <v>514.5</v>
      </c>
      <c r="BL162" s="54">
        <f t="shared" ref="BL162" si="1456">BK162-BL163+BL164</f>
        <v>513</v>
      </c>
      <c r="BM162" s="54">
        <f t="shared" ref="BM162" si="1457">BL162-BM163+BM164</f>
        <v>511.5</v>
      </c>
      <c r="BN162" s="54">
        <f t="shared" ref="BN162" si="1458">BM162-BN163+BN164</f>
        <v>510</v>
      </c>
      <c r="BO162" s="54">
        <f t="shared" ref="BO162" si="1459">BN162-BO163+BO164</f>
        <v>508.5</v>
      </c>
      <c r="BP162" s="54">
        <f t="shared" ref="BP162" si="1460">BO162-BP163+BP164</f>
        <v>507</v>
      </c>
      <c r="BQ162" s="54">
        <f t="shared" ref="BQ162" si="1461">BP162-BQ163+BQ164</f>
        <v>505.5</v>
      </c>
      <c r="BR162" s="55">
        <f t="shared" ref="BR162" si="1462">BQ162-BR163+BR164</f>
        <v>504</v>
      </c>
      <c r="BX162" s="22"/>
    </row>
    <row r="163" spans="1:76" ht="12.75" hidden="1" outlineLevel="1" x14ac:dyDescent="0.2">
      <c r="A163" s="23"/>
      <c r="B163" s="24"/>
      <c r="C163" s="24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6" t="s">
        <v>8</v>
      </c>
      <c r="AY163" s="47">
        <f t="shared" ref="AY163" si="1463">$I162*AY$3+$J162*AY$4+$K162*AY$5</f>
        <v>7.5</v>
      </c>
      <c r="AZ163" s="48">
        <f t="shared" ref="AZ163" si="1464">$I162*AZ$3+$J162*AZ$4+$K162*AZ$5</f>
        <v>1.5</v>
      </c>
      <c r="BA163" s="48">
        <f t="shared" ref="BA163" si="1465">$I162*BA$3+$J162*BA$4+$K162*BA$5</f>
        <v>1.5</v>
      </c>
      <c r="BB163" s="48">
        <f t="shared" ref="BB163" si="1466">$I162*BB$3+$J162*BB$4+$K162*BB$5</f>
        <v>1.5</v>
      </c>
      <c r="BC163" s="48">
        <f t="shared" ref="BC163" si="1467">$I162*BC$3+$J162*BC$4+$K162*BC$5</f>
        <v>1.5</v>
      </c>
      <c r="BD163" s="48">
        <f t="shared" ref="BD163" si="1468">$I162*BD$3+$J162*BD$4+$K162*BD$5</f>
        <v>1.5</v>
      </c>
      <c r="BE163" s="48">
        <f t="shared" ref="BE163" si="1469">$I162*BE$3+$J162*BE$4+$K162*BE$5</f>
        <v>1.5</v>
      </c>
      <c r="BF163" s="48">
        <f t="shared" ref="BF163" si="1470">$I162*BF$3+$J162*BF$4+$K162*BF$5</f>
        <v>1.5</v>
      </c>
      <c r="BG163" s="48">
        <f t="shared" ref="BG163" si="1471">$I162*BG$3+$J162*BG$4+$K162*BG$5</f>
        <v>1.5</v>
      </c>
      <c r="BH163" s="48">
        <f t="shared" ref="BH163" si="1472">$I162*BH$3+$J162*BH$4+$K162*BH$5</f>
        <v>1.5</v>
      </c>
      <c r="BI163" s="48">
        <f t="shared" ref="BI163" si="1473">$I162*BI$3+$J162*BI$4+$K162*BI$5</f>
        <v>1.5</v>
      </c>
      <c r="BJ163" s="48">
        <f t="shared" ref="BJ163" si="1474">$I162*BJ$3+$J162*BJ$4+$K162*BJ$5</f>
        <v>1.5</v>
      </c>
      <c r="BK163" s="48">
        <f t="shared" ref="BK163" si="1475">$I162*BK$3+$J162*BK$4+$K162*BK$5</f>
        <v>1.5</v>
      </c>
      <c r="BL163" s="48">
        <f t="shared" ref="BL163" si="1476">$I162*BL$3+$J162*BL$4+$K162*BL$5</f>
        <v>1.5</v>
      </c>
      <c r="BM163" s="48">
        <f t="shared" ref="BM163" si="1477">$I162*BM$3+$J162*BM$4+$K162*BM$5</f>
        <v>1.5</v>
      </c>
      <c r="BN163" s="48">
        <f t="shared" ref="BN163" si="1478">$I162*BN$3+$J162*BN$4+$K162*BN$5</f>
        <v>1.5</v>
      </c>
      <c r="BO163" s="48">
        <f t="shared" ref="BO163" si="1479">$I162*BO$3+$J162*BO$4+$K162*BO$5</f>
        <v>1.5</v>
      </c>
      <c r="BP163" s="48">
        <f t="shared" ref="BP163" si="1480">$I162*BP$3+$J162*BP$4+$K162*BP$5</f>
        <v>1.5</v>
      </c>
      <c r="BQ163" s="48">
        <f t="shared" ref="BQ163" si="1481">$I162*BQ$3+$J162*BQ$4+$K162*BQ$5</f>
        <v>1.5</v>
      </c>
      <c r="BR163" s="49">
        <f t="shared" ref="BR163" si="1482">$I162*BR$3+$J162*BR$4+$K162*BR$5</f>
        <v>1.5</v>
      </c>
    </row>
    <row r="164" spans="1:76" ht="12.75" hidden="1" outlineLevel="1" x14ac:dyDescent="0.2">
      <c r="A164" s="27"/>
      <c r="B164" s="28"/>
      <c r="C164" s="28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30" t="s">
        <v>9</v>
      </c>
      <c r="AY164" s="50"/>
      <c r="AZ164" s="51"/>
      <c r="BA164" s="51"/>
      <c r="BB164" s="51"/>
      <c r="BC164" s="51"/>
      <c r="BD164" s="51"/>
      <c r="BE164" s="51"/>
      <c r="BF164" s="51"/>
      <c r="BG164" s="51"/>
      <c r="BH164" s="51"/>
      <c r="BI164" s="51"/>
      <c r="BJ164" s="51"/>
      <c r="BK164" s="51"/>
      <c r="BL164" s="51"/>
      <c r="BM164" s="51"/>
      <c r="BN164" s="51"/>
      <c r="BO164" s="51"/>
      <c r="BP164" s="51"/>
      <c r="BQ164" s="51"/>
      <c r="BR164" s="52"/>
    </row>
    <row r="165" spans="1:76" ht="12.75" collapsed="1" x14ac:dyDescent="0.2">
      <c r="A165" s="20" t="s">
        <v>366</v>
      </c>
      <c r="B165" s="20" t="s">
        <v>144</v>
      </c>
      <c r="C165" s="20"/>
      <c r="D165" s="21" t="s">
        <v>351</v>
      </c>
      <c r="E165" s="21">
        <v>2</v>
      </c>
      <c r="F165" s="21">
        <f>SUMIF(stock_on_hand!A:A,A165,stock_on_hand!C:C)</f>
        <v>97</v>
      </c>
      <c r="G165" s="21"/>
      <c r="H165" s="21" t="s">
        <v>361</v>
      </c>
      <c r="I165" s="21">
        <v>1.2</v>
      </c>
      <c r="J165" s="21">
        <v>0</v>
      </c>
      <c r="K165" s="21">
        <v>0</v>
      </c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38" t="str">
        <f>IF(G165&gt;0,IF(AY165&lt;(0.8*G165),"WARNING!!!",IF(AY165&lt;G165,"ORDER","OK")),IF((VLOOKUP(A165,A:BR,51+E165,0))&lt;0,"WARNING!!!",IF((VLOOKUP(A165,A:BR,51+ROUND(1.25*E165,0),0))&lt;0,"ORDER","OK")))</f>
        <v>OK</v>
      </c>
      <c r="AY165" s="53">
        <f t="shared" ref="AY165" si="1483">F165-AY166+AY167</f>
        <v>85</v>
      </c>
      <c r="AZ165" s="54">
        <f t="shared" ref="AZ165" si="1484">AY165-AZ166+AZ167</f>
        <v>82.6</v>
      </c>
      <c r="BA165" s="54">
        <f t="shared" ref="BA165" si="1485">AZ165-BA166+BA167</f>
        <v>80.199999999999989</v>
      </c>
      <c r="BB165" s="54">
        <f t="shared" ref="BB165" si="1486">BA165-BB166+BB167</f>
        <v>77.799999999999983</v>
      </c>
      <c r="BC165" s="54">
        <f t="shared" ref="BC165" si="1487">BB165-BC166+BC167</f>
        <v>75.399999999999977</v>
      </c>
      <c r="BD165" s="54">
        <f t="shared" ref="BD165" si="1488">BC165-BD166+BD167</f>
        <v>72.999999999999972</v>
      </c>
      <c r="BE165" s="54">
        <f t="shared" ref="BE165" si="1489">BD165-BE166+BE167</f>
        <v>70.599999999999966</v>
      </c>
      <c r="BF165" s="54">
        <f t="shared" ref="BF165" si="1490">BE165-BF166+BF167</f>
        <v>68.19999999999996</v>
      </c>
      <c r="BG165" s="54">
        <f t="shared" ref="BG165" si="1491">BF165-BG166+BG167</f>
        <v>65.799999999999955</v>
      </c>
      <c r="BH165" s="54">
        <f t="shared" ref="BH165" si="1492">BG165-BH166+BH167</f>
        <v>63.399999999999956</v>
      </c>
      <c r="BI165" s="54">
        <f t="shared" ref="BI165" si="1493">BH165-BI166+BI167</f>
        <v>60.999999999999957</v>
      </c>
      <c r="BJ165" s="54">
        <f t="shared" ref="BJ165" si="1494">BI165-BJ166+BJ167</f>
        <v>58.599999999999959</v>
      </c>
      <c r="BK165" s="54">
        <f t="shared" ref="BK165" si="1495">BJ165-BK166+BK167</f>
        <v>56.19999999999996</v>
      </c>
      <c r="BL165" s="54">
        <f t="shared" ref="BL165" si="1496">BK165-BL166+BL167</f>
        <v>53.799999999999962</v>
      </c>
      <c r="BM165" s="54">
        <f t="shared" ref="BM165" si="1497">BL165-BM166+BM167</f>
        <v>51.399999999999963</v>
      </c>
      <c r="BN165" s="54">
        <f t="shared" ref="BN165" si="1498">BM165-BN166+BN167</f>
        <v>48.999999999999964</v>
      </c>
      <c r="BO165" s="54">
        <f t="shared" ref="BO165" si="1499">BN165-BO166+BO167</f>
        <v>46.599999999999966</v>
      </c>
      <c r="BP165" s="54">
        <f t="shared" ref="BP165" si="1500">BO165-BP166+BP167</f>
        <v>44.199999999999967</v>
      </c>
      <c r="BQ165" s="54">
        <f t="shared" ref="BQ165" si="1501">BP165-BQ166+BQ167</f>
        <v>41.799999999999969</v>
      </c>
      <c r="BR165" s="55">
        <f t="shared" ref="BR165" si="1502">BQ165-BR166+BR167</f>
        <v>39.39999999999997</v>
      </c>
      <c r="BX165" s="22"/>
    </row>
    <row r="166" spans="1:76" ht="12.75" hidden="1" outlineLevel="1" x14ac:dyDescent="0.2">
      <c r="A166" s="23"/>
      <c r="B166" s="24"/>
      <c r="C166" s="24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6" t="s">
        <v>8</v>
      </c>
      <c r="AY166" s="47">
        <f t="shared" ref="AY166" si="1503">$I165*AY$3+$J165*AY$4+$K165*AY$5</f>
        <v>12</v>
      </c>
      <c r="AZ166" s="48">
        <f t="shared" ref="AZ166" si="1504">$I165*AZ$3+$J165*AZ$4+$K165*AZ$5</f>
        <v>2.4</v>
      </c>
      <c r="BA166" s="48">
        <f t="shared" ref="BA166" si="1505">$I165*BA$3+$J165*BA$4+$K165*BA$5</f>
        <v>2.4</v>
      </c>
      <c r="BB166" s="48">
        <f t="shared" ref="BB166" si="1506">$I165*BB$3+$J165*BB$4+$K165*BB$5</f>
        <v>2.4</v>
      </c>
      <c r="BC166" s="48">
        <f t="shared" ref="BC166" si="1507">$I165*BC$3+$J165*BC$4+$K165*BC$5</f>
        <v>2.4</v>
      </c>
      <c r="BD166" s="48">
        <f t="shared" ref="BD166" si="1508">$I165*BD$3+$J165*BD$4+$K165*BD$5</f>
        <v>2.4</v>
      </c>
      <c r="BE166" s="48">
        <f t="shared" ref="BE166" si="1509">$I165*BE$3+$J165*BE$4+$K165*BE$5</f>
        <v>2.4</v>
      </c>
      <c r="BF166" s="48">
        <f t="shared" ref="BF166" si="1510">$I165*BF$3+$J165*BF$4+$K165*BF$5</f>
        <v>2.4</v>
      </c>
      <c r="BG166" s="48">
        <f t="shared" ref="BG166" si="1511">$I165*BG$3+$J165*BG$4+$K165*BG$5</f>
        <v>2.4</v>
      </c>
      <c r="BH166" s="48">
        <f t="shared" ref="BH166" si="1512">$I165*BH$3+$J165*BH$4+$K165*BH$5</f>
        <v>2.4</v>
      </c>
      <c r="BI166" s="48">
        <f t="shared" ref="BI166" si="1513">$I165*BI$3+$J165*BI$4+$K165*BI$5</f>
        <v>2.4</v>
      </c>
      <c r="BJ166" s="48">
        <f t="shared" ref="BJ166" si="1514">$I165*BJ$3+$J165*BJ$4+$K165*BJ$5</f>
        <v>2.4</v>
      </c>
      <c r="BK166" s="48">
        <f t="shared" ref="BK166" si="1515">$I165*BK$3+$J165*BK$4+$K165*BK$5</f>
        <v>2.4</v>
      </c>
      <c r="BL166" s="48">
        <f t="shared" ref="BL166" si="1516">$I165*BL$3+$J165*BL$4+$K165*BL$5</f>
        <v>2.4</v>
      </c>
      <c r="BM166" s="48">
        <f t="shared" ref="BM166" si="1517">$I165*BM$3+$J165*BM$4+$K165*BM$5</f>
        <v>2.4</v>
      </c>
      <c r="BN166" s="48">
        <f t="shared" ref="BN166" si="1518">$I165*BN$3+$J165*BN$4+$K165*BN$5</f>
        <v>2.4</v>
      </c>
      <c r="BO166" s="48">
        <f t="shared" ref="BO166" si="1519">$I165*BO$3+$J165*BO$4+$K165*BO$5</f>
        <v>2.4</v>
      </c>
      <c r="BP166" s="48">
        <f t="shared" ref="BP166" si="1520">$I165*BP$3+$J165*BP$4+$K165*BP$5</f>
        <v>2.4</v>
      </c>
      <c r="BQ166" s="48">
        <f t="shared" ref="BQ166" si="1521">$I165*BQ$3+$J165*BQ$4+$K165*BQ$5</f>
        <v>2.4</v>
      </c>
      <c r="BR166" s="49">
        <f t="shared" ref="BR166" si="1522">$I165*BR$3+$J165*BR$4+$K165*BR$5</f>
        <v>2.4</v>
      </c>
    </row>
    <row r="167" spans="1:76" ht="12.75" hidden="1" outlineLevel="1" x14ac:dyDescent="0.2">
      <c r="A167" s="27"/>
      <c r="B167" s="28"/>
      <c r="C167" s="28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30" t="s">
        <v>9</v>
      </c>
      <c r="AY167" s="50"/>
      <c r="AZ167" s="51"/>
      <c r="BA167" s="51"/>
      <c r="BB167" s="51"/>
      <c r="BC167" s="51"/>
      <c r="BD167" s="51"/>
      <c r="BE167" s="51"/>
      <c r="BF167" s="51"/>
      <c r="BG167" s="51"/>
      <c r="BH167" s="51"/>
      <c r="BI167" s="51"/>
      <c r="BJ167" s="51"/>
      <c r="BK167" s="51"/>
      <c r="BL167" s="51"/>
      <c r="BM167" s="51"/>
      <c r="BN167" s="51"/>
      <c r="BO167" s="51"/>
      <c r="BP167" s="51"/>
      <c r="BQ167" s="51"/>
      <c r="BR167" s="52"/>
    </row>
    <row r="168" spans="1:76" ht="12.75" collapsed="1" x14ac:dyDescent="0.2">
      <c r="A168" s="20" t="s">
        <v>667</v>
      </c>
      <c r="B168" s="20" t="s">
        <v>250</v>
      </c>
      <c r="C168" s="20"/>
      <c r="D168" s="21" t="s">
        <v>665</v>
      </c>
      <c r="E168" s="21">
        <v>2</v>
      </c>
      <c r="F168" s="21">
        <f>SUMIF(stock_on_hand!A:A,A168,stock_on_hand!C:C)</f>
        <v>76800</v>
      </c>
      <c r="G168" s="21"/>
      <c r="H168" s="21" t="s">
        <v>7</v>
      </c>
      <c r="I168" s="21">
        <v>20</v>
      </c>
      <c r="J168" s="21">
        <v>0</v>
      </c>
      <c r="K168" s="21">
        <v>0</v>
      </c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38" t="str">
        <f>IF(G168&gt;0,IF(AY168&lt;(0.8*G168),"WARNING!!!",IF(AY168&lt;G168,"ORDER","OK")),IF((VLOOKUP(A168,A:BR,51+E168,0))&lt;0,"WARNING!!!",IF((VLOOKUP(A168,A:BR,51+ROUND(1.25*E168,0),0))&lt;0,"ORDER","OK")))</f>
        <v>OK</v>
      </c>
      <c r="AY168" s="53">
        <f t="shared" ref="AY168" si="1523">F168-AY169+AY170</f>
        <v>76600</v>
      </c>
      <c r="AZ168" s="54">
        <f t="shared" ref="AZ168" si="1524">AY168-AZ169+AZ170</f>
        <v>76560</v>
      </c>
      <c r="BA168" s="54">
        <f t="shared" ref="BA168" si="1525">AZ168-BA169+BA170</f>
        <v>76520</v>
      </c>
      <c r="BB168" s="54">
        <f t="shared" ref="BB168" si="1526">BA168-BB169+BB170</f>
        <v>76480</v>
      </c>
      <c r="BC168" s="54">
        <f t="shared" ref="BC168" si="1527">BB168-BC169+BC170</f>
        <v>76440</v>
      </c>
      <c r="BD168" s="54">
        <f t="shared" ref="BD168" si="1528">BC168-BD169+BD170</f>
        <v>76400</v>
      </c>
      <c r="BE168" s="54">
        <f t="shared" ref="BE168" si="1529">BD168-BE169+BE170</f>
        <v>76360</v>
      </c>
      <c r="BF168" s="54">
        <f t="shared" ref="BF168" si="1530">BE168-BF169+BF170</f>
        <v>76320</v>
      </c>
      <c r="BG168" s="54">
        <f t="shared" ref="BG168" si="1531">BF168-BG169+BG170</f>
        <v>76280</v>
      </c>
      <c r="BH168" s="54">
        <f t="shared" ref="BH168" si="1532">BG168-BH169+BH170</f>
        <v>76240</v>
      </c>
      <c r="BI168" s="54">
        <f t="shared" ref="BI168" si="1533">BH168-BI169+BI170</f>
        <v>76200</v>
      </c>
      <c r="BJ168" s="54">
        <f t="shared" ref="BJ168" si="1534">BI168-BJ169+BJ170</f>
        <v>76160</v>
      </c>
      <c r="BK168" s="54">
        <f t="shared" ref="BK168" si="1535">BJ168-BK169+BK170</f>
        <v>76120</v>
      </c>
      <c r="BL168" s="54">
        <f t="shared" ref="BL168" si="1536">BK168-BL169+BL170</f>
        <v>76080</v>
      </c>
      <c r="BM168" s="54">
        <f t="shared" ref="BM168" si="1537">BL168-BM169+BM170</f>
        <v>76040</v>
      </c>
      <c r="BN168" s="54">
        <f t="shared" ref="BN168" si="1538">BM168-BN169+BN170</f>
        <v>76000</v>
      </c>
      <c r="BO168" s="54">
        <f t="shared" ref="BO168" si="1539">BN168-BO169+BO170</f>
        <v>75960</v>
      </c>
      <c r="BP168" s="54">
        <f t="shared" ref="BP168" si="1540">BO168-BP169+BP170</f>
        <v>75920</v>
      </c>
      <c r="BQ168" s="54">
        <f t="shared" ref="BQ168" si="1541">BP168-BQ169+BQ170</f>
        <v>75880</v>
      </c>
      <c r="BR168" s="55">
        <f t="shared" ref="BR168" si="1542">BQ168-BR169+BR170</f>
        <v>75840</v>
      </c>
      <c r="BX168" s="22"/>
    </row>
    <row r="169" spans="1:76" ht="12.75" hidden="1" outlineLevel="1" x14ac:dyDescent="0.2">
      <c r="A169" s="23"/>
      <c r="B169" s="24"/>
      <c r="C169" s="24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6" t="s">
        <v>8</v>
      </c>
      <c r="AY169" s="39">
        <f t="shared" ref="AY169" si="1543">$I168*AY$3+$J168*AY$4+$K168*AY$5</f>
        <v>200</v>
      </c>
      <c r="AZ169" s="26">
        <f t="shared" ref="AZ169" si="1544">$I168*AZ$3+$J168*AZ$4+$K168*AZ$5</f>
        <v>40</v>
      </c>
      <c r="BA169" s="26">
        <f t="shared" ref="BA169" si="1545">$I168*BA$3+$J168*BA$4+$K168*BA$5</f>
        <v>40</v>
      </c>
      <c r="BB169" s="26">
        <f t="shared" ref="BB169" si="1546">$I168*BB$3+$J168*BB$4+$K168*BB$5</f>
        <v>40</v>
      </c>
      <c r="BC169" s="26">
        <f t="shared" ref="BC169" si="1547">$I168*BC$3+$J168*BC$4+$K168*BC$5</f>
        <v>40</v>
      </c>
      <c r="BD169" s="26">
        <f t="shared" ref="BD169" si="1548">$I168*BD$3+$J168*BD$4+$K168*BD$5</f>
        <v>40</v>
      </c>
      <c r="BE169" s="26">
        <f t="shared" ref="BE169" si="1549">$I168*BE$3+$J168*BE$4+$K168*BE$5</f>
        <v>40</v>
      </c>
      <c r="BF169" s="26">
        <f t="shared" ref="BF169" si="1550">$I168*BF$3+$J168*BF$4+$K168*BF$5</f>
        <v>40</v>
      </c>
      <c r="BG169" s="26">
        <f t="shared" ref="BG169" si="1551">$I168*BG$3+$J168*BG$4+$K168*BG$5</f>
        <v>40</v>
      </c>
      <c r="BH169" s="26">
        <f t="shared" ref="BH169" si="1552">$I168*BH$3+$J168*BH$4+$K168*BH$5</f>
        <v>40</v>
      </c>
      <c r="BI169" s="26">
        <f t="shared" ref="BI169" si="1553">$I168*BI$3+$J168*BI$4+$K168*BI$5</f>
        <v>40</v>
      </c>
      <c r="BJ169" s="26">
        <f t="shared" ref="BJ169" si="1554">$I168*BJ$3+$J168*BJ$4+$K168*BJ$5</f>
        <v>40</v>
      </c>
      <c r="BK169" s="26">
        <f t="shared" ref="BK169" si="1555">$I168*BK$3+$J168*BK$4+$K168*BK$5</f>
        <v>40</v>
      </c>
      <c r="BL169" s="26">
        <f t="shared" ref="BL169" si="1556">$I168*BL$3+$J168*BL$4+$K168*BL$5</f>
        <v>40</v>
      </c>
      <c r="BM169" s="26">
        <f t="shared" ref="BM169" si="1557">$I168*BM$3+$J168*BM$4+$K168*BM$5</f>
        <v>40</v>
      </c>
      <c r="BN169" s="26">
        <f t="shared" ref="BN169" si="1558">$I168*BN$3+$J168*BN$4+$K168*BN$5</f>
        <v>40</v>
      </c>
      <c r="BO169" s="26">
        <f t="shared" ref="BO169" si="1559">$I168*BO$3+$J168*BO$4+$K168*BO$5</f>
        <v>40</v>
      </c>
      <c r="BP169" s="26">
        <f t="shared" ref="BP169" si="1560">$I168*BP$3+$J168*BP$4+$K168*BP$5</f>
        <v>40</v>
      </c>
      <c r="BQ169" s="26">
        <f t="shared" ref="BQ169" si="1561">$I168*BQ$3+$J168*BQ$4+$K168*BQ$5</f>
        <v>40</v>
      </c>
      <c r="BR169" s="40">
        <f t="shared" ref="BR169" si="1562">$I168*BR$3+$J168*BR$4+$K168*BR$5</f>
        <v>40</v>
      </c>
    </row>
    <row r="170" spans="1:76" ht="12.75" hidden="1" outlineLevel="1" x14ac:dyDescent="0.2">
      <c r="A170" s="27"/>
      <c r="B170" s="28"/>
      <c r="C170" s="28"/>
      <c r="D170" s="29"/>
      <c r="E170" s="29"/>
      <c r="F170" s="29"/>
      <c r="G170" s="29"/>
      <c r="H170" s="25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30" t="s">
        <v>9</v>
      </c>
      <c r="AY170" s="41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3"/>
    </row>
  </sheetData>
  <mergeCells count="1">
    <mergeCell ref="I49:K49"/>
  </mergeCells>
  <conditionalFormatting sqref="AX51:AX170">
    <cfRule type="cellIs" dxfId="4" priority="5" operator="equal">
      <formula>"OK"</formula>
    </cfRule>
    <cfRule type="cellIs" dxfId="3" priority="6" operator="equal">
      <formula>"ORDER"</formula>
    </cfRule>
    <cfRule type="cellIs" dxfId="2" priority="7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 AY111:BR111 AY114:BR114 AY117:BR117 AY120:BR120 AY123:BR123 AY126:BR126 AY129:BR129 AY132:BR132 AY135:BR135 AY138:BR138 AY141:BR141 AY144:BR144 AY147:BR147 AY150:BR150 AY153:BR153 AY156:BR156 AY159:BR159 AY162:BR162 AY165:BR165 AY168:BR168">
    <cfRule type="cellIs" dxfId="1" priority="3" operator="greaterThan">
      <formula>0</formula>
    </cfRule>
    <cfRule type="cellIs" dxfId="0" priority="4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47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C30" sqref="C30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960"/>
  <sheetViews>
    <sheetView zoomScaleNormal="100" workbookViewId="0">
      <selection activeCell="A5" sqref="A5"/>
    </sheetView>
  </sheetViews>
  <sheetFormatPr defaultColWidth="12.5703125" defaultRowHeight="15.75" customHeight="1" x14ac:dyDescent="0.2"/>
  <cols>
    <col min="1" max="1" width="14.85546875" bestFit="1" customWidth="1"/>
    <col min="2" max="2" width="45.7109375" bestFit="1" customWidth="1"/>
    <col min="3" max="3" width="7" bestFit="1" customWidth="1"/>
    <col min="4" max="4" width="12.140625" bestFit="1" customWidth="1"/>
    <col min="5" max="5" width="16.140625" bestFit="1" customWidth="1"/>
  </cols>
  <sheetData>
    <row r="1" spans="1:5" ht="12.75" x14ac:dyDescent="0.2">
      <c r="A1" t="s">
        <v>280</v>
      </c>
      <c r="B1" t="s">
        <v>278</v>
      </c>
      <c r="C1" t="s">
        <v>276</v>
      </c>
      <c r="D1" t="s">
        <v>282</v>
      </c>
      <c r="E1" t="s">
        <v>277</v>
      </c>
    </row>
    <row r="2" spans="1:5" ht="12.75" x14ac:dyDescent="0.2">
      <c r="A2" s="59" t="s">
        <v>328</v>
      </c>
      <c r="B2" s="58" t="s">
        <v>914</v>
      </c>
      <c r="C2">
        <v>0</v>
      </c>
      <c r="D2" s="58" t="s">
        <v>11</v>
      </c>
      <c r="E2" s="58" t="s">
        <v>909</v>
      </c>
    </row>
    <row r="3" spans="1:5" ht="12.75" x14ac:dyDescent="0.2">
      <c r="A3" s="58" t="s">
        <v>328</v>
      </c>
      <c r="B3" s="58" t="s">
        <v>914</v>
      </c>
      <c r="C3">
        <v>0</v>
      </c>
      <c r="D3" s="58" t="s">
        <v>11</v>
      </c>
      <c r="E3" s="58" t="s">
        <v>910</v>
      </c>
    </row>
    <row r="4" spans="1:5" ht="12.75" x14ac:dyDescent="0.2">
      <c r="A4" s="58" t="s">
        <v>329</v>
      </c>
      <c r="B4" s="58" t="s">
        <v>12</v>
      </c>
      <c r="C4">
        <v>1900</v>
      </c>
      <c r="D4" s="58" t="s">
        <v>11</v>
      </c>
      <c r="E4" s="58" t="s">
        <v>909</v>
      </c>
    </row>
    <row r="5" spans="1:5" ht="12.75" x14ac:dyDescent="0.2">
      <c r="A5" s="58" t="s">
        <v>329</v>
      </c>
      <c r="B5" s="58" t="s">
        <v>12</v>
      </c>
      <c r="C5">
        <v>400</v>
      </c>
      <c r="D5" s="58" t="s">
        <v>11</v>
      </c>
      <c r="E5" s="58" t="s">
        <v>910</v>
      </c>
    </row>
    <row r="6" spans="1:5" ht="12.75" x14ac:dyDescent="0.2">
      <c r="A6" s="58" t="s">
        <v>330</v>
      </c>
      <c r="B6" s="58" t="s">
        <v>225</v>
      </c>
      <c r="C6">
        <v>4500</v>
      </c>
      <c r="D6" s="58" t="s">
        <v>11</v>
      </c>
      <c r="E6" s="58" t="s">
        <v>909</v>
      </c>
    </row>
    <row r="7" spans="1:5" ht="12.75" x14ac:dyDescent="0.2">
      <c r="A7" s="58" t="s">
        <v>330</v>
      </c>
      <c r="B7" s="58" t="s">
        <v>225</v>
      </c>
      <c r="C7">
        <v>900</v>
      </c>
      <c r="D7" s="58" t="s">
        <v>11</v>
      </c>
      <c r="E7" s="58" t="s">
        <v>910</v>
      </c>
    </row>
    <row r="8" spans="1:5" ht="12.75" x14ac:dyDescent="0.2">
      <c r="A8" s="58" t="s">
        <v>331</v>
      </c>
      <c r="B8" s="58" t="s">
        <v>226</v>
      </c>
      <c r="C8">
        <v>3000</v>
      </c>
      <c r="D8" s="58" t="s">
        <v>11</v>
      </c>
      <c r="E8" s="58" t="s">
        <v>909</v>
      </c>
    </row>
    <row r="9" spans="1:5" ht="12.75" x14ac:dyDescent="0.2">
      <c r="A9" s="58" t="s">
        <v>331</v>
      </c>
      <c r="B9" s="58" t="s">
        <v>226</v>
      </c>
      <c r="C9">
        <v>600</v>
      </c>
      <c r="D9" s="58" t="s">
        <v>11</v>
      </c>
      <c r="E9" s="58" t="s">
        <v>910</v>
      </c>
    </row>
    <row r="10" spans="1:5" ht="12.75" x14ac:dyDescent="0.2">
      <c r="A10" s="58" t="s">
        <v>332</v>
      </c>
      <c r="B10" s="58" t="s">
        <v>333</v>
      </c>
      <c r="C10">
        <v>0</v>
      </c>
      <c r="D10" s="58" t="s">
        <v>11</v>
      </c>
      <c r="E10" s="58" t="s">
        <v>909</v>
      </c>
    </row>
    <row r="11" spans="1:5" ht="12.75" x14ac:dyDescent="0.2">
      <c r="A11" s="58" t="s">
        <v>332</v>
      </c>
      <c r="B11" s="58" t="s">
        <v>333</v>
      </c>
      <c r="C11">
        <v>0</v>
      </c>
      <c r="D11" s="58" t="s">
        <v>11</v>
      </c>
      <c r="E11" s="58" t="s">
        <v>910</v>
      </c>
    </row>
    <row r="12" spans="1:5" ht="12.75" x14ac:dyDescent="0.2">
      <c r="A12" s="58" t="s">
        <v>334</v>
      </c>
      <c r="B12" s="58" t="s">
        <v>335</v>
      </c>
      <c r="C12">
        <v>0</v>
      </c>
      <c r="D12" s="58" t="s">
        <v>11</v>
      </c>
      <c r="E12" s="58" t="s">
        <v>909</v>
      </c>
    </row>
    <row r="13" spans="1:5" ht="12.75" x14ac:dyDescent="0.2">
      <c r="A13" s="58" t="s">
        <v>334</v>
      </c>
      <c r="B13" s="58" t="s">
        <v>335</v>
      </c>
      <c r="C13">
        <v>0</v>
      </c>
      <c r="D13" s="58" t="s">
        <v>11</v>
      </c>
      <c r="E13" s="58" t="s">
        <v>910</v>
      </c>
    </row>
    <row r="14" spans="1:5" ht="12.75" x14ac:dyDescent="0.2">
      <c r="A14" s="58" t="s">
        <v>336</v>
      </c>
      <c r="B14" s="58" t="s">
        <v>227</v>
      </c>
      <c r="C14">
        <v>500</v>
      </c>
      <c r="D14" s="58" t="s">
        <v>11</v>
      </c>
      <c r="E14" s="58" t="s">
        <v>909</v>
      </c>
    </row>
    <row r="15" spans="1:5" ht="12.75" x14ac:dyDescent="0.2">
      <c r="A15" s="58" t="s">
        <v>336</v>
      </c>
      <c r="B15" s="58" t="s">
        <v>227</v>
      </c>
      <c r="C15">
        <v>100</v>
      </c>
      <c r="D15" s="58" t="s">
        <v>11</v>
      </c>
      <c r="E15" s="58" t="s">
        <v>910</v>
      </c>
    </row>
    <row r="16" spans="1:5" ht="12.75" x14ac:dyDescent="0.2">
      <c r="A16" s="58" t="s">
        <v>337</v>
      </c>
      <c r="B16" s="58" t="s">
        <v>228</v>
      </c>
      <c r="C16">
        <v>300</v>
      </c>
      <c r="D16" s="58" t="s">
        <v>11</v>
      </c>
      <c r="E16" s="58" t="s">
        <v>909</v>
      </c>
    </row>
    <row r="17" spans="1:5" ht="12.75" x14ac:dyDescent="0.2">
      <c r="A17" s="58" t="s">
        <v>337</v>
      </c>
      <c r="B17" s="58" t="s">
        <v>228</v>
      </c>
      <c r="C17">
        <v>60</v>
      </c>
      <c r="D17" s="58" t="s">
        <v>11</v>
      </c>
      <c r="E17" s="58" t="s">
        <v>910</v>
      </c>
    </row>
    <row r="18" spans="1:5" ht="12.75" x14ac:dyDescent="0.2">
      <c r="A18" s="58" t="s">
        <v>338</v>
      </c>
      <c r="B18" s="58" t="s">
        <v>229</v>
      </c>
      <c r="C18">
        <v>700</v>
      </c>
      <c r="D18" s="58" t="s">
        <v>11</v>
      </c>
      <c r="E18" s="58" t="s">
        <v>909</v>
      </c>
    </row>
    <row r="19" spans="1:5" ht="12.75" x14ac:dyDescent="0.2">
      <c r="A19" s="58" t="s">
        <v>338</v>
      </c>
      <c r="B19" s="58" t="s">
        <v>229</v>
      </c>
      <c r="C19">
        <v>140</v>
      </c>
      <c r="D19" s="58" t="s">
        <v>11</v>
      </c>
      <c r="E19" s="58" t="s">
        <v>910</v>
      </c>
    </row>
    <row r="20" spans="1:5" ht="12.75" x14ac:dyDescent="0.2">
      <c r="A20" s="58" t="s">
        <v>339</v>
      </c>
      <c r="B20" s="58" t="s">
        <v>230</v>
      </c>
      <c r="C20">
        <v>100</v>
      </c>
      <c r="D20" s="58" t="s">
        <v>11</v>
      </c>
      <c r="E20" s="58" t="s">
        <v>909</v>
      </c>
    </row>
    <row r="21" spans="1:5" ht="12.75" x14ac:dyDescent="0.2">
      <c r="A21" s="58" t="s">
        <v>339</v>
      </c>
      <c r="B21" s="58" t="s">
        <v>230</v>
      </c>
      <c r="C21">
        <v>20</v>
      </c>
      <c r="D21" s="58" t="s">
        <v>11</v>
      </c>
      <c r="E21" s="58" t="s">
        <v>910</v>
      </c>
    </row>
    <row r="22" spans="1:5" ht="12.75" x14ac:dyDescent="0.2">
      <c r="A22" s="58" t="s">
        <v>340</v>
      </c>
      <c r="B22" s="58" t="s">
        <v>231</v>
      </c>
      <c r="C22">
        <v>900</v>
      </c>
      <c r="D22" s="58" t="s">
        <v>11</v>
      </c>
      <c r="E22" s="58" t="s">
        <v>909</v>
      </c>
    </row>
    <row r="23" spans="1:5" ht="12.75" x14ac:dyDescent="0.2">
      <c r="A23" s="58" t="s">
        <v>340</v>
      </c>
      <c r="B23" s="58" t="s">
        <v>231</v>
      </c>
      <c r="C23">
        <v>180</v>
      </c>
      <c r="D23" s="58" t="s">
        <v>11</v>
      </c>
      <c r="E23" s="58" t="s">
        <v>910</v>
      </c>
    </row>
    <row r="24" spans="1:5" ht="12.75" x14ac:dyDescent="0.2">
      <c r="A24" s="58" t="s">
        <v>341</v>
      </c>
      <c r="B24" s="58" t="s">
        <v>232</v>
      </c>
      <c r="C24">
        <v>580</v>
      </c>
      <c r="D24" s="58" t="s">
        <v>11</v>
      </c>
      <c r="E24" s="58" t="s">
        <v>909</v>
      </c>
    </row>
    <row r="25" spans="1:5" ht="12.75" x14ac:dyDescent="0.2">
      <c r="A25" s="58" t="s">
        <v>341</v>
      </c>
      <c r="B25" s="58" t="s">
        <v>232</v>
      </c>
      <c r="C25">
        <v>116</v>
      </c>
      <c r="D25" s="58" t="s">
        <v>11</v>
      </c>
      <c r="E25" s="58" t="s">
        <v>910</v>
      </c>
    </row>
    <row r="26" spans="1:5" ht="12.75" x14ac:dyDescent="0.2">
      <c r="A26" s="58" t="s">
        <v>342</v>
      </c>
      <c r="B26" s="58" t="s">
        <v>233</v>
      </c>
      <c r="C26">
        <v>100</v>
      </c>
      <c r="D26" s="58" t="s">
        <v>11</v>
      </c>
      <c r="E26" s="58" t="s">
        <v>909</v>
      </c>
    </row>
    <row r="27" spans="1:5" ht="12.75" x14ac:dyDescent="0.2">
      <c r="A27" s="58" t="s">
        <v>342</v>
      </c>
      <c r="B27" s="58" t="s">
        <v>233</v>
      </c>
      <c r="C27">
        <v>20</v>
      </c>
      <c r="D27" s="58" t="s">
        <v>11</v>
      </c>
      <c r="E27" s="58" t="s">
        <v>910</v>
      </c>
    </row>
    <row r="28" spans="1:5" ht="12.75" x14ac:dyDescent="0.2">
      <c r="A28" s="58" t="s">
        <v>343</v>
      </c>
      <c r="B28" s="58" t="s">
        <v>234</v>
      </c>
      <c r="C28">
        <v>850</v>
      </c>
      <c r="D28" s="58" t="s">
        <v>11</v>
      </c>
      <c r="E28" s="58" t="s">
        <v>909</v>
      </c>
    </row>
    <row r="29" spans="1:5" ht="12.75" x14ac:dyDescent="0.2">
      <c r="A29" s="58" t="s">
        <v>343</v>
      </c>
      <c r="B29" s="58" t="s">
        <v>234</v>
      </c>
      <c r="C29">
        <v>170</v>
      </c>
      <c r="D29" s="58" t="s">
        <v>11</v>
      </c>
      <c r="E29" s="58" t="s">
        <v>910</v>
      </c>
    </row>
    <row r="30" spans="1:5" ht="12.75" x14ac:dyDescent="0.2">
      <c r="A30" s="58" t="s">
        <v>344</v>
      </c>
      <c r="B30" s="58" t="s">
        <v>235</v>
      </c>
      <c r="C30">
        <v>1000</v>
      </c>
      <c r="D30" s="58" t="s">
        <v>11</v>
      </c>
      <c r="E30" s="58" t="s">
        <v>909</v>
      </c>
    </row>
    <row r="31" spans="1:5" ht="12.75" x14ac:dyDescent="0.2">
      <c r="A31" s="58" t="s">
        <v>344</v>
      </c>
      <c r="B31" s="58" t="s">
        <v>235</v>
      </c>
      <c r="C31">
        <v>200</v>
      </c>
      <c r="D31" s="58" t="s">
        <v>11</v>
      </c>
      <c r="E31" s="58" t="s">
        <v>910</v>
      </c>
    </row>
    <row r="32" spans="1:5" ht="12.75" x14ac:dyDescent="0.2">
      <c r="A32" s="58" t="s">
        <v>344</v>
      </c>
      <c r="B32" s="58" t="s">
        <v>235</v>
      </c>
      <c r="C32">
        <v>0</v>
      </c>
      <c r="D32" s="58" t="s">
        <v>11</v>
      </c>
      <c r="E32" s="58" t="s">
        <v>911</v>
      </c>
    </row>
    <row r="33" spans="1:5" ht="12.75" x14ac:dyDescent="0.2">
      <c r="A33" s="58" t="s">
        <v>345</v>
      </c>
      <c r="B33" s="58" t="s">
        <v>236</v>
      </c>
      <c r="C33">
        <v>1000</v>
      </c>
      <c r="D33" s="58" t="s">
        <v>11</v>
      </c>
      <c r="E33" s="58" t="s">
        <v>909</v>
      </c>
    </row>
    <row r="34" spans="1:5" ht="12.75" x14ac:dyDescent="0.2">
      <c r="A34" s="58" t="s">
        <v>345</v>
      </c>
      <c r="B34" s="58" t="s">
        <v>236</v>
      </c>
      <c r="C34">
        <v>200</v>
      </c>
      <c r="D34" s="58" t="s">
        <v>11</v>
      </c>
      <c r="E34" s="58" t="s">
        <v>910</v>
      </c>
    </row>
    <row r="35" spans="1:5" ht="12.75" x14ac:dyDescent="0.2">
      <c r="A35" s="58" t="s">
        <v>346</v>
      </c>
      <c r="B35" s="58" t="s">
        <v>237</v>
      </c>
      <c r="C35">
        <v>900</v>
      </c>
      <c r="D35" s="58" t="s">
        <v>11</v>
      </c>
      <c r="E35" s="58" t="s">
        <v>909</v>
      </c>
    </row>
    <row r="36" spans="1:5" ht="12.75" x14ac:dyDescent="0.2">
      <c r="A36" s="58" t="s">
        <v>346</v>
      </c>
      <c r="B36" s="58" t="s">
        <v>237</v>
      </c>
      <c r="C36">
        <v>180</v>
      </c>
      <c r="D36" s="58" t="s">
        <v>11</v>
      </c>
      <c r="E36" s="58" t="s">
        <v>910</v>
      </c>
    </row>
    <row r="37" spans="1:5" ht="12.75" x14ac:dyDescent="0.2">
      <c r="A37" s="58" t="s">
        <v>347</v>
      </c>
      <c r="B37" s="58" t="s">
        <v>238</v>
      </c>
      <c r="C37">
        <v>1000</v>
      </c>
      <c r="D37" s="58" t="s">
        <v>11</v>
      </c>
      <c r="E37" s="58" t="s">
        <v>909</v>
      </c>
    </row>
    <row r="38" spans="1:5" ht="12.75" x14ac:dyDescent="0.2">
      <c r="A38" s="58" t="s">
        <v>347</v>
      </c>
      <c r="B38" s="58" t="s">
        <v>238</v>
      </c>
      <c r="C38">
        <v>200</v>
      </c>
      <c r="D38" s="58" t="s">
        <v>11</v>
      </c>
      <c r="E38" s="58" t="s">
        <v>910</v>
      </c>
    </row>
    <row r="39" spans="1:5" ht="12.75" x14ac:dyDescent="0.2">
      <c r="A39" s="58" t="s">
        <v>348</v>
      </c>
      <c r="B39" s="58" t="s">
        <v>239</v>
      </c>
      <c r="C39">
        <v>1200</v>
      </c>
      <c r="D39" s="58" t="s">
        <v>11</v>
      </c>
      <c r="E39" s="58" t="s">
        <v>909</v>
      </c>
    </row>
    <row r="40" spans="1:5" ht="12.75" x14ac:dyDescent="0.2">
      <c r="A40" s="58" t="s">
        <v>348</v>
      </c>
      <c r="B40" s="58" t="s">
        <v>239</v>
      </c>
      <c r="C40">
        <v>240</v>
      </c>
      <c r="D40" s="58" t="s">
        <v>11</v>
      </c>
      <c r="E40" s="58" t="s">
        <v>910</v>
      </c>
    </row>
    <row r="41" spans="1:5" ht="12.75" x14ac:dyDescent="0.2">
      <c r="A41" s="58" t="s">
        <v>349</v>
      </c>
      <c r="B41" s="58" t="s">
        <v>915</v>
      </c>
      <c r="C41">
        <v>50</v>
      </c>
      <c r="D41" s="58" t="s">
        <v>11</v>
      </c>
      <c r="E41" s="58" t="s">
        <v>909</v>
      </c>
    </row>
    <row r="42" spans="1:5" ht="12.75" x14ac:dyDescent="0.2">
      <c r="A42" s="58" t="s">
        <v>349</v>
      </c>
      <c r="B42" s="58" t="s">
        <v>915</v>
      </c>
      <c r="C42">
        <v>10</v>
      </c>
      <c r="D42" s="58" t="s">
        <v>11</v>
      </c>
      <c r="E42" s="58" t="s">
        <v>910</v>
      </c>
    </row>
    <row r="43" spans="1:5" ht="12.75" x14ac:dyDescent="0.2">
      <c r="A43" s="58" t="s">
        <v>916</v>
      </c>
      <c r="B43" s="58" t="s">
        <v>240</v>
      </c>
      <c r="C43">
        <v>900</v>
      </c>
      <c r="D43" s="58" t="s">
        <v>11</v>
      </c>
      <c r="E43" s="58" t="s">
        <v>909</v>
      </c>
    </row>
    <row r="44" spans="1:5" ht="12.75" x14ac:dyDescent="0.2">
      <c r="A44" s="58" t="s">
        <v>916</v>
      </c>
      <c r="B44" s="58" t="s">
        <v>240</v>
      </c>
      <c r="C44">
        <v>180</v>
      </c>
      <c r="D44" s="58" t="s">
        <v>11</v>
      </c>
      <c r="E44" s="58" t="s">
        <v>910</v>
      </c>
    </row>
    <row r="45" spans="1:5" ht="12.75" x14ac:dyDescent="0.2">
      <c r="A45" s="58" t="s">
        <v>917</v>
      </c>
      <c r="B45" s="58" t="s">
        <v>918</v>
      </c>
      <c r="C45">
        <v>0</v>
      </c>
      <c r="D45" s="58" t="s">
        <v>11</v>
      </c>
      <c r="E45" s="58" t="s">
        <v>909</v>
      </c>
    </row>
    <row r="46" spans="1:5" ht="12.75" x14ac:dyDescent="0.2">
      <c r="A46" s="58" t="s">
        <v>917</v>
      </c>
      <c r="B46" s="58" t="s">
        <v>918</v>
      </c>
      <c r="C46">
        <v>0</v>
      </c>
      <c r="D46" s="58" t="s">
        <v>11</v>
      </c>
      <c r="E46" s="58" t="s">
        <v>910</v>
      </c>
    </row>
    <row r="47" spans="1:5" ht="12.75" x14ac:dyDescent="0.2">
      <c r="A47" s="58" t="s">
        <v>919</v>
      </c>
      <c r="B47" s="58" t="s">
        <v>920</v>
      </c>
      <c r="C47">
        <v>0</v>
      </c>
      <c r="D47" s="58" t="s">
        <v>11</v>
      </c>
      <c r="E47" s="58" t="s">
        <v>909</v>
      </c>
    </row>
    <row r="48" spans="1:5" ht="12.75" x14ac:dyDescent="0.2">
      <c r="A48" s="58" t="s">
        <v>919</v>
      </c>
      <c r="B48" s="58" t="s">
        <v>920</v>
      </c>
      <c r="C48">
        <v>0</v>
      </c>
      <c r="D48" s="58" t="s">
        <v>11</v>
      </c>
      <c r="E48" s="58" t="s">
        <v>910</v>
      </c>
    </row>
    <row r="49" spans="1:5" ht="12.75" x14ac:dyDescent="0.2">
      <c r="A49" s="58" t="s">
        <v>350</v>
      </c>
      <c r="B49" s="58" t="s">
        <v>130</v>
      </c>
      <c r="C49">
        <v>295</v>
      </c>
      <c r="D49" s="58" t="s">
        <v>361</v>
      </c>
      <c r="E49" s="58" t="s">
        <v>909</v>
      </c>
    </row>
    <row r="50" spans="1:5" ht="12.75" x14ac:dyDescent="0.2">
      <c r="A50" s="58" t="s">
        <v>350</v>
      </c>
      <c r="B50" s="58" t="s">
        <v>130</v>
      </c>
      <c r="C50">
        <v>59</v>
      </c>
      <c r="D50" s="58" t="s">
        <v>361</v>
      </c>
      <c r="E50" s="58" t="s">
        <v>910</v>
      </c>
    </row>
    <row r="51" spans="1:5" ht="12.75" x14ac:dyDescent="0.2">
      <c r="A51" s="58" t="s">
        <v>352</v>
      </c>
      <c r="B51" s="58" t="s">
        <v>131</v>
      </c>
      <c r="C51">
        <v>118</v>
      </c>
      <c r="D51" s="58" t="s">
        <v>361</v>
      </c>
      <c r="E51" s="58" t="s">
        <v>909</v>
      </c>
    </row>
    <row r="52" spans="1:5" ht="12.75" x14ac:dyDescent="0.2">
      <c r="A52" s="58" t="s">
        <v>352</v>
      </c>
      <c r="B52" s="58" t="s">
        <v>131</v>
      </c>
      <c r="C52">
        <v>23</v>
      </c>
      <c r="D52" s="58" t="s">
        <v>361</v>
      </c>
      <c r="E52" s="58" t="s">
        <v>910</v>
      </c>
    </row>
    <row r="53" spans="1:5" ht="12.75" x14ac:dyDescent="0.2">
      <c r="A53" s="58" t="s">
        <v>353</v>
      </c>
      <c r="B53" s="58" t="s">
        <v>132</v>
      </c>
      <c r="C53">
        <v>81</v>
      </c>
      <c r="D53" s="58" t="s">
        <v>361</v>
      </c>
      <c r="E53" s="58" t="s">
        <v>909</v>
      </c>
    </row>
    <row r="54" spans="1:5" ht="12.75" x14ac:dyDescent="0.2">
      <c r="A54" s="58" t="s">
        <v>353</v>
      </c>
      <c r="B54" s="58" t="s">
        <v>132</v>
      </c>
      <c r="C54">
        <v>16</v>
      </c>
      <c r="D54" s="58" t="s">
        <v>361</v>
      </c>
      <c r="E54" s="58" t="s">
        <v>910</v>
      </c>
    </row>
    <row r="55" spans="1:5" ht="12.75" x14ac:dyDescent="0.2">
      <c r="A55" s="58" t="s">
        <v>354</v>
      </c>
      <c r="B55" s="58" t="s">
        <v>133</v>
      </c>
      <c r="C55">
        <v>0</v>
      </c>
      <c r="D55" s="58" t="s">
        <v>361</v>
      </c>
      <c r="E55" s="58" t="s">
        <v>909</v>
      </c>
    </row>
    <row r="56" spans="1:5" ht="12.75" x14ac:dyDescent="0.2">
      <c r="A56" s="58" t="s">
        <v>354</v>
      </c>
      <c r="B56" s="58" t="s">
        <v>133</v>
      </c>
      <c r="C56">
        <v>0</v>
      </c>
      <c r="D56" s="58" t="s">
        <v>361</v>
      </c>
      <c r="E56" s="58" t="s">
        <v>910</v>
      </c>
    </row>
    <row r="57" spans="1:5" ht="12.75" x14ac:dyDescent="0.2">
      <c r="A57" s="58" t="s">
        <v>355</v>
      </c>
      <c r="B57" s="58" t="s">
        <v>134</v>
      </c>
      <c r="C57">
        <v>0</v>
      </c>
      <c r="D57" s="58" t="s">
        <v>361</v>
      </c>
      <c r="E57" s="58" t="s">
        <v>909</v>
      </c>
    </row>
    <row r="58" spans="1:5" ht="12.75" x14ac:dyDescent="0.2">
      <c r="A58" s="58" t="s">
        <v>355</v>
      </c>
      <c r="B58" s="58" t="s">
        <v>134</v>
      </c>
      <c r="C58">
        <v>0</v>
      </c>
      <c r="D58" s="58" t="s">
        <v>361</v>
      </c>
      <c r="E58" s="58" t="s">
        <v>910</v>
      </c>
    </row>
    <row r="59" spans="1:5" ht="12.75" x14ac:dyDescent="0.2">
      <c r="A59" s="58" t="s">
        <v>356</v>
      </c>
      <c r="B59" s="58" t="s">
        <v>135</v>
      </c>
      <c r="C59">
        <v>30</v>
      </c>
      <c r="D59" s="58" t="s">
        <v>361</v>
      </c>
      <c r="E59" s="58" t="s">
        <v>909</v>
      </c>
    </row>
    <row r="60" spans="1:5" ht="12.75" x14ac:dyDescent="0.2">
      <c r="A60" s="58" t="s">
        <v>356</v>
      </c>
      <c r="B60" s="58" t="s">
        <v>135</v>
      </c>
      <c r="C60">
        <v>6</v>
      </c>
      <c r="D60" s="58" t="s">
        <v>361</v>
      </c>
      <c r="E60" s="58" t="s">
        <v>910</v>
      </c>
    </row>
    <row r="61" spans="1:5" ht="12.75" x14ac:dyDescent="0.2">
      <c r="A61" s="58" t="s">
        <v>357</v>
      </c>
      <c r="B61" s="58" t="s">
        <v>136</v>
      </c>
      <c r="C61">
        <v>60</v>
      </c>
      <c r="D61" s="58" t="s">
        <v>361</v>
      </c>
      <c r="E61" s="58" t="s">
        <v>909</v>
      </c>
    </row>
    <row r="62" spans="1:5" ht="12.75" x14ac:dyDescent="0.2">
      <c r="A62" s="58" t="s">
        <v>357</v>
      </c>
      <c r="B62" s="58" t="s">
        <v>136</v>
      </c>
      <c r="C62">
        <v>12</v>
      </c>
      <c r="D62" s="58" t="s">
        <v>361</v>
      </c>
      <c r="E62" s="58" t="s">
        <v>910</v>
      </c>
    </row>
    <row r="63" spans="1:5" ht="12.75" x14ac:dyDescent="0.2">
      <c r="A63" s="58" t="s">
        <v>358</v>
      </c>
      <c r="B63" s="58" t="s">
        <v>19</v>
      </c>
      <c r="C63">
        <v>0</v>
      </c>
      <c r="D63" s="58" t="s">
        <v>361</v>
      </c>
      <c r="E63" s="58" t="s">
        <v>909</v>
      </c>
    </row>
    <row r="64" spans="1:5" ht="12.75" x14ac:dyDescent="0.2">
      <c r="A64" s="58" t="s">
        <v>358</v>
      </c>
      <c r="B64" s="58" t="s">
        <v>19</v>
      </c>
      <c r="C64">
        <v>0</v>
      </c>
      <c r="D64" s="58" t="s">
        <v>361</v>
      </c>
      <c r="E64" s="58" t="s">
        <v>910</v>
      </c>
    </row>
    <row r="65" spans="1:5" ht="12.75" x14ac:dyDescent="0.2">
      <c r="A65" s="58" t="s">
        <v>359</v>
      </c>
      <c r="B65" s="58" t="s">
        <v>137</v>
      </c>
      <c r="C65">
        <v>0</v>
      </c>
      <c r="D65" s="58" t="s">
        <v>361</v>
      </c>
      <c r="E65" s="58" t="s">
        <v>909</v>
      </c>
    </row>
    <row r="66" spans="1:5" ht="12.75" x14ac:dyDescent="0.2">
      <c r="A66" s="58" t="s">
        <v>359</v>
      </c>
      <c r="B66" s="58" t="s">
        <v>137</v>
      </c>
      <c r="C66">
        <v>0</v>
      </c>
      <c r="D66" s="58" t="s">
        <v>361</v>
      </c>
      <c r="E66" s="58" t="s">
        <v>910</v>
      </c>
    </row>
    <row r="67" spans="1:5" ht="12.75" x14ac:dyDescent="0.2">
      <c r="A67" s="58" t="s">
        <v>360</v>
      </c>
      <c r="B67" s="58" t="s">
        <v>141</v>
      </c>
      <c r="C67">
        <v>0</v>
      </c>
      <c r="D67" s="58" t="s">
        <v>361</v>
      </c>
      <c r="E67" s="58" t="s">
        <v>909</v>
      </c>
    </row>
    <row r="68" spans="1:5" ht="12.75" x14ac:dyDescent="0.2">
      <c r="A68" s="58" t="s">
        <v>360</v>
      </c>
      <c r="B68" s="58" t="s">
        <v>141</v>
      </c>
      <c r="C68">
        <v>0</v>
      </c>
      <c r="D68" s="58" t="s">
        <v>361</v>
      </c>
      <c r="E68" s="58" t="s">
        <v>910</v>
      </c>
    </row>
    <row r="69" spans="1:5" ht="12.75" x14ac:dyDescent="0.2">
      <c r="A69" s="58" t="s">
        <v>363</v>
      </c>
      <c r="B69" s="58" t="s">
        <v>142</v>
      </c>
      <c r="C69">
        <v>0</v>
      </c>
      <c r="D69" s="58" t="s">
        <v>361</v>
      </c>
      <c r="E69" s="58" t="s">
        <v>909</v>
      </c>
    </row>
    <row r="70" spans="1:5" ht="12.75" x14ac:dyDescent="0.2">
      <c r="A70" s="58" t="s">
        <v>363</v>
      </c>
      <c r="B70" s="58" t="s">
        <v>142</v>
      </c>
      <c r="C70">
        <v>0</v>
      </c>
      <c r="D70" s="58" t="s">
        <v>361</v>
      </c>
      <c r="E70" s="58" t="s">
        <v>910</v>
      </c>
    </row>
    <row r="71" spans="1:5" ht="12.75" x14ac:dyDescent="0.2">
      <c r="A71" s="58" t="s">
        <v>364</v>
      </c>
      <c r="B71" s="58" t="s">
        <v>143</v>
      </c>
      <c r="C71">
        <v>0</v>
      </c>
      <c r="D71" s="58" t="s">
        <v>361</v>
      </c>
      <c r="E71" s="58" t="s">
        <v>909</v>
      </c>
    </row>
    <row r="72" spans="1:5" ht="12.75" x14ac:dyDescent="0.2">
      <c r="A72" s="58" t="s">
        <v>364</v>
      </c>
      <c r="B72" s="58" t="s">
        <v>143</v>
      </c>
      <c r="C72">
        <v>0</v>
      </c>
      <c r="D72" s="58" t="s">
        <v>361</v>
      </c>
      <c r="E72" s="58" t="s">
        <v>910</v>
      </c>
    </row>
    <row r="73" spans="1:5" ht="12.75" x14ac:dyDescent="0.2">
      <c r="A73" s="58" t="s">
        <v>366</v>
      </c>
      <c r="B73" s="58" t="s">
        <v>144</v>
      </c>
      <c r="C73">
        <v>81</v>
      </c>
      <c r="D73" s="58" t="s">
        <v>361</v>
      </c>
      <c r="E73" s="58" t="s">
        <v>909</v>
      </c>
    </row>
    <row r="74" spans="1:5" ht="12.75" x14ac:dyDescent="0.2">
      <c r="A74" s="58" t="s">
        <v>366</v>
      </c>
      <c r="B74" s="58" t="s">
        <v>144</v>
      </c>
      <c r="C74">
        <v>16</v>
      </c>
      <c r="D74" s="58" t="s">
        <v>361</v>
      </c>
      <c r="E74" s="58" t="s">
        <v>910</v>
      </c>
    </row>
    <row r="75" spans="1:5" ht="12.75" x14ac:dyDescent="0.2">
      <c r="A75" s="58" t="s">
        <v>367</v>
      </c>
      <c r="B75" s="58" t="s">
        <v>145</v>
      </c>
      <c r="C75">
        <v>156</v>
      </c>
      <c r="D75" s="58" t="s">
        <v>361</v>
      </c>
      <c r="E75" s="58" t="s">
        <v>909</v>
      </c>
    </row>
    <row r="76" spans="1:5" ht="12.75" x14ac:dyDescent="0.2">
      <c r="A76" s="58" t="s">
        <v>367</v>
      </c>
      <c r="B76" s="58" t="s">
        <v>145</v>
      </c>
      <c r="C76">
        <v>31</v>
      </c>
      <c r="D76" s="58" t="s">
        <v>361</v>
      </c>
      <c r="E76" s="58" t="s">
        <v>910</v>
      </c>
    </row>
    <row r="77" spans="1:5" ht="12.75" x14ac:dyDescent="0.2">
      <c r="A77" s="58" t="s">
        <v>368</v>
      </c>
      <c r="B77" s="58" t="s">
        <v>921</v>
      </c>
      <c r="C77">
        <v>156</v>
      </c>
      <c r="D77" s="58" t="s">
        <v>361</v>
      </c>
      <c r="E77" s="58" t="s">
        <v>909</v>
      </c>
    </row>
    <row r="78" spans="1:5" ht="12.75" x14ac:dyDescent="0.2">
      <c r="A78" s="58" t="s">
        <v>368</v>
      </c>
      <c r="B78" s="58" t="s">
        <v>921</v>
      </c>
      <c r="C78">
        <v>31</v>
      </c>
      <c r="D78" s="58" t="s">
        <v>361</v>
      </c>
      <c r="E78" s="58" t="s">
        <v>910</v>
      </c>
    </row>
    <row r="79" spans="1:5" ht="12.75" x14ac:dyDescent="0.2">
      <c r="A79" s="58" t="s">
        <v>370</v>
      </c>
      <c r="B79" s="58" t="s">
        <v>146</v>
      </c>
      <c r="C79">
        <v>78</v>
      </c>
      <c r="D79" s="58" t="s">
        <v>361</v>
      </c>
      <c r="E79" s="58" t="s">
        <v>909</v>
      </c>
    </row>
    <row r="80" spans="1:5" ht="12.75" x14ac:dyDescent="0.2">
      <c r="A80" s="58" t="s">
        <v>370</v>
      </c>
      <c r="B80" s="58" t="s">
        <v>146</v>
      </c>
      <c r="C80">
        <v>15</v>
      </c>
      <c r="D80" s="58" t="s">
        <v>361</v>
      </c>
      <c r="E80" s="58" t="s">
        <v>910</v>
      </c>
    </row>
    <row r="81" spans="1:5" ht="12.75" x14ac:dyDescent="0.2">
      <c r="A81" s="58" t="s">
        <v>371</v>
      </c>
      <c r="B81" s="58" t="s">
        <v>147</v>
      </c>
      <c r="C81">
        <v>85</v>
      </c>
      <c r="D81" s="58" t="s">
        <v>361</v>
      </c>
      <c r="E81" s="58" t="s">
        <v>909</v>
      </c>
    </row>
    <row r="82" spans="1:5" ht="12.75" x14ac:dyDescent="0.2">
      <c r="A82" s="58" t="s">
        <v>371</v>
      </c>
      <c r="B82" s="58" t="s">
        <v>147</v>
      </c>
      <c r="C82">
        <v>17</v>
      </c>
      <c r="D82" s="58" t="s">
        <v>361</v>
      </c>
      <c r="E82" s="58" t="s">
        <v>910</v>
      </c>
    </row>
    <row r="83" spans="1:5" ht="12.75" x14ac:dyDescent="0.2">
      <c r="A83" s="58" t="s">
        <v>372</v>
      </c>
      <c r="B83" s="58" t="s">
        <v>727</v>
      </c>
      <c r="C83">
        <v>15</v>
      </c>
      <c r="D83" s="58" t="s">
        <v>361</v>
      </c>
      <c r="E83" s="58" t="s">
        <v>909</v>
      </c>
    </row>
    <row r="84" spans="1:5" ht="12.75" x14ac:dyDescent="0.2">
      <c r="A84" s="58" t="s">
        <v>372</v>
      </c>
      <c r="B84" s="58" t="s">
        <v>727</v>
      </c>
      <c r="C84">
        <v>3</v>
      </c>
      <c r="D84" s="58" t="s">
        <v>361</v>
      </c>
      <c r="E84" s="58" t="s">
        <v>910</v>
      </c>
    </row>
    <row r="85" spans="1:5" ht="12.75" x14ac:dyDescent="0.2">
      <c r="A85" s="58" t="s">
        <v>373</v>
      </c>
      <c r="B85" s="58" t="s">
        <v>148</v>
      </c>
      <c r="C85">
        <v>23</v>
      </c>
      <c r="D85" s="58" t="s">
        <v>361</v>
      </c>
      <c r="E85" s="58" t="s">
        <v>909</v>
      </c>
    </row>
    <row r="86" spans="1:5" ht="12.75" x14ac:dyDescent="0.2">
      <c r="A86" s="58" t="s">
        <v>373</v>
      </c>
      <c r="B86" s="58" t="s">
        <v>148</v>
      </c>
      <c r="C86">
        <v>4</v>
      </c>
      <c r="D86" s="58" t="s">
        <v>361</v>
      </c>
      <c r="E86" s="58" t="s">
        <v>910</v>
      </c>
    </row>
    <row r="87" spans="1:5" ht="12.75" x14ac:dyDescent="0.2">
      <c r="A87" s="58" t="s">
        <v>374</v>
      </c>
      <c r="B87" s="58" t="s">
        <v>149</v>
      </c>
      <c r="C87">
        <v>54</v>
      </c>
      <c r="D87" s="58" t="s">
        <v>361</v>
      </c>
      <c r="E87" s="58" t="s">
        <v>909</v>
      </c>
    </row>
    <row r="88" spans="1:5" ht="12.75" x14ac:dyDescent="0.2">
      <c r="A88" s="58" t="s">
        <v>374</v>
      </c>
      <c r="B88" s="58" t="s">
        <v>149</v>
      </c>
      <c r="C88">
        <v>10</v>
      </c>
      <c r="D88" s="58" t="s">
        <v>361</v>
      </c>
      <c r="E88" s="58" t="s">
        <v>910</v>
      </c>
    </row>
    <row r="89" spans="1:5" ht="12.75" x14ac:dyDescent="0.2">
      <c r="A89" s="58" t="s">
        <v>375</v>
      </c>
      <c r="B89" s="58" t="s">
        <v>150</v>
      </c>
      <c r="C89">
        <v>23</v>
      </c>
      <c r="D89" s="58" t="s">
        <v>361</v>
      </c>
      <c r="E89" s="58" t="s">
        <v>909</v>
      </c>
    </row>
    <row r="90" spans="1:5" ht="12.75" x14ac:dyDescent="0.2">
      <c r="A90" s="58" t="s">
        <v>375</v>
      </c>
      <c r="B90" s="58" t="s">
        <v>150</v>
      </c>
      <c r="C90">
        <v>4</v>
      </c>
      <c r="D90" s="58" t="s">
        <v>361</v>
      </c>
      <c r="E90" s="58" t="s">
        <v>910</v>
      </c>
    </row>
    <row r="91" spans="1:5" ht="12.75" x14ac:dyDescent="0.2">
      <c r="A91" s="58" t="s">
        <v>377</v>
      </c>
      <c r="B91" s="58" t="s">
        <v>376</v>
      </c>
      <c r="C91">
        <v>0</v>
      </c>
      <c r="D91" s="58" t="s">
        <v>361</v>
      </c>
      <c r="E91" s="58" t="s">
        <v>909</v>
      </c>
    </row>
    <row r="92" spans="1:5" ht="12.75" x14ac:dyDescent="0.2">
      <c r="A92" s="58" t="s">
        <v>377</v>
      </c>
      <c r="B92" s="58" t="s">
        <v>376</v>
      </c>
      <c r="C92">
        <v>0</v>
      </c>
      <c r="D92" s="58" t="s">
        <v>361</v>
      </c>
      <c r="E92" s="58" t="s">
        <v>910</v>
      </c>
    </row>
    <row r="93" spans="1:5" ht="12.75" x14ac:dyDescent="0.2">
      <c r="A93" s="58" t="s">
        <v>379</v>
      </c>
      <c r="B93" s="58" t="s">
        <v>378</v>
      </c>
      <c r="C93">
        <v>0</v>
      </c>
      <c r="D93" s="58" t="s">
        <v>361</v>
      </c>
      <c r="E93" s="58" t="s">
        <v>909</v>
      </c>
    </row>
    <row r="94" spans="1:5" ht="12.75" x14ac:dyDescent="0.2">
      <c r="A94" s="58" t="s">
        <v>379</v>
      </c>
      <c r="B94" s="58" t="s">
        <v>378</v>
      </c>
      <c r="C94">
        <v>0</v>
      </c>
      <c r="D94" s="58" t="s">
        <v>361</v>
      </c>
      <c r="E94" s="58" t="s">
        <v>910</v>
      </c>
    </row>
    <row r="95" spans="1:5" ht="12.75" x14ac:dyDescent="0.2">
      <c r="A95" s="58" t="s">
        <v>380</v>
      </c>
      <c r="B95" s="58" t="s">
        <v>151</v>
      </c>
      <c r="C95">
        <v>0</v>
      </c>
      <c r="D95" s="58" t="s">
        <v>361</v>
      </c>
      <c r="E95" s="58" t="s">
        <v>909</v>
      </c>
    </row>
    <row r="96" spans="1:5" ht="12.75" x14ac:dyDescent="0.2">
      <c r="A96" s="58" t="s">
        <v>380</v>
      </c>
      <c r="B96" s="58" t="s">
        <v>151</v>
      </c>
      <c r="C96">
        <v>0</v>
      </c>
      <c r="D96" s="58" t="s">
        <v>361</v>
      </c>
      <c r="E96" s="58" t="s">
        <v>910</v>
      </c>
    </row>
    <row r="97" spans="1:5" ht="12.75" x14ac:dyDescent="0.2">
      <c r="A97" s="58" t="s">
        <v>381</v>
      </c>
      <c r="B97" s="58" t="s">
        <v>152</v>
      </c>
      <c r="C97">
        <v>39</v>
      </c>
      <c r="D97" s="58" t="s">
        <v>361</v>
      </c>
      <c r="E97" s="58" t="s">
        <v>909</v>
      </c>
    </row>
    <row r="98" spans="1:5" ht="12.75" x14ac:dyDescent="0.2">
      <c r="A98" s="58" t="s">
        <v>381</v>
      </c>
      <c r="B98" s="58" t="s">
        <v>152</v>
      </c>
      <c r="C98">
        <v>7</v>
      </c>
      <c r="D98" s="58" t="s">
        <v>361</v>
      </c>
      <c r="E98" s="58" t="s">
        <v>910</v>
      </c>
    </row>
    <row r="99" spans="1:5" ht="12.75" x14ac:dyDescent="0.2">
      <c r="A99" s="58" t="s">
        <v>382</v>
      </c>
      <c r="B99" s="58" t="s">
        <v>728</v>
      </c>
      <c r="C99">
        <v>15</v>
      </c>
      <c r="D99" s="58" t="s">
        <v>361</v>
      </c>
      <c r="E99" s="58" t="s">
        <v>909</v>
      </c>
    </row>
    <row r="100" spans="1:5" ht="12.75" x14ac:dyDescent="0.2">
      <c r="A100" s="58" t="s">
        <v>382</v>
      </c>
      <c r="B100" s="58" t="s">
        <v>728</v>
      </c>
      <c r="C100">
        <v>3</v>
      </c>
      <c r="D100" s="58" t="s">
        <v>361</v>
      </c>
      <c r="E100" s="58" t="s">
        <v>910</v>
      </c>
    </row>
    <row r="101" spans="1:5" ht="12.75" x14ac:dyDescent="0.2">
      <c r="A101" s="58" t="s">
        <v>383</v>
      </c>
      <c r="B101" s="58" t="s">
        <v>729</v>
      </c>
      <c r="C101">
        <v>7</v>
      </c>
      <c r="D101" s="58" t="s">
        <v>361</v>
      </c>
      <c r="E101" s="58" t="s">
        <v>909</v>
      </c>
    </row>
    <row r="102" spans="1:5" ht="12.75" x14ac:dyDescent="0.2">
      <c r="A102" s="58" t="s">
        <v>383</v>
      </c>
      <c r="B102" s="58" t="s">
        <v>729</v>
      </c>
      <c r="C102">
        <v>1</v>
      </c>
      <c r="D102" s="58" t="s">
        <v>361</v>
      </c>
      <c r="E102" s="58" t="s">
        <v>910</v>
      </c>
    </row>
    <row r="103" spans="1:5" ht="12.75" x14ac:dyDescent="0.2">
      <c r="A103" s="58" t="s">
        <v>384</v>
      </c>
      <c r="B103" s="58" t="s">
        <v>153</v>
      </c>
      <c r="C103">
        <v>22</v>
      </c>
      <c r="D103" s="58" t="s">
        <v>361</v>
      </c>
      <c r="E103" s="58" t="s">
        <v>909</v>
      </c>
    </row>
    <row r="104" spans="1:5" ht="12.75" x14ac:dyDescent="0.2">
      <c r="A104" s="58" t="s">
        <v>384</v>
      </c>
      <c r="B104" s="58" t="s">
        <v>153</v>
      </c>
      <c r="C104">
        <v>4</v>
      </c>
      <c r="D104" s="58" t="s">
        <v>361</v>
      </c>
      <c r="E104" s="58" t="s">
        <v>910</v>
      </c>
    </row>
    <row r="105" spans="1:5" ht="12.75" x14ac:dyDescent="0.2">
      <c r="A105" s="58" t="s">
        <v>385</v>
      </c>
      <c r="B105" s="58" t="s">
        <v>154</v>
      </c>
      <c r="C105">
        <v>48</v>
      </c>
      <c r="D105" s="58" t="s">
        <v>361</v>
      </c>
      <c r="E105" s="58" t="s">
        <v>909</v>
      </c>
    </row>
    <row r="106" spans="1:5" ht="12.75" x14ac:dyDescent="0.2">
      <c r="A106" s="58" t="s">
        <v>385</v>
      </c>
      <c r="B106" s="58" t="s">
        <v>154</v>
      </c>
      <c r="C106">
        <v>9</v>
      </c>
      <c r="D106" s="58" t="s">
        <v>361</v>
      </c>
      <c r="E106" s="58" t="s">
        <v>910</v>
      </c>
    </row>
    <row r="107" spans="1:5" ht="12.75" x14ac:dyDescent="0.2">
      <c r="A107" s="58" t="s">
        <v>386</v>
      </c>
      <c r="B107" s="58" t="s">
        <v>155</v>
      </c>
      <c r="C107">
        <v>15</v>
      </c>
      <c r="D107" s="58" t="s">
        <v>361</v>
      </c>
      <c r="E107" s="58" t="s">
        <v>909</v>
      </c>
    </row>
    <row r="108" spans="1:5" ht="12.75" x14ac:dyDescent="0.2">
      <c r="A108" s="58" t="s">
        <v>386</v>
      </c>
      <c r="B108" s="58" t="s">
        <v>155</v>
      </c>
      <c r="C108">
        <v>3</v>
      </c>
      <c r="D108" s="58" t="s">
        <v>361</v>
      </c>
      <c r="E108" s="58" t="s">
        <v>910</v>
      </c>
    </row>
    <row r="109" spans="1:5" ht="12.75" x14ac:dyDescent="0.2">
      <c r="A109" s="58" t="s">
        <v>387</v>
      </c>
      <c r="B109" s="58" t="s">
        <v>156</v>
      </c>
      <c r="C109">
        <v>0</v>
      </c>
      <c r="D109" s="58" t="s">
        <v>361</v>
      </c>
      <c r="E109" s="58" t="s">
        <v>909</v>
      </c>
    </row>
    <row r="110" spans="1:5" ht="12.75" x14ac:dyDescent="0.2">
      <c r="A110" s="58" t="s">
        <v>387</v>
      </c>
      <c r="B110" s="58" t="s">
        <v>156</v>
      </c>
      <c r="C110">
        <v>0</v>
      </c>
      <c r="D110" s="58" t="s">
        <v>361</v>
      </c>
      <c r="E110" s="58" t="s">
        <v>910</v>
      </c>
    </row>
    <row r="111" spans="1:5" ht="12.75" x14ac:dyDescent="0.2">
      <c r="A111" s="58" t="s">
        <v>389</v>
      </c>
      <c r="B111" s="58" t="s">
        <v>157</v>
      </c>
      <c r="C111">
        <v>49</v>
      </c>
      <c r="D111" s="58" t="s">
        <v>361</v>
      </c>
      <c r="E111" s="58" t="s">
        <v>909</v>
      </c>
    </row>
    <row r="112" spans="1:5" ht="12.75" x14ac:dyDescent="0.2">
      <c r="A112" s="58" t="s">
        <v>389</v>
      </c>
      <c r="B112" s="58" t="s">
        <v>157</v>
      </c>
      <c r="C112">
        <v>9</v>
      </c>
      <c r="D112" s="58" t="s">
        <v>361</v>
      </c>
      <c r="E112" s="58" t="s">
        <v>910</v>
      </c>
    </row>
    <row r="113" spans="1:5" ht="12.75" x14ac:dyDescent="0.2">
      <c r="A113" s="58" t="s">
        <v>391</v>
      </c>
      <c r="B113" s="58" t="s">
        <v>158</v>
      </c>
      <c r="C113">
        <v>157</v>
      </c>
      <c r="D113" s="58" t="s">
        <v>361</v>
      </c>
      <c r="E113" s="58" t="s">
        <v>909</v>
      </c>
    </row>
    <row r="114" spans="1:5" ht="12.75" x14ac:dyDescent="0.2">
      <c r="A114" s="58" t="s">
        <v>391</v>
      </c>
      <c r="B114" s="58" t="s">
        <v>158</v>
      </c>
      <c r="C114">
        <v>31</v>
      </c>
      <c r="D114" s="58" t="s">
        <v>361</v>
      </c>
      <c r="E114" s="58" t="s">
        <v>910</v>
      </c>
    </row>
    <row r="115" spans="1:5" ht="12.75" x14ac:dyDescent="0.2">
      <c r="A115" s="58" t="s">
        <v>393</v>
      </c>
      <c r="B115" s="58" t="s">
        <v>388</v>
      </c>
      <c r="C115">
        <v>30</v>
      </c>
      <c r="D115" s="58" t="s">
        <v>361</v>
      </c>
      <c r="E115" s="58" t="s">
        <v>909</v>
      </c>
    </row>
    <row r="116" spans="1:5" ht="12.75" x14ac:dyDescent="0.2">
      <c r="A116" s="58" t="s">
        <v>393</v>
      </c>
      <c r="B116" s="58" t="s">
        <v>388</v>
      </c>
      <c r="C116">
        <v>6</v>
      </c>
      <c r="D116" s="58" t="s">
        <v>361</v>
      </c>
      <c r="E116" s="58" t="s">
        <v>910</v>
      </c>
    </row>
    <row r="117" spans="1:5" ht="12.75" x14ac:dyDescent="0.2">
      <c r="A117" s="58" t="s">
        <v>394</v>
      </c>
      <c r="B117" s="58" t="s">
        <v>390</v>
      </c>
      <c r="C117">
        <v>76</v>
      </c>
      <c r="D117" s="58" t="s">
        <v>361</v>
      </c>
      <c r="E117" s="58" t="s">
        <v>909</v>
      </c>
    </row>
    <row r="118" spans="1:5" ht="12.75" x14ac:dyDescent="0.2">
      <c r="A118" s="58" t="s">
        <v>394</v>
      </c>
      <c r="B118" s="58" t="s">
        <v>390</v>
      </c>
      <c r="C118">
        <v>15</v>
      </c>
      <c r="D118" s="58" t="s">
        <v>361</v>
      </c>
      <c r="E118" s="58" t="s">
        <v>910</v>
      </c>
    </row>
    <row r="119" spans="1:5" ht="12.75" x14ac:dyDescent="0.2">
      <c r="A119" s="58" t="s">
        <v>395</v>
      </c>
      <c r="B119" s="58" t="s">
        <v>159</v>
      </c>
      <c r="C119">
        <v>67</v>
      </c>
      <c r="D119" s="58" t="s">
        <v>361</v>
      </c>
      <c r="E119" s="58" t="s">
        <v>909</v>
      </c>
    </row>
    <row r="120" spans="1:5" ht="12.75" x14ac:dyDescent="0.2">
      <c r="A120" s="58" t="s">
        <v>395</v>
      </c>
      <c r="B120" s="58" t="s">
        <v>159</v>
      </c>
      <c r="C120">
        <v>13</v>
      </c>
      <c r="D120" s="58" t="s">
        <v>361</v>
      </c>
      <c r="E120" s="58" t="s">
        <v>910</v>
      </c>
    </row>
    <row r="121" spans="1:5" ht="12.75" x14ac:dyDescent="0.2">
      <c r="A121" s="58" t="s">
        <v>396</v>
      </c>
      <c r="B121" s="58" t="s">
        <v>160</v>
      </c>
      <c r="C121">
        <v>15</v>
      </c>
      <c r="D121" s="58" t="s">
        <v>361</v>
      </c>
      <c r="E121" s="58" t="s">
        <v>909</v>
      </c>
    </row>
    <row r="122" spans="1:5" ht="12.75" x14ac:dyDescent="0.2">
      <c r="A122" s="58" t="s">
        <v>396</v>
      </c>
      <c r="B122" s="58" t="s">
        <v>160</v>
      </c>
      <c r="C122">
        <v>3</v>
      </c>
      <c r="D122" s="58" t="s">
        <v>361</v>
      </c>
      <c r="E122" s="58" t="s">
        <v>910</v>
      </c>
    </row>
    <row r="123" spans="1:5" ht="12.75" x14ac:dyDescent="0.2">
      <c r="A123" s="58" t="s">
        <v>398</v>
      </c>
      <c r="B123" s="58" t="s">
        <v>161</v>
      </c>
      <c r="C123">
        <v>52</v>
      </c>
      <c r="D123" s="58" t="s">
        <v>361</v>
      </c>
      <c r="E123" s="58" t="s">
        <v>909</v>
      </c>
    </row>
    <row r="124" spans="1:5" ht="12.75" x14ac:dyDescent="0.2">
      <c r="A124" s="58" t="s">
        <v>398</v>
      </c>
      <c r="B124" s="58" t="s">
        <v>161</v>
      </c>
      <c r="C124">
        <v>10</v>
      </c>
      <c r="D124" s="58" t="s">
        <v>361</v>
      </c>
      <c r="E124" s="58" t="s">
        <v>910</v>
      </c>
    </row>
    <row r="125" spans="1:5" ht="12.75" x14ac:dyDescent="0.2">
      <c r="A125" s="58" t="s">
        <v>399</v>
      </c>
      <c r="B125" s="58" t="s">
        <v>162</v>
      </c>
      <c r="C125">
        <v>37</v>
      </c>
      <c r="D125" s="58" t="s">
        <v>361</v>
      </c>
      <c r="E125" s="58" t="s">
        <v>909</v>
      </c>
    </row>
    <row r="126" spans="1:5" ht="12.75" x14ac:dyDescent="0.2">
      <c r="A126" s="58" t="s">
        <v>399</v>
      </c>
      <c r="B126" s="58" t="s">
        <v>162</v>
      </c>
      <c r="C126">
        <v>7</v>
      </c>
      <c r="D126" s="58" t="s">
        <v>361</v>
      </c>
      <c r="E126" s="58" t="s">
        <v>910</v>
      </c>
    </row>
    <row r="127" spans="1:5" ht="12.75" x14ac:dyDescent="0.2">
      <c r="A127" s="58" t="s">
        <v>401</v>
      </c>
      <c r="B127" s="58" t="s">
        <v>730</v>
      </c>
      <c r="C127">
        <v>45</v>
      </c>
      <c r="D127" s="58" t="s">
        <v>361</v>
      </c>
      <c r="E127" s="58" t="s">
        <v>909</v>
      </c>
    </row>
    <row r="128" spans="1:5" ht="12.75" x14ac:dyDescent="0.2">
      <c r="A128" s="58" t="s">
        <v>401</v>
      </c>
      <c r="B128" s="58" t="s">
        <v>730</v>
      </c>
      <c r="C128">
        <v>9</v>
      </c>
      <c r="D128" s="58" t="s">
        <v>361</v>
      </c>
      <c r="E128" s="58" t="s">
        <v>910</v>
      </c>
    </row>
    <row r="129" spans="1:5" ht="12.75" x14ac:dyDescent="0.2">
      <c r="A129" s="58" t="s">
        <v>403</v>
      </c>
      <c r="B129" s="58" t="s">
        <v>163</v>
      </c>
      <c r="C129">
        <v>300</v>
      </c>
      <c r="D129" s="58" t="s">
        <v>361</v>
      </c>
      <c r="E129" s="58" t="s">
        <v>909</v>
      </c>
    </row>
    <row r="130" spans="1:5" ht="12.75" x14ac:dyDescent="0.2">
      <c r="A130" s="58" t="s">
        <v>403</v>
      </c>
      <c r="B130" s="58" t="s">
        <v>163</v>
      </c>
      <c r="C130">
        <v>60</v>
      </c>
      <c r="D130" s="58" t="s">
        <v>361</v>
      </c>
      <c r="E130" s="58" t="s">
        <v>910</v>
      </c>
    </row>
    <row r="131" spans="1:5" ht="12.75" x14ac:dyDescent="0.2">
      <c r="A131" s="58" t="s">
        <v>404</v>
      </c>
      <c r="B131" s="58" t="s">
        <v>164</v>
      </c>
      <c r="C131">
        <v>7</v>
      </c>
      <c r="D131" s="58" t="s">
        <v>361</v>
      </c>
      <c r="E131" s="58" t="s">
        <v>909</v>
      </c>
    </row>
    <row r="132" spans="1:5" ht="12.75" x14ac:dyDescent="0.2">
      <c r="A132" s="58" t="s">
        <v>404</v>
      </c>
      <c r="B132" s="58" t="s">
        <v>164</v>
      </c>
      <c r="C132">
        <v>1</v>
      </c>
      <c r="D132" s="58" t="s">
        <v>361</v>
      </c>
      <c r="E132" s="58" t="s">
        <v>910</v>
      </c>
    </row>
    <row r="133" spans="1:5" ht="12.75" x14ac:dyDescent="0.2">
      <c r="A133" s="58" t="s">
        <v>405</v>
      </c>
      <c r="B133" s="58" t="s">
        <v>400</v>
      </c>
      <c r="C133">
        <v>60</v>
      </c>
      <c r="D133" s="58" t="s">
        <v>361</v>
      </c>
      <c r="E133" s="58" t="s">
        <v>909</v>
      </c>
    </row>
    <row r="134" spans="1:5" ht="12.75" x14ac:dyDescent="0.2">
      <c r="A134" s="58" t="s">
        <v>405</v>
      </c>
      <c r="B134" s="58" t="s">
        <v>400</v>
      </c>
      <c r="C134">
        <v>12</v>
      </c>
      <c r="D134" s="58" t="s">
        <v>361</v>
      </c>
      <c r="E134" s="58" t="s">
        <v>910</v>
      </c>
    </row>
    <row r="135" spans="1:5" ht="12.75" x14ac:dyDescent="0.2">
      <c r="A135" s="58" t="s">
        <v>406</v>
      </c>
      <c r="B135" s="58" t="s">
        <v>402</v>
      </c>
      <c r="C135">
        <v>0</v>
      </c>
      <c r="D135" s="58" t="s">
        <v>361</v>
      </c>
      <c r="E135" s="58" t="s">
        <v>909</v>
      </c>
    </row>
    <row r="136" spans="1:5" ht="12.75" x14ac:dyDescent="0.2">
      <c r="A136" s="58" t="s">
        <v>406</v>
      </c>
      <c r="B136" s="58" t="s">
        <v>402</v>
      </c>
      <c r="C136">
        <v>0</v>
      </c>
      <c r="D136" s="58" t="s">
        <v>361</v>
      </c>
      <c r="E136" s="58" t="s">
        <v>910</v>
      </c>
    </row>
    <row r="137" spans="1:5" ht="12.75" x14ac:dyDescent="0.2">
      <c r="A137" s="58" t="s">
        <v>407</v>
      </c>
      <c r="B137" s="58" t="s">
        <v>175</v>
      </c>
      <c r="C137">
        <v>31500</v>
      </c>
      <c r="D137" s="58" t="s">
        <v>361</v>
      </c>
      <c r="E137" s="58" t="s">
        <v>909</v>
      </c>
    </row>
    <row r="138" spans="1:5" ht="12.75" x14ac:dyDescent="0.2">
      <c r="A138" s="58" t="s">
        <v>407</v>
      </c>
      <c r="B138" s="58" t="s">
        <v>175</v>
      </c>
      <c r="C138">
        <v>6300</v>
      </c>
      <c r="D138" s="58" t="s">
        <v>361</v>
      </c>
      <c r="E138" s="58" t="s">
        <v>910</v>
      </c>
    </row>
    <row r="139" spans="1:5" ht="12.75" x14ac:dyDescent="0.2">
      <c r="A139" s="58" t="s">
        <v>408</v>
      </c>
      <c r="B139" s="58" t="s">
        <v>165</v>
      </c>
      <c r="C139">
        <v>0</v>
      </c>
      <c r="D139" s="58" t="s">
        <v>361</v>
      </c>
      <c r="E139" s="58" t="s">
        <v>909</v>
      </c>
    </row>
    <row r="140" spans="1:5" ht="12.75" x14ac:dyDescent="0.2">
      <c r="A140" s="58" t="s">
        <v>408</v>
      </c>
      <c r="B140" s="58" t="s">
        <v>165</v>
      </c>
      <c r="C140">
        <v>0</v>
      </c>
      <c r="D140" s="58" t="s">
        <v>361</v>
      </c>
      <c r="E140" s="58" t="s">
        <v>910</v>
      </c>
    </row>
    <row r="141" spans="1:5" ht="12.75" x14ac:dyDescent="0.2">
      <c r="A141" s="58" t="s">
        <v>409</v>
      </c>
      <c r="B141" s="58" t="s">
        <v>166</v>
      </c>
      <c r="C141">
        <v>135</v>
      </c>
      <c r="D141" s="58" t="s">
        <v>361</v>
      </c>
      <c r="E141" s="58" t="s">
        <v>909</v>
      </c>
    </row>
    <row r="142" spans="1:5" ht="12.75" x14ac:dyDescent="0.2">
      <c r="A142" s="58" t="s">
        <v>409</v>
      </c>
      <c r="B142" s="58" t="s">
        <v>166</v>
      </c>
      <c r="C142">
        <v>27</v>
      </c>
      <c r="D142" s="58" t="s">
        <v>361</v>
      </c>
      <c r="E142" s="58" t="s">
        <v>910</v>
      </c>
    </row>
    <row r="143" spans="1:5" ht="12.75" x14ac:dyDescent="0.2">
      <c r="A143" s="58" t="s">
        <v>410</v>
      </c>
      <c r="B143" s="58" t="s">
        <v>167</v>
      </c>
      <c r="C143">
        <v>45</v>
      </c>
      <c r="D143" s="58" t="s">
        <v>361</v>
      </c>
      <c r="E143" s="58" t="s">
        <v>909</v>
      </c>
    </row>
    <row r="144" spans="1:5" ht="12.75" x14ac:dyDescent="0.2">
      <c r="A144" s="58" t="s">
        <v>410</v>
      </c>
      <c r="B144" s="58" t="s">
        <v>167</v>
      </c>
      <c r="C144">
        <v>9</v>
      </c>
      <c r="D144" s="58" t="s">
        <v>361</v>
      </c>
      <c r="E144" s="58" t="s">
        <v>910</v>
      </c>
    </row>
    <row r="145" spans="1:5" ht="12.75" x14ac:dyDescent="0.2">
      <c r="A145" s="58" t="s">
        <v>411</v>
      </c>
      <c r="B145" s="58" t="s">
        <v>168</v>
      </c>
      <c r="C145">
        <v>30</v>
      </c>
      <c r="D145" s="58" t="s">
        <v>361</v>
      </c>
      <c r="E145" s="58" t="s">
        <v>909</v>
      </c>
    </row>
    <row r="146" spans="1:5" ht="12.75" x14ac:dyDescent="0.2">
      <c r="A146" s="58" t="s">
        <v>411</v>
      </c>
      <c r="B146" s="58" t="s">
        <v>168</v>
      </c>
      <c r="C146">
        <v>6</v>
      </c>
      <c r="D146" s="58" t="s">
        <v>361</v>
      </c>
      <c r="E146" s="58" t="s">
        <v>910</v>
      </c>
    </row>
    <row r="147" spans="1:5" ht="12.75" x14ac:dyDescent="0.2">
      <c r="A147" s="58" t="s">
        <v>412</v>
      </c>
      <c r="B147" s="58" t="s">
        <v>169</v>
      </c>
      <c r="C147">
        <v>22</v>
      </c>
      <c r="D147" s="58" t="s">
        <v>361</v>
      </c>
      <c r="E147" s="58" t="s">
        <v>909</v>
      </c>
    </row>
    <row r="148" spans="1:5" ht="12.75" x14ac:dyDescent="0.2">
      <c r="A148" s="58" t="s">
        <v>412</v>
      </c>
      <c r="B148" s="58" t="s">
        <v>169</v>
      </c>
      <c r="C148">
        <v>4</v>
      </c>
      <c r="D148" s="58" t="s">
        <v>361</v>
      </c>
      <c r="E148" s="58" t="s">
        <v>910</v>
      </c>
    </row>
    <row r="149" spans="1:5" ht="12.75" x14ac:dyDescent="0.2">
      <c r="A149" s="58" t="s">
        <v>413</v>
      </c>
      <c r="B149" s="58" t="s">
        <v>170</v>
      </c>
      <c r="C149">
        <v>60</v>
      </c>
      <c r="D149" s="58" t="s">
        <v>361</v>
      </c>
      <c r="E149" s="58" t="s">
        <v>909</v>
      </c>
    </row>
    <row r="150" spans="1:5" ht="12.75" x14ac:dyDescent="0.2">
      <c r="A150" s="58" t="s">
        <v>413</v>
      </c>
      <c r="B150" s="58" t="s">
        <v>170</v>
      </c>
      <c r="C150">
        <v>12</v>
      </c>
      <c r="D150" s="58" t="s">
        <v>361</v>
      </c>
      <c r="E150" s="58" t="s">
        <v>910</v>
      </c>
    </row>
    <row r="151" spans="1:5" ht="12.75" x14ac:dyDescent="0.2">
      <c r="A151" s="58" t="s">
        <v>414</v>
      </c>
      <c r="B151" s="58" t="s">
        <v>171</v>
      </c>
      <c r="C151">
        <v>75</v>
      </c>
      <c r="D151" s="58" t="s">
        <v>361</v>
      </c>
      <c r="E151" s="58" t="s">
        <v>909</v>
      </c>
    </row>
    <row r="152" spans="1:5" ht="12.75" x14ac:dyDescent="0.2">
      <c r="A152" s="58" t="s">
        <v>414</v>
      </c>
      <c r="B152" s="58" t="s">
        <v>171</v>
      </c>
      <c r="C152">
        <v>15</v>
      </c>
      <c r="D152" s="58" t="s">
        <v>361</v>
      </c>
      <c r="E152" s="58" t="s">
        <v>910</v>
      </c>
    </row>
    <row r="153" spans="1:5" ht="12.75" x14ac:dyDescent="0.2">
      <c r="A153" s="58" t="s">
        <v>415</v>
      </c>
      <c r="B153" s="58" t="s">
        <v>172</v>
      </c>
      <c r="C153">
        <v>75</v>
      </c>
      <c r="D153" s="58" t="s">
        <v>361</v>
      </c>
      <c r="E153" s="58" t="s">
        <v>909</v>
      </c>
    </row>
    <row r="154" spans="1:5" ht="12.75" x14ac:dyDescent="0.2">
      <c r="A154" s="58" t="s">
        <v>415</v>
      </c>
      <c r="B154" s="58" t="s">
        <v>172</v>
      </c>
      <c r="C154">
        <v>15</v>
      </c>
      <c r="D154" s="58" t="s">
        <v>361</v>
      </c>
      <c r="E154" s="58" t="s">
        <v>910</v>
      </c>
    </row>
    <row r="155" spans="1:5" ht="12.75" x14ac:dyDescent="0.2">
      <c r="A155" s="58" t="s">
        <v>416</v>
      </c>
      <c r="B155" s="58" t="s">
        <v>173</v>
      </c>
      <c r="C155">
        <v>75</v>
      </c>
      <c r="D155" s="58" t="s">
        <v>361</v>
      </c>
      <c r="E155" s="58" t="s">
        <v>909</v>
      </c>
    </row>
    <row r="156" spans="1:5" ht="12.75" x14ac:dyDescent="0.2">
      <c r="A156" s="58" t="s">
        <v>416</v>
      </c>
      <c r="B156" s="58" t="s">
        <v>173</v>
      </c>
      <c r="C156">
        <v>15</v>
      </c>
      <c r="D156" s="58" t="s">
        <v>361</v>
      </c>
      <c r="E156" s="58" t="s">
        <v>910</v>
      </c>
    </row>
    <row r="157" spans="1:5" ht="12.75" x14ac:dyDescent="0.2">
      <c r="A157" s="58" t="s">
        <v>417</v>
      </c>
      <c r="B157" s="58" t="s">
        <v>174</v>
      </c>
      <c r="C157">
        <v>22</v>
      </c>
      <c r="D157" s="58" t="s">
        <v>361</v>
      </c>
      <c r="E157" s="58" t="s">
        <v>909</v>
      </c>
    </row>
    <row r="158" spans="1:5" ht="12.75" x14ac:dyDescent="0.2">
      <c r="A158" s="58" t="s">
        <v>417</v>
      </c>
      <c r="B158" s="58" t="s">
        <v>174</v>
      </c>
      <c r="C158">
        <v>4</v>
      </c>
      <c r="D158" s="58" t="s">
        <v>361</v>
      </c>
      <c r="E158" s="58" t="s">
        <v>910</v>
      </c>
    </row>
    <row r="159" spans="1:5" ht="12.75" x14ac:dyDescent="0.2">
      <c r="A159" s="58" t="s">
        <v>418</v>
      </c>
      <c r="B159" s="58" t="s">
        <v>176</v>
      </c>
      <c r="C159">
        <v>15</v>
      </c>
      <c r="D159" s="58" t="s">
        <v>361</v>
      </c>
      <c r="E159" s="58" t="s">
        <v>909</v>
      </c>
    </row>
    <row r="160" spans="1:5" ht="12.75" x14ac:dyDescent="0.2">
      <c r="A160" s="58" t="s">
        <v>418</v>
      </c>
      <c r="B160" s="58" t="s">
        <v>176</v>
      </c>
      <c r="C160">
        <v>3</v>
      </c>
      <c r="D160" s="58" t="s">
        <v>361</v>
      </c>
      <c r="E160" s="58" t="s">
        <v>910</v>
      </c>
    </row>
    <row r="161" spans="1:5" ht="12.75" x14ac:dyDescent="0.2">
      <c r="A161" s="58" t="s">
        <v>419</v>
      </c>
      <c r="B161" s="58" t="s">
        <v>177</v>
      </c>
      <c r="C161">
        <v>4</v>
      </c>
      <c r="D161" s="58" t="s">
        <v>361</v>
      </c>
      <c r="E161" s="58" t="s">
        <v>909</v>
      </c>
    </row>
    <row r="162" spans="1:5" ht="12.75" x14ac:dyDescent="0.2">
      <c r="A162" s="58" t="s">
        <v>419</v>
      </c>
      <c r="B162" s="58" t="s">
        <v>177</v>
      </c>
      <c r="C162">
        <v>0</v>
      </c>
      <c r="D162" s="58" t="s">
        <v>361</v>
      </c>
      <c r="E162" s="58" t="s">
        <v>910</v>
      </c>
    </row>
    <row r="163" spans="1:5" ht="12.75" x14ac:dyDescent="0.2">
      <c r="A163" s="58" t="s">
        <v>420</v>
      </c>
      <c r="B163" s="58" t="s">
        <v>178</v>
      </c>
      <c r="C163">
        <v>4</v>
      </c>
      <c r="D163" s="58" t="s">
        <v>361</v>
      </c>
      <c r="E163" s="58" t="s">
        <v>909</v>
      </c>
    </row>
    <row r="164" spans="1:5" ht="12.75" x14ac:dyDescent="0.2">
      <c r="A164" s="58" t="s">
        <v>420</v>
      </c>
      <c r="B164" s="58" t="s">
        <v>178</v>
      </c>
      <c r="C164">
        <v>0</v>
      </c>
      <c r="D164" s="58" t="s">
        <v>361</v>
      </c>
      <c r="E164" s="58" t="s">
        <v>910</v>
      </c>
    </row>
    <row r="165" spans="1:5" ht="12.75" x14ac:dyDescent="0.2">
      <c r="A165" s="58" t="s">
        <v>421</v>
      </c>
      <c r="B165" s="58" t="s">
        <v>179</v>
      </c>
      <c r="C165">
        <v>22</v>
      </c>
      <c r="D165" s="58" t="s">
        <v>361</v>
      </c>
      <c r="E165" s="58" t="s">
        <v>909</v>
      </c>
    </row>
    <row r="166" spans="1:5" ht="12.75" x14ac:dyDescent="0.2">
      <c r="A166" s="58" t="s">
        <v>421</v>
      </c>
      <c r="B166" s="58" t="s">
        <v>179</v>
      </c>
      <c r="C166">
        <v>4</v>
      </c>
      <c r="D166" s="58" t="s">
        <v>361</v>
      </c>
      <c r="E166" s="58" t="s">
        <v>910</v>
      </c>
    </row>
    <row r="167" spans="1:5" ht="12.75" x14ac:dyDescent="0.2">
      <c r="A167" s="58" t="s">
        <v>422</v>
      </c>
      <c r="B167" s="58" t="s">
        <v>180</v>
      </c>
      <c r="C167">
        <v>7</v>
      </c>
      <c r="D167" s="58" t="s">
        <v>361</v>
      </c>
      <c r="E167" s="58" t="s">
        <v>909</v>
      </c>
    </row>
    <row r="168" spans="1:5" ht="12.75" x14ac:dyDescent="0.2">
      <c r="A168" s="58" t="s">
        <v>422</v>
      </c>
      <c r="B168" s="58" t="s">
        <v>180</v>
      </c>
      <c r="C168">
        <v>1</v>
      </c>
      <c r="D168" s="58" t="s">
        <v>361</v>
      </c>
      <c r="E168" s="58" t="s">
        <v>910</v>
      </c>
    </row>
    <row r="169" spans="1:5" ht="12.75" x14ac:dyDescent="0.2">
      <c r="A169" s="58" t="s">
        <v>423</v>
      </c>
      <c r="B169" s="58" t="s">
        <v>181</v>
      </c>
      <c r="C169">
        <v>3</v>
      </c>
      <c r="D169" s="58" t="s">
        <v>361</v>
      </c>
      <c r="E169" s="58" t="s">
        <v>909</v>
      </c>
    </row>
    <row r="170" spans="1:5" ht="12.75" x14ac:dyDescent="0.2">
      <c r="A170" s="58" t="s">
        <v>423</v>
      </c>
      <c r="B170" s="58" t="s">
        <v>181</v>
      </c>
      <c r="C170">
        <v>0</v>
      </c>
      <c r="D170" s="58" t="s">
        <v>361</v>
      </c>
      <c r="E170" s="58" t="s">
        <v>910</v>
      </c>
    </row>
    <row r="171" spans="1:5" ht="12.75" x14ac:dyDescent="0.2">
      <c r="A171" s="58" t="s">
        <v>424</v>
      </c>
      <c r="B171" s="58" t="s">
        <v>182</v>
      </c>
      <c r="C171">
        <v>60</v>
      </c>
      <c r="D171" s="58" t="s">
        <v>361</v>
      </c>
      <c r="E171" s="58" t="s">
        <v>909</v>
      </c>
    </row>
    <row r="172" spans="1:5" ht="12.75" x14ac:dyDescent="0.2">
      <c r="A172" s="58" t="s">
        <v>424</v>
      </c>
      <c r="B172" s="58" t="s">
        <v>182</v>
      </c>
      <c r="C172">
        <v>12</v>
      </c>
      <c r="D172" s="58" t="s">
        <v>361</v>
      </c>
      <c r="E172" s="58" t="s">
        <v>910</v>
      </c>
    </row>
    <row r="173" spans="1:5" ht="12.75" x14ac:dyDescent="0.2">
      <c r="A173" s="58" t="s">
        <v>425</v>
      </c>
      <c r="B173" s="58" t="s">
        <v>183</v>
      </c>
      <c r="C173">
        <v>7</v>
      </c>
      <c r="D173" s="58" t="s">
        <v>361</v>
      </c>
      <c r="E173" s="58" t="s">
        <v>909</v>
      </c>
    </row>
    <row r="174" spans="1:5" ht="12.75" x14ac:dyDescent="0.2">
      <c r="A174" s="58" t="s">
        <v>425</v>
      </c>
      <c r="B174" s="58" t="s">
        <v>183</v>
      </c>
      <c r="C174">
        <v>1</v>
      </c>
      <c r="D174" s="58" t="s">
        <v>361</v>
      </c>
      <c r="E174" s="58" t="s">
        <v>910</v>
      </c>
    </row>
    <row r="175" spans="1:5" ht="12.75" x14ac:dyDescent="0.2">
      <c r="A175" s="58" t="s">
        <v>426</v>
      </c>
      <c r="B175" s="58" t="s">
        <v>184</v>
      </c>
      <c r="C175">
        <v>4</v>
      </c>
      <c r="D175" s="58" t="s">
        <v>361</v>
      </c>
      <c r="E175" s="58" t="s">
        <v>909</v>
      </c>
    </row>
    <row r="176" spans="1:5" ht="12.75" x14ac:dyDescent="0.2">
      <c r="A176" s="58" t="s">
        <v>426</v>
      </c>
      <c r="B176" s="58" t="s">
        <v>184</v>
      </c>
      <c r="C176">
        <v>0</v>
      </c>
      <c r="D176" s="58" t="s">
        <v>361</v>
      </c>
      <c r="E176" s="58" t="s">
        <v>910</v>
      </c>
    </row>
    <row r="177" spans="1:5" ht="12.75" x14ac:dyDescent="0.2">
      <c r="A177" s="58" t="s">
        <v>427</v>
      </c>
      <c r="B177" s="58" t="s">
        <v>185</v>
      </c>
      <c r="C177">
        <v>15</v>
      </c>
      <c r="D177" s="58" t="s">
        <v>361</v>
      </c>
      <c r="E177" s="58" t="s">
        <v>909</v>
      </c>
    </row>
    <row r="178" spans="1:5" ht="12.75" x14ac:dyDescent="0.2">
      <c r="A178" s="58" t="s">
        <v>427</v>
      </c>
      <c r="B178" s="58" t="s">
        <v>185</v>
      </c>
      <c r="C178">
        <v>3</v>
      </c>
      <c r="D178" s="58" t="s">
        <v>361</v>
      </c>
      <c r="E178" s="58" t="s">
        <v>910</v>
      </c>
    </row>
    <row r="179" spans="1:5" ht="12.75" x14ac:dyDescent="0.2">
      <c r="A179" s="58" t="s">
        <v>428</v>
      </c>
      <c r="B179" s="58" t="s">
        <v>186</v>
      </c>
      <c r="C179">
        <v>4</v>
      </c>
      <c r="D179" s="58" t="s">
        <v>361</v>
      </c>
      <c r="E179" s="58" t="s">
        <v>909</v>
      </c>
    </row>
    <row r="180" spans="1:5" ht="12.75" x14ac:dyDescent="0.2">
      <c r="A180" s="58" t="s">
        <v>428</v>
      </c>
      <c r="B180" s="58" t="s">
        <v>186</v>
      </c>
      <c r="C180">
        <v>0</v>
      </c>
      <c r="D180" s="58" t="s">
        <v>361</v>
      </c>
      <c r="E180" s="58" t="s">
        <v>910</v>
      </c>
    </row>
    <row r="181" spans="1:5" ht="12.75" x14ac:dyDescent="0.2">
      <c r="A181" s="58" t="s">
        <v>429</v>
      </c>
      <c r="B181" s="58" t="s">
        <v>187</v>
      </c>
      <c r="C181">
        <v>22</v>
      </c>
      <c r="D181" s="58" t="s">
        <v>361</v>
      </c>
      <c r="E181" s="58" t="s">
        <v>909</v>
      </c>
    </row>
    <row r="182" spans="1:5" ht="12.75" x14ac:dyDescent="0.2">
      <c r="A182" s="58" t="s">
        <v>429</v>
      </c>
      <c r="B182" s="58" t="s">
        <v>187</v>
      </c>
      <c r="C182">
        <v>4</v>
      </c>
      <c r="D182" s="58" t="s">
        <v>361</v>
      </c>
      <c r="E182" s="58" t="s">
        <v>910</v>
      </c>
    </row>
    <row r="183" spans="1:5" ht="12.75" x14ac:dyDescent="0.2">
      <c r="A183" s="58" t="s">
        <v>430</v>
      </c>
      <c r="B183" s="58" t="s">
        <v>188</v>
      </c>
      <c r="C183">
        <v>3</v>
      </c>
      <c r="D183" s="58" t="s">
        <v>361</v>
      </c>
      <c r="E183" s="58" t="s">
        <v>909</v>
      </c>
    </row>
    <row r="184" spans="1:5" ht="12.75" x14ac:dyDescent="0.2">
      <c r="A184" s="58" t="s">
        <v>430</v>
      </c>
      <c r="B184" s="58" t="s">
        <v>188</v>
      </c>
      <c r="C184">
        <v>0</v>
      </c>
      <c r="D184" s="58" t="s">
        <v>361</v>
      </c>
      <c r="E184" s="58" t="s">
        <v>910</v>
      </c>
    </row>
    <row r="185" spans="1:5" ht="12.75" x14ac:dyDescent="0.2">
      <c r="A185" s="58" t="s">
        <v>431</v>
      </c>
      <c r="B185" s="58" t="s">
        <v>189</v>
      </c>
      <c r="C185">
        <v>61</v>
      </c>
      <c r="D185" s="58" t="s">
        <v>361</v>
      </c>
      <c r="E185" s="58" t="s">
        <v>909</v>
      </c>
    </row>
    <row r="186" spans="1:5" ht="12.75" x14ac:dyDescent="0.2">
      <c r="A186" s="58" t="s">
        <v>431</v>
      </c>
      <c r="B186" s="58" t="s">
        <v>189</v>
      </c>
      <c r="C186">
        <v>12</v>
      </c>
      <c r="D186" s="58" t="s">
        <v>361</v>
      </c>
      <c r="E186" s="58" t="s">
        <v>910</v>
      </c>
    </row>
    <row r="187" spans="1:5" ht="12.75" x14ac:dyDescent="0.2">
      <c r="A187" s="58" t="s">
        <v>432</v>
      </c>
      <c r="B187" s="58" t="s">
        <v>190</v>
      </c>
      <c r="C187">
        <v>450</v>
      </c>
      <c r="D187" s="58" t="s">
        <v>361</v>
      </c>
      <c r="E187" s="58" t="s">
        <v>909</v>
      </c>
    </row>
    <row r="188" spans="1:5" ht="12.75" x14ac:dyDescent="0.2">
      <c r="A188" s="58" t="s">
        <v>432</v>
      </c>
      <c r="B188" s="58" t="s">
        <v>190</v>
      </c>
      <c r="C188">
        <v>90</v>
      </c>
      <c r="D188" s="58" t="s">
        <v>361</v>
      </c>
      <c r="E188" s="58" t="s">
        <v>910</v>
      </c>
    </row>
    <row r="189" spans="1:5" ht="12.75" x14ac:dyDescent="0.2">
      <c r="A189" s="58" t="s">
        <v>433</v>
      </c>
      <c r="B189" s="58" t="s">
        <v>191</v>
      </c>
      <c r="C189">
        <v>60</v>
      </c>
      <c r="D189" s="58" t="s">
        <v>361</v>
      </c>
      <c r="E189" s="58" t="s">
        <v>909</v>
      </c>
    </row>
    <row r="190" spans="1:5" ht="12.75" x14ac:dyDescent="0.2">
      <c r="A190" s="58" t="s">
        <v>433</v>
      </c>
      <c r="B190" s="58" t="s">
        <v>191</v>
      </c>
      <c r="C190">
        <v>12</v>
      </c>
      <c r="D190" s="58" t="s">
        <v>361</v>
      </c>
      <c r="E190" s="58" t="s">
        <v>910</v>
      </c>
    </row>
    <row r="191" spans="1:5" ht="12.75" x14ac:dyDescent="0.2">
      <c r="A191" s="58" t="s">
        <v>434</v>
      </c>
      <c r="B191" s="58" t="s">
        <v>192</v>
      </c>
      <c r="C191">
        <v>0</v>
      </c>
      <c r="D191" s="58" t="s">
        <v>361</v>
      </c>
      <c r="E191" s="58" t="s">
        <v>909</v>
      </c>
    </row>
    <row r="192" spans="1:5" ht="12.75" x14ac:dyDescent="0.2">
      <c r="A192" s="58" t="s">
        <v>434</v>
      </c>
      <c r="B192" s="58" t="s">
        <v>192</v>
      </c>
      <c r="C192">
        <v>0</v>
      </c>
      <c r="D192" s="58" t="s">
        <v>361</v>
      </c>
      <c r="E192" s="58" t="s">
        <v>910</v>
      </c>
    </row>
    <row r="193" spans="1:5" ht="12.75" x14ac:dyDescent="0.2">
      <c r="A193" s="58" t="s">
        <v>435</v>
      </c>
      <c r="B193" s="58" t="s">
        <v>193</v>
      </c>
      <c r="C193">
        <v>337</v>
      </c>
      <c r="D193" s="58" t="s">
        <v>361</v>
      </c>
      <c r="E193" s="58" t="s">
        <v>909</v>
      </c>
    </row>
    <row r="194" spans="1:5" ht="12.75" x14ac:dyDescent="0.2">
      <c r="A194" s="58" t="s">
        <v>435</v>
      </c>
      <c r="B194" s="58" t="s">
        <v>193</v>
      </c>
      <c r="C194">
        <v>67</v>
      </c>
      <c r="D194" s="58" t="s">
        <v>361</v>
      </c>
      <c r="E194" s="58" t="s">
        <v>910</v>
      </c>
    </row>
    <row r="195" spans="1:5" ht="12.75" x14ac:dyDescent="0.2">
      <c r="A195" s="58" t="s">
        <v>437</v>
      </c>
      <c r="B195" s="58" t="s">
        <v>194</v>
      </c>
      <c r="C195">
        <v>75</v>
      </c>
      <c r="D195" s="58" t="s">
        <v>361</v>
      </c>
      <c r="E195" s="58" t="s">
        <v>909</v>
      </c>
    </row>
    <row r="196" spans="1:5" ht="12.75" x14ac:dyDescent="0.2">
      <c r="A196" s="58" t="s">
        <v>437</v>
      </c>
      <c r="B196" s="58" t="s">
        <v>194</v>
      </c>
      <c r="C196">
        <v>15</v>
      </c>
      <c r="D196" s="58" t="s">
        <v>361</v>
      </c>
      <c r="E196" s="58" t="s">
        <v>910</v>
      </c>
    </row>
    <row r="197" spans="1:5" ht="12.75" x14ac:dyDescent="0.2">
      <c r="A197" s="58" t="s">
        <v>438</v>
      </c>
      <c r="B197" s="58" t="s">
        <v>195</v>
      </c>
      <c r="C197">
        <v>67</v>
      </c>
      <c r="D197" s="58" t="s">
        <v>361</v>
      </c>
      <c r="E197" s="58" t="s">
        <v>909</v>
      </c>
    </row>
    <row r="198" spans="1:5" ht="12.75" x14ac:dyDescent="0.2">
      <c r="A198" s="58" t="s">
        <v>438</v>
      </c>
      <c r="B198" s="58" t="s">
        <v>195</v>
      </c>
      <c r="C198">
        <v>13</v>
      </c>
      <c r="D198" s="58" t="s">
        <v>361</v>
      </c>
      <c r="E198" s="58" t="s">
        <v>910</v>
      </c>
    </row>
    <row r="199" spans="1:5" ht="12.75" x14ac:dyDescent="0.2">
      <c r="A199" s="58" t="s">
        <v>439</v>
      </c>
      <c r="B199" s="58" t="s">
        <v>922</v>
      </c>
      <c r="C199">
        <v>105</v>
      </c>
      <c r="D199" s="58" t="s">
        <v>361</v>
      </c>
      <c r="E199" s="58" t="s">
        <v>909</v>
      </c>
    </row>
    <row r="200" spans="1:5" ht="12.75" x14ac:dyDescent="0.2">
      <c r="A200" s="58" t="s">
        <v>439</v>
      </c>
      <c r="B200" s="58" t="s">
        <v>922</v>
      </c>
      <c r="C200">
        <v>21</v>
      </c>
      <c r="D200" s="58" t="s">
        <v>361</v>
      </c>
      <c r="E200" s="58" t="s">
        <v>910</v>
      </c>
    </row>
    <row r="201" spans="1:5" ht="12.75" x14ac:dyDescent="0.2">
      <c r="A201" s="58" t="s">
        <v>440</v>
      </c>
      <c r="B201" s="58" t="s">
        <v>436</v>
      </c>
      <c r="C201">
        <v>180</v>
      </c>
      <c r="D201" s="58" t="s">
        <v>361</v>
      </c>
      <c r="E201" s="58" t="s">
        <v>909</v>
      </c>
    </row>
    <row r="202" spans="1:5" ht="12.75" x14ac:dyDescent="0.2">
      <c r="A202" s="58" t="s">
        <v>440</v>
      </c>
      <c r="B202" s="58" t="s">
        <v>436</v>
      </c>
      <c r="C202">
        <v>36</v>
      </c>
      <c r="D202" s="58" t="s">
        <v>361</v>
      </c>
      <c r="E202" s="58" t="s">
        <v>910</v>
      </c>
    </row>
    <row r="203" spans="1:5" ht="12.75" x14ac:dyDescent="0.2">
      <c r="A203" s="58" t="s">
        <v>441</v>
      </c>
      <c r="B203" s="58" t="s">
        <v>196</v>
      </c>
      <c r="C203">
        <v>15</v>
      </c>
      <c r="D203" s="58" t="s">
        <v>361</v>
      </c>
      <c r="E203" s="58" t="s">
        <v>909</v>
      </c>
    </row>
    <row r="204" spans="1:5" ht="12.75" x14ac:dyDescent="0.2">
      <c r="A204" s="58" t="s">
        <v>441</v>
      </c>
      <c r="B204" s="58" t="s">
        <v>196</v>
      </c>
      <c r="C204">
        <v>3</v>
      </c>
      <c r="D204" s="58" t="s">
        <v>361</v>
      </c>
      <c r="E204" s="58" t="s">
        <v>910</v>
      </c>
    </row>
    <row r="205" spans="1:5" ht="12.75" x14ac:dyDescent="0.2">
      <c r="A205" s="58" t="s">
        <v>442</v>
      </c>
      <c r="B205" s="58" t="s">
        <v>197</v>
      </c>
      <c r="C205">
        <v>15</v>
      </c>
      <c r="D205" s="58" t="s">
        <v>361</v>
      </c>
      <c r="E205" s="58" t="s">
        <v>909</v>
      </c>
    </row>
    <row r="206" spans="1:5" ht="12.75" x14ac:dyDescent="0.2">
      <c r="A206" s="58" t="s">
        <v>442</v>
      </c>
      <c r="B206" s="58" t="s">
        <v>197</v>
      </c>
      <c r="C206">
        <v>3</v>
      </c>
      <c r="D206" s="58" t="s">
        <v>361</v>
      </c>
      <c r="E206" s="58" t="s">
        <v>910</v>
      </c>
    </row>
    <row r="207" spans="1:5" ht="12.75" x14ac:dyDescent="0.2">
      <c r="A207" s="58" t="s">
        <v>443</v>
      </c>
      <c r="B207" s="58" t="s">
        <v>198</v>
      </c>
      <c r="C207">
        <v>15</v>
      </c>
      <c r="D207" s="58" t="s">
        <v>361</v>
      </c>
      <c r="E207" s="58" t="s">
        <v>909</v>
      </c>
    </row>
    <row r="208" spans="1:5" ht="12.75" x14ac:dyDescent="0.2">
      <c r="A208" s="58" t="s">
        <v>443</v>
      </c>
      <c r="B208" s="58" t="s">
        <v>198</v>
      </c>
      <c r="C208">
        <v>3</v>
      </c>
      <c r="D208" s="58" t="s">
        <v>361</v>
      </c>
      <c r="E208" s="58" t="s">
        <v>910</v>
      </c>
    </row>
    <row r="209" spans="1:5" ht="12.75" x14ac:dyDescent="0.2">
      <c r="A209" s="58" t="s">
        <v>444</v>
      </c>
      <c r="B209" s="58" t="s">
        <v>199</v>
      </c>
      <c r="C209">
        <v>45</v>
      </c>
      <c r="D209" s="58" t="s">
        <v>361</v>
      </c>
      <c r="E209" s="58" t="s">
        <v>909</v>
      </c>
    </row>
    <row r="210" spans="1:5" ht="12.75" x14ac:dyDescent="0.2">
      <c r="A210" s="58" t="s">
        <v>444</v>
      </c>
      <c r="B210" s="58" t="s">
        <v>199</v>
      </c>
      <c r="C210">
        <v>9</v>
      </c>
      <c r="D210" s="58" t="s">
        <v>361</v>
      </c>
      <c r="E210" s="58" t="s">
        <v>910</v>
      </c>
    </row>
    <row r="211" spans="1:5" ht="12.75" x14ac:dyDescent="0.2">
      <c r="A211" s="58" t="s">
        <v>445</v>
      </c>
      <c r="B211" s="58" t="s">
        <v>200</v>
      </c>
      <c r="C211">
        <v>75</v>
      </c>
      <c r="D211" s="58" t="s">
        <v>361</v>
      </c>
      <c r="E211" s="58" t="s">
        <v>909</v>
      </c>
    </row>
    <row r="212" spans="1:5" ht="12.75" x14ac:dyDescent="0.2">
      <c r="A212" s="58" t="s">
        <v>445</v>
      </c>
      <c r="B212" s="58" t="s">
        <v>200</v>
      </c>
      <c r="C212">
        <v>15</v>
      </c>
      <c r="D212" s="58" t="s">
        <v>361</v>
      </c>
      <c r="E212" s="58" t="s">
        <v>910</v>
      </c>
    </row>
    <row r="213" spans="1:5" ht="12.75" x14ac:dyDescent="0.2">
      <c r="A213" s="58" t="s">
        <v>447</v>
      </c>
      <c r="B213" s="58" t="s">
        <v>201</v>
      </c>
      <c r="C213">
        <v>30</v>
      </c>
      <c r="D213" s="58" t="s">
        <v>361</v>
      </c>
      <c r="E213" s="58" t="s">
        <v>909</v>
      </c>
    </row>
    <row r="214" spans="1:5" ht="12.75" x14ac:dyDescent="0.2">
      <c r="A214" s="58" t="s">
        <v>447</v>
      </c>
      <c r="B214" s="58" t="s">
        <v>201</v>
      </c>
      <c r="C214">
        <v>6</v>
      </c>
      <c r="D214" s="58" t="s">
        <v>361</v>
      </c>
      <c r="E214" s="58" t="s">
        <v>910</v>
      </c>
    </row>
    <row r="215" spans="1:5" ht="12.75" x14ac:dyDescent="0.2">
      <c r="A215" s="58" t="s">
        <v>448</v>
      </c>
      <c r="B215" s="58" t="s">
        <v>202</v>
      </c>
      <c r="C215">
        <v>30</v>
      </c>
      <c r="D215" s="58" t="s">
        <v>361</v>
      </c>
      <c r="E215" s="58" t="s">
        <v>909</v>
      </c>
    </row>
    <row r="216" spans="1:5" ht="12.75" x14ac:dyDescent="0.2">
      <c r="A216" s="58" t="s">
        <v>448</v>
      </c>
      <c r="B216" s="58" t="s">
        <v>202</v>
      </c>
      <c r="C216">
        <v>6</v>
      </c>
      <c r="D216" s="58" t="s">
        <v>361</v>
      </c>
      <c r="E216" s="58" t="s">
        <v>910</v>
      </c>
    </row>
    <row r="217" spans="1:5" ht="12.75" x14ac:dyDescent="0.2">
      <c r="A217" s="58" t="s">
        <v>449</v>
      </c>
      <c r="B217" s="58" t="s">
        <v>203</v>
      </c>
      <c r="C217">
        <v>0</v>
      </c>
      <c r="D217" s="58" t="s">
        <v>361</v>
      </c>
      <c r="E217" s="58" t="s">
        <v>909</v>
      </c>
    </row>
    <row r="218" spans="1:5" ht="12.75" x14ac:dyDescent="0.2">
      <c r="A218" s="58" t="s">
        <v>449</v>
      </c>
      <c r="B218" s="58" t="s">
        <v>203</v>
      </c>
      <c r="C218">
        <v>0</v>
      </c>
      <c r="D218" s="58" t="s">
        <v>361</v>
      </c>
      <c r="E218" s="58" t="s">
        <v>910</v>
      </c>
    </row>
    <row r="219" spans="1:5" ht="12.75" x14ac:dyDescent="0.2">
      <c r="A219" s="58" t="s">
        <v>450</v>
      </c>
      <c r="B219" s="58" t="s">
        <v>204</v>
      </c>
      <c r="C219">
        <v>22</v>
      </c>
      <c r="D219" s="58" t="s">
        <v>361</v>
      </c>
      <c r="E219" s="58" t="s">
        <v>909</v>
      </c>
    </row>
    <row r="220" spans="1:5" ht="12.75" x14ac:dyDescent="0.2">
      <c r="A220" s="58" t="s">
        <v>450</v>
      </c>
      <c r="B220" s="58" t="s">
        <v>204</v>
      </c>
      <c r="C220">
        <v>4</v>
      </c>
      <c r="D220" s="58" t="s">
        <v>361</v>
      </c>
      <c r="E220" s="58" t="s">
        <v>910</v>
      </c>
    </row>
    <row r="221" spans="1:5" ht="12.75" x14ac:dyDescent="0.2">
      <c r="A221" s="58" t="s">
        <v>451</v>
      </c>
      <c r="B221" s="58" t="s">
        <v>205</v>
      </c>
      <c r="C221">
        <v>37</v>
      </c>
      <c r="D221" s="58" t="s">
        <v>361</v>
      </c>
      <c r="E221" s="58" t="s">
        <v>909</v>
      </c>
    </row>
    <row r="222" spans="1:5" ht="12.75" x14ac:dyDescent="0.2">
      <c r="A222" s="58" t="s">
        <v>451</v>
      </c>
      <c r="B222" s="58" t="s">
        <v>205</v>
      </c>
      <c r="C222">
        <v>7</v>
      </c>
      <c r="D222" s="58" t="s">
        <v>361</v>
      </c>
      <c r="E222" s="58" t="s">
        <v>910</v>
      </c>
    </row>
    <row r="223" spans="1:5" ht="12.75" x14ac:dyDescent="0.2">
      <c r="A223" s="58" t="s">
        <v>452</v>
      </c>
      <c r="B223" s="58" t="s">
        <v>206</v>
      </c>
      <c r="C223">
        <v>60</v>
      </c>
      <c r="D223" s="58" t="s">
        <v>361</v>
      </c>
      <c r="E223" s="58" t="s">
        <v>909</v>
      </c>
    </row>
    <row r="224" spans="1:5" ht="12.75" x14ac:dyDescent="0.2">
      <c r="A224" s="58" t="s">
        <v>452</v>
      </c>
      <c r="B224" s="58" t="s">
        <v>206</v>
      </c>
      <c r="C224">
        <v>12</v>
      </c>
      <c r="D224" s="58" t="s">
        <v>361</v>
      </c>
      <c r="E224" s="58" t="s">
        <v>910</v>
      </c>
    </row>
    <row r="225" spans="1:5" ht="12.75" x14ac:dyDescent="0.2">
      <c r="A225" s="58" t="s">
        <v>453</v>
      </c>
      <c r="B225" s="58" t="s">
        <v>207</v>
      </c>
      <c r="C225">
        <v>0</v>
      </c>
      <c r="D225" s="58" t="s">
        <v>361</v>
      </c>
      <c r="E225" s="58" t="s">
        <v>909</v>
      </c>
    </row>
    <row r="226" spans="1:5" ht="12.75" x14ac:dyDescent="0.2">
      <c r="A226" s="58" t="s">
        <v>453</v>
      </c>
      <c r="B226" s="58" t="s">
        <v>207</v>
      </c>
      <c r="C226">
        <v>0</v>
      </c>
      <c r="D226" s="58" t="s">
        <v>361</v>
      </c>
      <c r="E226" s="58" t="s">
        <v>910</v>
      </c>
    </row>
    <row r="227" spans="1:5" ht="12.75" x14ac:dyDescent="0.2">
      <c r="A227" s="58" t="s">
        <v>454</v>
      </c>
      <c r="B227" s="58" t="s">
        <v>208</v>
      </c>
      <c r="C227">
        <v>60</v>
      </c>
      <c r="D227" s="58" t="s">
        <v>361</v>
      </c>
      <c r="E227" s="58" t="s">
        <v>909</v>
      </c>
    </row>
    <row r="228" spans="1:5" ht="12.75" x14ac:dyDescent="0.2">
      <c r="A228" s="58" t="s">
        <v>454</v>
      </c>
      <c r="B228" s="58" t="s">
        <v>208</v>
      </c>
      <c r="C228">
        <v>12</v>
      </c>
      <c r="D228" s="58" t="s">
        <v>361</v>
      </c>
      <c r="E228" s="58" t="s">
        <v>910</v>
      </c>
    </row>
    <row r="229" spans="1:5" ht="12.75" x14ac:dyDescent="0.2">
      <c r="A229" s="58" t="s">
        <v>455</v>
      </c>
      <c r="B229" s="58" t="s">
        <v>209</v>
      </c>
      <c r="C229">
        <v>0</v>
      </c>
      <c r="D229" s="58" t="s">
        <v>361</v>
      </c>
      <c r="E229" s="58" t="s">
        <v>909</v>
      </c>
    </row>
    <row r="230" spans="1:5" ht="12.75" x14ac:dyDescent="0.2">
      <c r="A230" s="58" t="s">
        <v>455</v>
      </c>
      <c r="B230" s="58" t="s">
        <v>209</v>
      </c>
      <c r="C230">
        <v>0</v>
      </c>
      <c r="D230" s="58" t="s">
        <v>361</v>
      </c>
      <c r="E230" s="58" t="s">
        <v>910</v>
      </c>
    </row>
    <row r="231" spans="1:5" ht="12.75" x14ac:dyDescent="0.2">
      <c r="A231" s="58" t="s">
        <v>456</v>
      </c>
      <c r="B231" s="58" t="s">
        <v>210</v>
      </c>
      <c r="C231">
        <v>42</v>
      </c>
      <c r="D231" s="58" t="s">
        <v>361</v>
      </c>
      <c r="E231" s="58" t="s">
        <v>909</v>
      </c>
    </row>
    <row r="232" spans="1:5" ht="12.75" x14ac:dyDescent="0.2">
      <c r="A232" s="58" t="s">
        <v>456</v>
      </c>
      <c r="B232" s="58" t="s">
        <v>210</v>
      </c>
      <c r="C232">
        <v>8</v>
      </c>
      <c r="D232" s="58" t="s">
        <v>361</v>
      </c>
      <c r="E232" s="58" t="s">
        <v>910</v>
      </c>
    </row>
    <row r="233" spans="1:5" ht="12.75" x14ac:dyDescent="0.2">
      <c r="A233" s="58" t="s">
        <v>457</v>
      </c>
      <c r="B233" s="58" t="s">
        <v>211</v>
      </c>
      <c r="C233">
        <v>7</v>
      </c>
      <c r="D233" s="58" t="s">
        <v>361</v>
      </c>
      <c r="E233" s="58" t="s">
        <v>909</v>
      </c>
    </row>
    <row r="234" spans="1:5" ht="12.75" x14ac:dyDescent="0.2">
      <c r="A234" s="58" t="s">
        <v>457</v>
      </c>
      <c r="B234" s="58" t="s">
        <v>211</v>
      </c>
      <c r="C234">
        <v>1</v>
      </c>
      <c r="D234" s="58" t="s">
        <v>361</v>
      </c>
      <c r="E234" s="58" t="s">
        <v>910</v>
      </c>
    </row>
    <row r="235" spans="1:5" ht="12.75" x14ac:dyDescent="0.2">
      <c r="A235" s="58" t="s">
        <v>459</v>
      </c>
      <c r="B235" s="58" t="s">
        <v>731</v>
      </c>
      <c r="C235">
        <v>15</v>
      </c>
      <c r="D235" s="58" t="s">
        <v>361</v>
      </c>
      <c r="E235" s="58" t="s">
        <v>909</v>
      </c>
    </row>
    <row r="236" spans="1:5" ht="12.75" x14ac:dyDescent="0.2">
      <c r="A236" s="58" t="s">
        <v>459</v>
      </c>
      <c r="B236" s="58" t="s">
        <v>731</v>
      </c>
      <c r="C236">
        <v>3</v>
      </c>
      <c r="D236" s="58" t="s">
        <v>361</v>
      </c>
      <c r="E236" s="58" t="s">
        <v>910</v>
      </c>
    </row>
    <row r="237" spans="1:5" ht="12.75" x14ac:dyDescent="0.2">
      <c r="A237" s="58" t="s">
        <v>460</v>
      </c>
      <c r="B237" s="58" t="s">
        <v>732</v>
      </c>
      <c r="C237">
        <v>14</v>
      </c>
      <c r="D237" s="58" t="s">
        <v>361</v>
      </c>
      <c r="E237" s="58" t="s">
        <v>909</v>
      </c>
    </row>
    <row r="238" spans="1:5" ht="12.75" x14ac:dyDescent="0.2">
      <c r="A238" s="58" t="s">
        <v>460</v>
      </c>
      <c r="B238" s="58" t="s">
        <v>732</v>
      </c>
      <c r="C238">
        <v>2</v>
      </c>
      <c r="D238" s="58" t="s">
        <v>361</v>
      </c>
      <c r="E238" s="58" t="s">
        <v>910</v>
      </c>
    </row>
    <row r="239" spans="1:5" ht="12.75" x14ac:dyDescent="0.2">
      <c r="A239" s="58" t="s">
        <v>461</v>
      </c>
      <c r="B239" s="58" t="s">
        <v>733</v>
      </c>
      <c r="C239">
        <v>0</v>
      </c>
      <c r="D239" s="58" t="s">
        <v>361</v>
      </c>
      <c r="E239" s="58" t="s">
        <v>909</v>
      </c>
    </row>
    <row r="240" spans="1:5" ht="12.75" x14ac:dyDescent="0.2">
      <c r="A240" s="58" t="s">
        <v>461</v>
      </c>
      <c r="B240" s="58" t="s">
        <v>733</v>
      </c>
      <c r="C240">
        <v>0</v>
      </c>
      <c r="D240" s="58" t="s">
        <v>361</v>
      </c>
      <c r="E240" s="58" t="s">
        <v>910</v>
      </c>
    </row>
    <row r="241" spans="1:5" ht="12.75" x14ac:dyDescent="0.2">
      <c r="A241" s="58" t="s">
        <v>462</v>
      </c>
      <c r="B241" s="58" t="s">
        <v>734</v>
      </c>
      <c r="C241">
        <v>0</v>
      </c>
      <c r="D241" s="58" t="s">
        <v>11</v>
      </c>
      <c r="E241" s="58" t="s">
        <v>909</v>
      </c>
    </row>
    <row r="242" spans="1:5" ht="12.75" x14ac:dyDescent="0.2">
      <c r="A242" s="58" t="s">
        <v>462</v>
      </c>
      <c r="B242" s="58" t="s">
        <v>734</v>
      </c>
      <c r="C242">
        <v>0</v>
      </c>
      <c r="D242" s="58" t="s">
        <v>11</v>
      </c>
      <c r="E242" s="58" t="s">
        <v>910</v>
      </c>
    </row>
    <row r="243" spans="1:5" ht="12.75" x14ac:dyDescent="0.2">
      <c r="A243" s="58" t="s">
        <v>463</v>
      </c>
      <c r="B243" s="58" t="s">
        <v>212</v>
      </c>
      <c r="C243">
        <v>0</v>
      </c>
      <c r="D243" s="58" t="s">
        <v>361</v>
      </c>
      <c r="E243" s="58" t="s">
        <v>909</v>
      </c>
    </row>
    <row r="244" spans="1:5" ht="12.75" x14ac:dyDescent="0.2">
      <c r="A244" s="58" t="s">
        <v>463</v>
      </c>
      <c r="B244" s="58" t="s">
        <v>212</v>
      </c>
      <c r="C244">
        <v>0</v>
      </c>
      <c r="D244" s="58" t="s">
        <v>361</v>
      </c>
      <c r="E244" s="58" t="s">
        <v>910</v>
      </c>
    </row>
    <row r="245" spans="1:5" ht="12.75" x14ac:dyDescent="0.2">
      <c r="A245" s="58" t="s">
        <v>464</v>
      </c>
      <c r="B245" s="58" t="s">
        <v>213</v>
      </c>
      <c r="C245">
        <v>0</v>
      </c>
      <c r="D245" s="58" t="s">
        <v>361</v>
      </c>
      <c r="E245" s="58" t="s">
        <v>909</v>
      </c>
    </row>
    <row r="246" spans="1:5" ht="12.75" x14ac:dyDescent="0.2">
      <c r="A246" s="58" t="s">
        <v>464</v>
      </c>
      <c r="B246" s="58" t="s">
        <v>213</v>
      </c>
      <c r="C246">
        <v>0</v>
      </c>
      <c r="D246" s="58" t="s">
        <v>361</v>
      </c>
      <c r="E246" s="58" t="s">
        <v>910</v>
      </c>
    </row>
    <row r="247" spans="1:5" ht="12.75" x14ac:dyDescent="0.2">
      <c r="A247" s="58" t="s">
        <v>465</v>
      </c>
      <c r="B247" s="58" t="s">
        <v>214</v>
      </c>
      <c r="C247">
        <v>52</v>
      </c>
      <c r="D247" s="58" t="s">
        <v>361</v>
      </c>
      <c r="E247" s="58" t="s">
        <v>909</v>
      </c>
    </row>
    <row r="248" spans="1:5" ht="12.75" x14ac:dyDescent="0.2">
      <c r="A248" s="58" t="s">
        <v>465</v>
      </c>
      <c r="B248" s="58" t="s">
        <v>214</v>
      </c>
      <c r="C248">
        <v>10</v>
      </c>
      <c r="D248" s="58" t="s">
        <v>361</v>
      </c>
      <c r="E248" s="58" t="s">
        <v>910</v>
      </c>
    </row>
    <row r="249" spans="1:5" ht="12.75" x14ac:dyDescent="0.2">
      <c r="A249" s="58" t="s">
        <v>466</v>
      </c>
      <c r="B249" s="58" t="s">
        <v>22</v>
      </c>
      <c r="C249">
        <v>0</v>
      </c>
      <c r="D249" s="58" t="s">
        <v>361</v>
      </c>
      <c r="E249" s="58" t="s">
        <v>909</v>
      </c>
    </row>
    <row r="250" spans="1:5" ht="12.75" x14ac:dyDescent="0.2">
      <c r="A250" s="58" t="s">
        <v>466</v>
      </c>
      <c r="B250" s="58" t="s">
        <v>22</v>
      </c>
      <c r="C250">
        <v>0</v>
      </c>
      <c r="D250" s="58" t="s">
        <v>361</v>
      </c>
      <c r="E250" s="58" t="s">
        <v>910</v>
      </c>
    </row>
    <row r="251" spans="1:5" ht="12.75" x14ac:dyDescent="0.2">
      <c r="A251" s="58" t="s">
        <v>467</v>
      </c>
      <c r="B251" s="58" t="s">
        <v>215</v>
      </c>
      <c r="C251">
        <v>97</v>
      </c>
      <c r="D251" s="58" t="s">
        <v>361</v>
      </c>
      <c r="E251" s="58" t="s">
        <v>909</v>
      </c>
    </row>
    <row r="252" spans="1:5" ht="12.75" x14ac:dyDescent="0.2">
      <c r="A252" s="58" t="s">
        <v>467</v>
      </c>
      <c r="B252" s="58" t="s">
        <v>215</v>
      </c>
      <c r="C252">
        <v>19</v>
      </c>
      <c r="D252" s="58" t="s">
        <v>361</v>
      </c>
      <c r="E252" s="58" t="s">
        <v>910</v>
      </c>
    </row>
    <row r="253" spans="1:5" ht="12.75" x14ac:dyDescent="0.2">
      <c r="A253" s="58" t="s">
        <v>469</v>
      </c>
      <c r="B253" s="58" t="s">
        <v>216</v>
      </c>
      <c r="C253">
        <v>75</v>
      </c>
      <c r="D253" s="58" t="s">
        <v>361</v>
      </c>
      <c r="E253" s="58" t="s">
        <v>909</v>
      </c>
    </row>
    <row r="254" spans="1:5" ht="12.75" x14ac:dyDescent="0.2">
      <c r="A254" s="58" t="s">
        <v>469</v>
      </c>
      <c r="B254" s="58" t="s">
        <v>216</v>
      </c>
      <c r="C254">
        <v>15</v>
      </c>
      <c r="D254" s="58" t="s">
        <v>361</v>
      </c>
      <c r="E254" s="58" t="s">
        <v>910</v>
      </c>
    </row>
    <row r="255" spans="1:5" ht="12.75" x14ac:dyDescent="0.2">
      <c r="A255" s="58" t="s">
        <v>470</v>
      </c>
      <c r="B255" s="58" t="s">
        <v>217</v>
      </c>
      <c r="C255">
        <v>270</v>
      </c>
      <c r="D255" s="58" t="s">
        <v>361</v>
      </c>
      <c r="E255" s="58" t="s">
        <v>909</v>
      </c>
    </row>
    <row r="256" spans="1:5" ht="12.75" x14ac:dyDescent="0.2">
      <c r="A256" s="58" t="s">
        <v>470</v>
      </c>
      <c r="B256" s="58" t="s">
        <v>217</v>
      </c>
      <c r="C256">
        <v>54</v>
      </c>
      <c r="D256" s="58" t="s">
        <v>361</v>
      </c>
      <c r="E256" s="58" t="s">
        <v>910</v>
      </c>
    </row>
    <row r="257" spans="1:5" ht="12.75" x14ac:dyDescent="0.2">
      <c r="A257" s="58" t="s">
        <v>471</v>
      </c>
      <c r="B257" s="58" t="s">
        <v>218</v>
      </c>
      <c r="C257">
        <v>45</v>
      </c>
      <c r="D257" s="58" t="s">
        <v>361</v>
      </c>
      <c r="E257" s="58" t="s">
        <v>909</v>
      </c>
    </row>
    <row r="258" spans="1:5" ht="12.75" x14ac:dyDescent="0.2">
      <c r="A258" s="58" t="s">
        <v>471</v>
      </c>
      <c r="B258" s="58" t="s">
        <v>218</v>
      </c>
      <c r="C258">
        <v>9</v>
      </c>
      <c r="D258" s="58" t="s">
        <v>361</v>
      </c>
      <c r="E258" s="58" t="s">
        <v>910</v>
      </c>
    </row>
    <row r="259" spans="1:5" ht="12.75" x14ac:dyDescent="0.2">
      <c r="A259" s="58" t="s">
        <v>472</v>
      </c>
      <c r="B259" s="58" t="s">
        <v>219</v>
      </c>
      <c r="C259">
        <v>30</v>
      </c>
      <c r="D259" s="58" t="s">
        <v>361</v>
      </c>
      <c r="E259" s="58" t="s">
        <v>909</v>
      </c>
    </row>
    <row r="260" spans="1:5" ht="12.75" x14ac:dyDescent="0.2">
      <c r="A260" s="58" t="s">
        <v>472</v>
      </c>
      <c r="B260" s="58" t="s">
        <v>219</v>
      </c>
      <c r="C260">
        <v>6</v>
      </c>
      <c r="D260" s="58" t="s">
        <v>361</v>
      </c>
      <c r="E260" s="58" t="s">
        <v>910</v>
      </c>
    </row>
    <row r="261" spans="1:5" ht="12.75" x14ac:dyDescent="0.2">
      <c r="A261" s="58" t="s">
        <v>474</v>
      </c>
      <c r="B261" s="58" t="s">
        <v>220</v>
      </c>
      <c r="C261">
        <v>30</v>
      </c>
      <c r="D261" s="58" t="s">
        <v>361</v>
      </c>
      <c r="E261" s="58" t="s">
        <v>909</v>
      </c>
    </row>
    <row r="262" spans="1:5" ht="12.75" x14ac:dyDescent="0.2">
      <c r="A262" s="58" t="s">
        <v>474</v>
      </c>
      <c r="B262" s="58" t="s">
        <v>220</v>
      </c>
      <c r="C262">
        <v>6</v>
      </c>
      <c r="D262" s="58" t="s">
        <v>361</v>
      </c>
      <c r="E262" s="58" t="s">
        <v>910</v>
      </c>
    </row>
    <row r="263" spans="1:5" ht="12.75" x14ac:dyDescent="0.2">
      <c r="A263" s="58" t="s">
        <v>735</v>
      </c>
      <c r="B263" s="58" t="s">
        <v>221</v>
      </c>
      <c r="C263">
        <v>12</v>
      </c>
      <c r="D263" s="58" t="s">
        <v>361</v>
      </c>
      <c r="E263" s="58" t="s">
        <v>909</v>
      </c>
    </row>
    <row r="264" spans="1:5" ht="12.75" x14ac:dyDescent="0.2">
      <c r="A264" s="58" t="s">
        <v>735</v>
      </c>
      <c r="B264" s="58" t="s">
        <v>221</v>
      </c>
      <c r="C264">
        <v>2</v>
      </c>
      <c r="D264" s="58" t="s">
        <v>361</v>
      </c>
      <c r="E264" s="58" t="s">
        <v>910</v>
      </c>
    </row>
    <row r="265" spans="1:5" ht="12.75" x14ac:dyDescent="0.2">
      <c r="A265" s="58" t="s">
        <v>736</v>
      </c>
      <c r="B265" s="58" t="s">
        <v>468</v>
      </c>
      <c r="C265">
        <v>7</v>
      </c>
      <c r="D265" s="58" t="s">
        <v>361</v>
      </c>
      <c r="E265" s="58" t="s">
        <v>909</v>
      </c>
    </row>
    <row r="266" spans="1:5" ht="12.75" x14ac:dyDescent="0.2">
      <c r="A266" s="58" t="s">
        <v>736</v>
      </c>
      <c r="B266" s="58" t="s">
        <v>468</v>
      </c>
      <c r="C266">
        <v>1</v>
      </c>
      <c r="D266" s="58" t="s">
        <v>361</v>
      </c>
      <c r="E266" s="58" t="s">
        <v>910</v>
      </c>
    </row>
    <row r="267" spans="1:5" ht="12.75" x14ac:dyDescent="0.2">
      <c r="A267" s="58" t="s">
        <v>737</v>
      </c>
      <c r="B267" s="58" t="s">
        <v>222</v>
      </c>
      <c r="C267">
        <v>45</v>
      </c>
      <c r="D267" s="58" t="s">
        <v>361</v>
      </c>
      <c r="E267" s="58" t="s">
        <v>909</v>
      </c>
    </row>
    <row r="268" spans="1:5" ht="12.75" x14ac:dyDescent="0.2">
      <c r="A268" s="58" t="s">
        <v>737</v>
      </c>
      <c r="B268" s="58" t="s">
        <v>222</v>
      </c>
      <c r="C268">
        <v>9</v>
      </c>
      <c r="D268" s="58" t="s">
        <v>361</v>
      </c>
      <c r="E268" s="58" t="s">
        <v>910</v>
      </c>
    </row>
    <row r="269" spans="1:5" ht="12.75" x14ac:dyDescent="0.2">
      <c r="A269" s="58" t="s">
        <v>738</v>
      </c>
      <c r="B269" s="58" t="s">
        <v>223</v>
      </c>
      <c r="C269">
        <v>67</v>
      </c>
      <c r="D269" s="58" t="s">
        <v>361</v>
      </c>
      <c r="E269" s="58" t="s">
        <v>909</v>
      </c>
    </row>
    <row r="270" spans="1:5" ht="12.75" x14ac:dyDescent="0.2">
      <c r="A270" s="58" t="s">
        <v>738</v>
      </c>
      <c r="B270" s="58" t="s">
        <v>223</v>
      </c>
      <c r="C270">
        <v>13</v>
      </c>
      <c r="D270" s="58" t="s">
        <v>361</v>
      </c>
      <c r="E270" s="58" t="s">
        <v>910</v>
      </c>
    </row>
    <row r="271" spans="1:5" ht="12.75" x14ac:dyDescent="0.2">
      <c r="A271" s="58" t="s">
        <v>739</v>
      </c>
      <c r="B271" s="58" t="s">
        <v>224</v>
      </c>
      <c r="C271">
        <v>118</v>
      </c>
      <c r="D271" s="58" t="s">
        <v>361</v>
      </c>
      <c r="E271" s="58" t="s">
        <v>909</v>
      </c>
    </row>
    <row r="272" spans="1:5" ht="12.75" x14ac:dyDescent="0.2">
      <c r="A272" s="58" t="s">
        <v>739</v>
      </c>
      <c r="B272" s="58" t="s">
        <v>224</v>
      </c>
      <c r="C272">
        <v>23</v>
      </c>
      <c r="D272" s="58" t="s">
        <v>361</v>
      </c>
      <c r="E272" s="58" t="s">
        <v>910</v>
      </c>
    </row>
    <row r="273" spans="1:5" ht="12.75" x14ac:dyDescent="0.2">
      <c r="A273" s="58" t="s">
        <v>740</v>
      </c>
      <c r="B273" s="58" t="s">
        <v>473</v>
      </c>
      <c r="C273">
        <v>0</v>
      </c>
      <c r="D273" s="58" t="s">
        <v>361</v>
      </c>
      <c r="E273" s="58" t="s">
        <v>909</v>
      </c>
    </row>
    <row r="274" spans="1:5" ht="12.75" x14ac:dyDescent="0.2">
      <c r="A274" s="58" t="s">
        <v>740</v>
      </c>
      <c r="B274" s="58" t="s">
        <v>473</v>
      </c>
      <c r="C274">
        <v>0</v>
      </c>
      <c r="D274" s="58" t="s">
        <v>361</v>
      </c>
      <c r="E274" s="58" t="s">
        <v>910</v>
      </c>
    </row>
    <row r="275" spans="1:5" ht="12.75" x14ac:dyDescent="0.2">
      <c r="A275" s="58" t="s">
        <v>726</v>
      </c>
      <c r="B275" s="58" t="s">
        <v>21</v>
      </c>
      <c r="C275">
        <v>0</v>
      </c>
      <c r="D275" s="58" t="s">
        <v>361</v>
      </c>
      <c r="E275" s="58" t="s">
        <v>909</v>
      </c>
    </row>
    <row r="276" spans="1:5" ht="12.75" x14ac:dyDescent="0.2">
      <c r="A276" s="58" t="s">
        <v>726</v>
      </c>
      <c r="B276" s="58" t="s">
        <v>21</v>
      </c>
      <c r="C276">
        <v>0</v>
      </c>
      <c r="D276" s="58" t="s">
        <v>361</v>
      </c>
      <c r="E276" s="58" t="s">
        <v>910</v>
      </c>
    </row>
    <row r="277" spans="1:5" ht="12.75" x14ac:dyDescent="0.2">
      <c r="A277" s="58" t="s">
        <v>476</v>
      </c>
      <c r="B277" s="58" t="s">
        <v>20</v>
      </c>
      <c r="C277">
        <v>48</v>
      </c>
      <c r="D277" s="58" t="s">
        <v>361</v>
      </c>
      <c r="E277" s="58" t="s">
        <v>909</v>
      </c>
    </row>
    <row r="278" spans="1:5" ht="12.75" x14ac:dyDescent="0.2">
      <c r="A278" s="58" t="s">
        <v>476</v>
      </c>
      <c r="B278" s="58" t="s">
        <v>20</v>
      </c>
      <c r="C278">
        <v>9</v>
      </c>
      <c r="D278" s="58" t="s">
        <v>361</v>
      </c>
      <c r="E278" s="58" t="s">
        <v>910</v>
      </c>
    </row>
    <row r="279" spans="1:5" ht="12.75" x14ac:dyDescent="0.2">
      <c r="A279" s="58" t="s">
        <v>478</v>
      </c>
      <c r="B279" s="58" t="s">
        <v>138</v>
      </c>
      <c r="C279">
        <v>30</v>
      </c>
      <c r="D279" s="58" t="s">
        <v>361</v>
      </c>
      <c r="E279" s="58" t="s">
        <v>909</v>
      </c>
    </row>
    <row r="280" spans="1:5" ht="12.75" x14ac:dyDescent="0.2">
      <c r="A280" s="58" t="s">
        <v>478</v>
      </c>
      <c r="B280" s="58" t="s">
        <v>138</v>
      </c>
      <c r="C280">
        <v>6</v>
      </c>
      <c r="D280" s="58" t="s">
        <v>361</v>
      </c>
      <c r="E280" s="58" t="s">
        <v>910</v>
      </c>
    </row>
    <row r="281" spans="1:5" ht="12.75" x14ac:dyDescent="0.2">
      <c r="A281" s="58" t="s">
        <v>479</v>
      </c>
      <c r="B281" s="58" t="s">
        <v>139</v>
      </c>
      <c r="C281">
        <v>14</v>
      </c>
      <c r="D281" s="58" t="s">
        <v>361</v>
      </c>
      <c r="E281" s="58" t="s">
        <v>909</v>
      </c>
    </row>
    <row r="282" spans="1:5" ht="12.75" x14ac:dyDescent="0.2">
      <c r="A282" s="58" t="s">
        <v>479</v>
      </c>
      <c r="B282" s="58" t="s">
        <v>139</v>
      </c>
      <c r="C282">
        <v>2</v>
      </c>
      <c r="D282" s="58" t="s">
        <v>361</v>
      </c>
      <c r="E282" s="58" t="s">
        <v>910</v>
      </c>
    </row>
    <row r="283" spans="1:5" ht="12.75" x14ac:dyDescent="0.2">
      <c r="A283" s="58" t="s">
        <v>480</v>
      </c>
      <c r="B283" s="58" t="s">
        <v>140</v>
      </c>
      <c r="C283">
        <v>14</v>
      </c>
      <c r="D283" s="58" t="s">
        <v>361</v>
      </c>
      <c r="E283" s="58" t="s">
        <v>909</v>
      </c>
    </row>
    <row r="284" spans="1:5" ht="12.75" x14ac:dyDescent="0.2">
      <c r="A284" s="58" t="s">
        <v>480</v>
      </c>
      <c r="B284" s="58" t="s">
        <v>140</v>
      </c>
      <c r="C284">
        <v>2</v>
      </c>
      <c r="D284" s="58" t="s">
        <v>361</v>
      </c>
      <c r="E284" s="58" t="s">
        <v>910</v>
      </c>
    </row>
    <row r="285" spans="1:5" ht="12.75" x14ac:dyDescent="0.2">
      <c r="A285" s="58" t="s">
        <v>481</v>
      </c>
      <c r="B285" s="58" t="s">
        <v>58</v>
      </c>
      <c r="C285">
        <v>2730</v>
      </c>
      <c r="D285" s="58" t="s">
        <v>11</v>
      </c>
      <c r="E285" s="58" t="s">
        <v>909</v>
      </c>
    </row>
    <row r="286" spans="1:5" ht="12.75" x14ac:dyDescent="0.2">
      <c r="A286" s="58" t="s">
        <v>481</v>
      </c>
      <c r="B286" s="58" t="s">
        <v>58</v>
      </c>
      <c r="C286">
        <v>546</v>
      </c>
      <c r="D286" s="58" t="s">
        <v>11</v>
      </c>
      <c r="E286" s="58" t="s">
        <v>910</v>
      </c>
    </row>
    <row r="287" spans="1:5" ht="12.75" x14ac:dyDescent="0.2">
      <c r="A287" s="58" t="s">
        <v>483</v>
      </c>
      <c r="B287" s="58" t="s">
        <v>59</v>
      </c>
      <c r="C287">
        <v>4496</v>
      </c>
      <c r="D287" s="58" t="s">
        <v>11</v>
      </c>
      <c r="E287" s="58" t="s">
        <v>909</v>
      </c>
    </row>
    <row r="288" spans="1:5" ht="12.75" x14ac:dyDescent="0.2">
      <c r="A288" s="58" t="s">
        <v>483</v>
      </c>
      <c r="B288" s="58" t="s">
        <v>59</v>
      </c>
      <c r="C288">
        <v>899</v>
      </c>
      <c r="D288" s="58" t="s">
        <v>11</v>
      </c>
      <c r="E288" s="58" t="s">
        <v>910</v>
      </c>
    </row>
    <row r="289" spans="1:5" ht="12.75" x14ac:dyDescent="0.2">
      <c r="A289" s="58" t="s">
        <v>484</v>
      </c>
      <c r="B289" s="58" t="s">
        <v>60</v>
      </c>
      <c r="C289">
        <v>3700</v>
      </c>
      <c r="D289" s="58" t="s">
        <v>11</v>
      </c>
      <c r="E289" s="58" t="s">
        <v>909</v>
      </c>
    </row>
    <row r="290" spans="1:5" ht="12.75" x14ac:dyDescent="0.2">
      <c r="A290" s="58" t="s">
        <v>484</v>
      </c>
      <c r="B290" s="58" t="s">
        <v>60</v>
      </c>
      <c r="C290">
        <v>740</v>
      </c>
      <c r="D290" s="58" t="s">
        <v>11</v>
      </c>
      <c r="E290" s="58" t="s">
        <v>910</v>
      </c>
    </row>
    <row r="291" spans="1:5" ht="12.75" x14ac:dyDescent="0.2">
      <c r="A291" s="58" t="s">
        <v>485</v>
      </c>
      <c r="B291" s="58" t="s">
        <v>61</v>
      </c>
      <c r="C291">
        <v>5446</v>
      </c>
      <c r="D291" s="58" t="s">
        <v>11</v>
      </c>
      <c r="E291" s="58" t="s">
        <v>909</v>
      </c>
    </row>
    <row r="292" spans="1:5" ht="12.75" x14ac:dyDescent="0.2">
      <c r="A292" s="58" t="s">
        <v>485</v>
      </c>
      <c r="B292" s="58" t="s">
        <v>61</v>
      </c>
      <c r="C292">
        <v>1089</v>
      </c>
      <c r="D292" s="58" t="s">
        <v>11</v>
      </c>
      <c r="E292" s="58" t="s">
        <v>910</v>
      </c>
    </row>
    <row r="293" spans="1:5" ht="12.75" x14ac:dyDescent="0.2">
      <c r="A293" s="58" t="s">
        <v>486</v>
      </c>
      <c r="B293" s="58" t="s">
        <v>13</v>
      </c>
      <c r="C293">
        <v>1542</v>
      </c>
      <c r="D293" s="58" t="s">
        <v>11</v>
      </c>
      <c r="E293" s="58" t="s">
        <v>909</v>
      </c>
    </row>
    <row r="294" spans="1:5" ht="12.75" x14ac:dyDescent="0.2">
      <c r="A294" s="58" t="s">
        <v>486</v>
      </c>
      <c r="B294" s="58" t="s">
        <v>13</v>
      </c>
      <c r="C294">
        <v>308</v>
      </c>
      <c r="D294" s="58" t="s">
        <v>11</v>
      </c>
      <c r="E294" s="58" t="s">
        <v>910</v>
      </c>
    </row>
    <row r="295" spans="1:5" ht="12.75" x14ac:dyDescent="0.2">
      <c r="A295" s="58" t="s">
        <v>487</v>
      </c>
      <c r="B295" s="58" t="s">
        <v>15</v>
      </c>
      <c r="C295">
        <v>2075</v>
      </c>
      <c r="D295" s="58" t="s">
        <v>11</v>
      </c>
      <c r="E295" s="58" t="s">
        <v>909</v>
      </c>
    </row>
    <row r="296" spans="1:5" ht="12.75" x14ac:dyDescent="0.2">
      <c r="A296" s="58" t="s">
        <v>487</v>
      </c>
      <c r="B296" s="58" t="s">
        <v>15</v>
      </c>
      <c r="C296">
        <v>415</v>
      </c>
      <c r="D296" s="58" t="s">
        <v>11</v>
      </c>
      <c r="E296" s="58" t="s">
        <v>910</v>
      </c>
    </row>
    <row r="297" spans="1:5" ht="12.75" x14ac:dyDescent="0.2">
      <c r="A297" s="58" t="s">
        <v>488</v>
      </c>
      <c r="B297" s="58" t="s">
        <v>62</v>
      </c>
      <c r="C297">
        <v>713</v>
      </c>
      <c r="D297" s="58" t="s">
        <v>11</v>
      </c>
      <c r="E297" s="58" t="s">
        <v>909</v>
      </c>
    </row>
    <row r="298" spans="1:5" ht="12.75" x14ac:dyDescent="0.2">
      <c r="A298" s="58" t="s">
        <v>488</v>
      </c>
      <c r="B298" s="58" t="s">
        <v>62</v>
      </c>
      <c r="C298">
        <v>142</v>
      </c>
      <c r="D298" s="58" t="s">
        <v>11</v>
      </c>
      <c r="E298" s="58" t="s">
        <v>910</v>
      </c>
    </row>
    <row r="299" spans="1:5" ht="12.75" x14ac:dyDescent="0.2">
      <c r="A299" s="58" t="s">
        <v>489</v>
      </c>
      <c r="B299" s="58" t="s">
        <v>63</v>
      </c>
      <c r="C299">
        <v>708</v>
      </c>
      <c r="D299" s="58" t="s">
        <v>11</v>
      </c>
      <c r="E299" s="58" t="s">
        <v>909</v>
      </c>
    </row>
    <row r="300" spans="1:5" ht="12.75" x14ac:dyDescent="0.2">
      <c r="A300" s="58" t="s">
        <v>489</v>
      </c>
      <c r="B300" s="58" t="s">
        <v>63</v>
      </c>
      <c r="C300">
        <v>141</v>
      </c>
      <c r="D300" s="58" t="s">
        <v>11</v>
      </c>
      <c r="E300" s="58" t="s">
        <v>910</v>
      </c>
    </row>
    <row r="301" spans="1:5" ht="12.75" x14ac:dyDescent="0.2">
      <c r="A301" s="58" t="s">
        <v>490</v>
      </c>
      <c r="B301" s="58" t="s">
        <v>64</v>
      </c>
      <c r="C301">
        <v>767</v>
      </c>
      <c r="D301" s="58" t="s">
        <v>11</v>
      </c>
      <c r="E301" s="58" t="s">
        <v>909</v>
      </c>
    </row>
    <row r="302" spans="1:5" ht="12.75" x14ac:dyDescent="0.2">
      <c r="A302" s="58" t="s">
        <v>490</v>
      </c>
      <c r="B302" s="58" t="s">
        <v>64</v>
      </c>
      <c r="C302">
        <v>153</v>
      </c>
      <c r="D302" s="58" t="s">
        <v>11</v>
      </c>
      <c r="E302" s="58" t="s">
        <v>910</v>
      </c>
    </row>
    <row r="303" spans="1:5" ht="12.75" x14ac:dyDescent="0.2">
      <c r="A303" s="58" t="s">
        <v>491</v>
      </c>
      <c r="B303" s="58" t="s">
        <v>16</v>
      </c>
      <c r="C303">
        <v>3000</v>
      </c>
      <c r="D303" s="58" t="s">
        <v>11</v>
      </c>
      <c r="E303" s="58" t="s">
        <v>909</v>
      </c>
    </row>
    <row r="304" spans="1:5" ht="12.75" x14ac:dyDescent="0.2">
      <c r="A304" s="58" t="s">
        <v>491</v>
      </c>
      <c r="B304" s="58" t="s">
        <v>16</v>
      </c>
      <c r="C304">
        <v>600</v>
      </c>
      <c r="D304" s="58" t="s">
        <v>11</v>
      </c>
      <c r="E304" s="58" t="s">
        <v>910</v>
      </c>
    </row>
    <row r="305" spans="1:5" ht="12.75" x14ac:dyDescent="0.2">
      <c r="A305" s="58" t="s">
        <v>492</v>
      </c>
      <c r="B305" s="58" t="s">
        <v>65</v>
      </c>
      <c r="C305">
        <v>2187</v>
      </c>
      <c r="D305" s="58" t="s">
        <v>11</v>
      </c>
      <c r="E305" s="58" t="s">
        <v>909</v>
      </c>
    </row>
    <row r="306" spans="1:5" ht="12.75" x14ac:dyDescent="0.2">
      <c r="A306" s="58" t="s">
        <v>492</v>
      </c>
      <c r="B306" s="58" t="s">
        <v>65</v>
      </c>
      <c r="C306">
        <v>437</v>
      </c>
      <c r="D306" s="58" t="s">
        <v>11</v>
      </c>
      <c r="E306" s="58" t="s">
        <v>910</v>
      </c>
    </row>
    <row r="307" spans="1:5" ht="12.75" x14ac:dyDescent="0.2">
      <c r="A307" s="58" t="s">
        <v>493</v>
      </c>
      <c r="B307" s="58" t="s">
        <v>66</v>
      </c>
      <c r="C307">
        <v>973</v>
      </c>
      <c r="D307" s="58" t="s">
        <v>11</v>
      </c>
      <c r="E307" s="58" t="s">
        <v>909</v>
      </c>
    </row>
    <row r="308" spans="1:5" ht="12.75" x14ac:dyDescent="0.2">
      <c r="A308" s="58" t="s">
        <v>493</v>
      </c>
      <c r="B308" s="58" t="s">
        <v>66</v>
      </c>
      <c r="C308">
        <v>194</v>
      </c>
      <c r="D308" s="58" t="s">
        <v>11</v>
      </c>
      <c r="E308" s="58" t="s">
        <v>910</v>
      </c>
    </row>
    <row r="309" spans="1:5" ht="12.75" x14ac:dyDescent="0.2">
      <c r="A309" s="58" t="s">
        <v>494</v>
      </c>
      <c r="B309" s="58" t="s">
        <v>67</v>
      </c>
      <c r="C309">
        <v>967</v>
      </c>
      <c r="D309" s="58" t="s">
        <v>11</v>
      </c>
      <c r="E309" s="58" t="s">
        <v>909</v>
      </c>
    </row>
    <row r="310" spans="1:5" ht="12.75" x14ac:dyDescent="0.2">
      <c r="A310" s="58" t="s">
        <v>494</v>
      </c>
      <c r="B310" s="58" t="s">
        <v>67</v>
      </c>
      <c r="C310">
        <v>193</v>
      </c>
      <c r="D310" s="58" t="s">
        <v>11</v>
      </c>
      <c r="E310" s="58" t="s">
        <v>910</v>
      </c>
    </row>
    <row r="311" spans="1:5" ht="12.75" x14ac:dyDescent="0.2">
      <c r="A311" s="58" t="s">
        <v>495</v>
      </c>
      <c r="B311" s="58" t="s">
        <v>68</v>
      </c>
      <c r="C311">
        <v>4716</v>
      </c>
      <c r="D311" s="58" t="s">
        <v>11</v>
      </c>
      <c r="E311" s="58" t="s">
        <v>909</v>
      </c>
    </row>
    <row r="312" spans="1:5" ht="12.75" x14ac:dyDescent="0.2">
      <c r="A312" s="58" t="s">
        <v>495</v>
      </c>
      <c r="B312" s="58" t="s">
        <v>68</v>
      </c>
      <c r="C312">
        <v>943</v>
      </c>
      <c r="D312" s="58" t="s">
        <v>11</v>
      </c>
      <c r="E312" s="58" t="s">
        <v>910</v>
      </c>
    </row>
    <row r="313" spans="1:5" ht="12.75" x14ac:dyDescent="0.2">
      <c r="A313" s="58" t="s">
        <v>496</v>
      </c>
      <c r="B313" s="58" t="s">
        <v>69</v>
      </c>
      <c r="C313">
        <v>2883</v>
      </c>
      <c r="D313" s="58" t="s">
        <v>11</v>
      </c>
      <c r="E313" s="58" t="s">
        <v>909</v>
      </c>
    </row>
    <row r="314" spans="1:5" ht="12.75" x14ac:dyDescent="0.2">
      <c r="A314" s="58" t="s">
        <v>496</v>
      </c>
      <c r="B314" s="58" t="s">
        <v>69</v>
      </c>
      <c r="C314">
        <v>576</v>
      </c>
      <c r="D314" s="58" t="s">
        <v>11</v>
      </c>
      <c r="E314" s="58" t="s">
        <v>910</v>
      </c>
    </row>
    <row r="315" spans="1:5" ht="12.75" x14ac:dyDescent="0.2">
      <c r="A315" s="58" t="s">
        <v>497</v>
      </c>
      <c r="B315" s="58" t="s">
        <v>70</v>
      </c>
      <c r="C315">
        <v>713</v>
      </c>
      <c r="D315" s="58" t="s">
        <v>7</v>
      </c>
      <c r="E315" s="58" t="s">
        <v>909</v>
      </c>
    </row>
    <row r="316" spans="1:5" ht="12.75" x14ac:dyDescent="0.2">
      <c r="A316" s="58" t="s">
        <v>497</v>
      </c>
      <c r="B316" s="58" t="s">
        <v>70</v>
      </c>
      <c r="C316">
        <v>142</v>
      </c>
      <c r="D316" s="58" t="s">
        <v>7</v>
      </c>
      <c r="E316" s="58" t="s">
        <v>910</v>
      </c>
    </row>
    <row r="317" spans="1:5" ht="12.75" x14ac:dyDescent="0.2">
      <c r="A317" s="58" t="s">
        <v>498</v>
      </c>
      <c r="B317" s="58" t="s">
        <v>71</v>
      </c>
      <c r="C317">
        <v>25</v>
      </c>
      <c r="D317" s="58" t="s">
        <v>7</v>
      </c>
      <c r="E317" s="58" t="s">
        <v>909</v>
      </c>
    </row>
    <row r="318" spans="1:5" ht="12.75" x14ac:dyDescent="0.2">
      <c r="A318" s="58" t="s">
        <v>498</v>
      </c>
      <c r="B318" s="58" t="s">
        <v>71</v>
      </c>
      <c r="C318">
        <v>5</v>
      </c>
      <c r="D318" s="58" t="s">
        <v>7</v>
      </c>
      <c r="E318" s="58" t="s">
        <v>910</v>
      </c>
    </row>
    <row r="319" spans="1:5" ht="12.75" x14ac:dyDescent="0.2">
      <c r="A319" s="58" t="s">
        <v>499</v>
      </c>
      <c r="B319" s="58" t="s">
        <v>17</v>
      </c>
      <c r="C319">
        <v>800</v>
      </c>
      <c r="D319" s="58" t="s">
        <v>7</v>
      </c>
      <c r="E319" s="58" t="s">
        <v>909</v>
      </c>
    </row>
    <row r="320" spans="1:5" ht="12.75" x14ac:dyDescent="0.2">
      <c r="A320" s="58" t="s">
        <v>499</v>
      </c>
      <c r="B320" s="58" t="s">
        <v>17</v>
      </c>
      <c r="C320">
        <v>160</v>
      </c>
      <c r="D320" s="58" t="s">
        <v>7</v>
      </c>
      <c r="E320" s="58" t="s">
        <v>910</v>
      </c>
    </row>
    <row r="321" spans="1:5" ht="12.75" x14ac:dyDescent="0.2">
      <c r="A321" s="58" t="s">
        <v>500</v>
      </c>
      <c r="B321" s="58" t="s">
        <v>18</v>
      </c>
      <c r="C321">
        <v>3339</v>
      </c>
      <c r="D321" s="58" t="s">
        <v>11</v>
      </c>
      <c r="E321" s="58" t="s">
        <v>909</v>
      </c>
    </row>
    <row r="322" spans="1:5" ht="12.75" x14ac:dyDescent="0.2">
      <c r="A322" s="58" t="s">
        <v>500</v>
      </c>
      <c r="B322" s="58" t="s">
        <v>18</v>
      </c>
      <c r="C322">
        <v>667</v>
      </c>
      <c r="D322" s="58" t="s">
        <v>11</v>
      </c>
      <c r="E322" s="58" t="s">
        <v>910</v>
      </c>
    </row>
    <row r="323" spans="1:5" ht="12.75" x14ac:dyDescent="0.2">
      <c r="A323" s="58" t="s">
        <v>501</v>
      </c>
      <c r="B323" s="58" t="s">
        <v>72</v>
      </c>
      <c r="C323">
        <v>1136</v>
      </c>
      <c r="D323" s="58" t="s">
        <v>11</v>
      </c>
      <c r="E323" s="58" t="s">
        <v>909</v>
      </c>
    </row>
    <row r="324" spans="1:5" ht="12.75" x14ac:dyDescent="0.2">
      <c r="A324" s="58" t="s">
        <v>501</v>
      </c>
      <c r="B324" s="58" t="s">
        <v>72</v>
      </c>
      <c r="C324">
        <v>227</v>
      </c>
      <c r="D324" s="58" t="s">
        <v>11</v>
      </c>
      <c r="E324" s="58" t="s">
        <v>910</v>
      </c>
    </row>
    <row r="325" spans="1:5" ht="12.75" x14ac:dyDescent="0.2">
      <c r="A325" s="58" t="s">
        <v>502</v>
      </c>
      <c r="B325" s="58" t="s">
        <v>73</v>
      </c>
      <c r="C325">
        <v>1280</v>
      </c>
      <c r="D325" s="58" t="s">
        <v>11</v>
      </c>
      <c r="E325" s="58" t="s">
        <v>909</v>
      </c>
    </row>
    <row r="326" spans="1:5" ht="12.75" x14ac:dyDescent="0.2">
      <c r="A326" s="58" t="s">
        <v>502</v>
      </c>
      <c r="B326" s="58" t="s">
        <v>73</v>
      </c>
      <c r="C326">
        <v>256</v>
      </c>
      <c r="D326" s="58" t="s">
        <v>11</v>
      </c>
      <c r="E326" s="58" t="s">
        <v>910</v>
      </c>
    </row>
    <row r="327" spans="1:5" ht="12.75" x14ac:dyDescent="0.2">
      <c r="A327" s="58" t="s">
        <v>503</v>
      </c>
      <c r="B327" s="58" t="s">
        <v>74</v>
      </c>
      <c r="C327">
        <v>648</v>
      </c>
      <c r="D327" s="58" t="s">
        <v>11</v>
      </c>
      <c r="E327" s="58" t="s">
        <v>909</v>
      </c>
    </row>
    <row r="328" spans="1:5" ht="12.75" x14ac:dyDescent="0.2">
      <c r="A328" s="58" t="s">
        <v>503</v>
      </c>
      <c r="B328" s="58" t="s">
        <v>74</v>
      </c>
      <c r="C328">
        <v>129</v>
      </c>
      <c r="D328" s="58" t="s">
        <v>11</v>
      </c>
      <c r="E328" s="58" t="s">
        <v>910</v>
      </c>
    </row>
    <row r="329" spans="1:5" ht="12.75" x14ac:dyDescent="0.2">
      <c r="A329" s="58" t="s">
        <v>504</v>
      </c>
      <c r="B329" s="58" t="s">
        <v>75</v>
      </c>
      <c r="C329">
        <v>192</v>
      </c>
      <c r="D329" s="58" t="s">
        <v>11</v>
      </c>
      <c r="E329" s="58" t="s">
        <v>909</v>
      </c>
    </row>
    <row r="330" spans="1:5" ht="12.75" x14ac:dyDescent="0.2">
      <c r="A330" s="58" t="s">
        <v>504</v>
      </c>
      <c r="B330" s="58" t="s">
        <v>75</v>
      </c>
      <c r="C330">
        <v>38</v>
      </c>
      <c r="D330" s="58" t="s">
        <v>11</v>
      </c>
      <c r="E330" s="58" t="s">
        <v>910</v>
      </c>
    </row>
    <row r="331" spans="1:5" ht="12.75" x14ac:dyDescent="0.2">
      <c r="A331" s="58" t="s">
        <v>505</v>
      </c>
      <c r="B331" s="58" t="s">
        <v>76</v>
      </c>
      <c r="C331">
        <v>99</v>
      </c>
      <c r="D331" s="58" t="s">
        <v>11</v>
      </c>
      <c r="E331" s="58" t="s">
        <v>909</v>
      </c>
    </row>
    <row r="332" spans="1:5" ht="12.75" x14ac:dyDescent="0.2">
      <c r="A332" s="58" t="s">
        <v>505</v>
      </c>
      <c r="B332" s="58" t="s">
        <v>76</v>
      </c>
      <c r="C332">
        <v>19</v>
      </c>
      <c r="D332" s="58" t="s">
        <v>11</v>
      </c>
      <c r="E332" s="58" t="s">
        <v>910</v>
      </c>
    </row>
    <row r="333" spans="1:5" ht="12.75" x14ac:dyDescent="0.2">
      <c r="A333" s="58" t="s">
        <v>506</v>
      </c>
      <c r="B333" s="58" t="s">
        <v>77</v>
      </c>
      <c r="C333">
        <v>702</v>
      </c>
      <c r="D333" s="58" t="s">
        <v>11</v>
      </c>
      <c r="E333" s="58" t="s">
        <v>909</v>
      </c>
    </row>
    <row r="334" spans="1:5" ht="12.75" x14ac:dyDescent="0.2">
      <c r="A334" s="58" t="s">
        <v>506</v>
      </c>
      <c r="B334" s="58" t="s">
        <v>77</v>
      </c>
      <c r="C334">
        <v>140</v>
      </c>
      <c r="D334" s="58" t="s">
        <v>11</v>
      </c>
      <c r="E334" s="58" t="s">
        <v>910</v>
      </c>
    </row>
    <row r="335" spans="1:5" ht="12.75" x14ac:dyDescent="0.2">
      <c r="A335" s="58" t="s">
        <v>507</v>
      </c>
      <c r="B335" s="58" t="s">
        <v>78</v>
      </c>
      <c r="C335">
        <v>500</v>
      </c>
      <c r="D335" s="58" t="s">
        <v>11</v>
      </c>
      <c r="E335" s="58" t="s">
        <v>909</v>
      </c>
    </row>
    <row r="336" spans="1:5" ht="12.75" x14ac:dyDescent="0.2">
      <c r="A336" s="58" t="s">
        <v>507</v>
      </c>
      <c r="B336" s="58" t="s">
        <v>78</v>
      </c>
      <c r="C336">
        <v>100</v>
      </c>
      <c r="D336" s="58" t="s">
        <v>11</v>
      </c>
      <c r="E336" s="58" t="s">
        <v>910</v>
      </c>
    </row>
    <row r="337" spans="1:5" ht="12.75" x14ac:dyDescent="0.2">
      <c r="A337" s="58" t="s">
        <v>508</v>
      </c>
      <c r="B337" s="58" t="s">
        <v>79</v>
      </c>
      <c r="C337">
        <v>184</v>
      </c>
      <c r="D337" s="58" t="s">
        <v>11</v>
      </c>
      <c r="E337" s="58" t="s">
        <v>909</v>
      </c>
    </row>
    <row r="338" spans="1:5" ht="12.75" x14ac:dyDescent="0.2">
      <c r="A338" s="58" t="s">
        <v>508</v>
      </c>
      <c r="B338" s="58" t="s">
        <v>79</v>
      </c>
      <c r="C338">
        <v>36</v>
      </c>
      <c r="D338" s="58" t="s">
        <v>11</v>
      </c>
      <c r="E338" s="58" t="s">
        <v>910</v>
      </c>
    </row>
    <row r="339" spans="1:5" ht="12.75" x14ac:dyDescent="0.2">
      <c r="A339" s="58" t="s">
        <v>509</v>
      </c>
      <c r="B339" s="58" t="s">
        <v>80</v>
      </c>
      <c r="C339">
        <v>49</v>
      </c>
      <c r="D339" s="58" t="s">
        <v>11</v>
      </c>
      <c r="E339" s="58" t="s">
        <v>909</v>
      </c>
    </row>
    <row r="340" spans="1:5" ht="12.75" x14ac:dyDescent="0.2">
      <c r="A340" s="58" t="s">
        <v>509</v>
      </c>
      <c r="B340" s="58" t="s">
        <v>80</v>
      </c>
      <c r="C340">
        <v>9</v>
      </c>
      <c r="D340" s="58" t="s">
        <v>11</v>
      </c>
      <c r="E340" s="58" t="s">
        <v>910</v>
      </c>
    </row>
    <row r="341" spans="1:5" ht="12.75" x14ac:dyDescent="0.2">
      <c r="A341" s="58" t="s">
        <v>510</v>
      </c>
      <c r="B341" s="58" t="s">
        <v>81</v>
      </c>
      <c r="C341">
        <v>179</v>
      </c>
      <c r="D341" s="58" t="s">
        <v>11</v>
      </c>
      <c r="E341" s="58" t="s">
        <v>909</v>
      </c>
    </row>
    <row r="342" spans="1:5" ht="12.75" x14ac:dyDescent="0.2">
      <c r="A342" s="58" t="s">
        <v>510</v>
      </c>
      <c r="B342" s="58" t="s">
        <v>81</v>
      </c>
      <c r="C342">
        <v>35</v>
      </c>
      <c r="D342" s="58" t="s">
        <v>11</v>
      </c>
      <c r="E342" s="58" t="s">
        <v>910</v>
      </c>
    </row>
    <row r="343" spans="1:5" ht="12.75" x14ac:dyDescent="0.2">
      <c r="A343" s="58" t="s">
        <v>511</v>
      </c>
      <c r="B343" s="58" t="s">
        <v>82</v>
      </c>
      <c r="C343">
        <v>25</v>
      </c>
      <c r="D343" s="58" t="s">
        <v>11</v>
      </c>
      <c r="E343" s="58" t="s">
        <v>909</v>
      </c>
    </row>
    <row r="344" spans="1:5" ht="12.75" x14ac:dyDescent="0.2">
      <c r="A344" s="58" t="s">
        <v>511</v>
      </c>
      <c r="B344" s="58" t="s">
        <v>82</v>
      </c>
      <c r="C344">
        <v>5</v>
      </c>
      <c r="D344" s="58" t="s">
        <v>11</v>
      </c>
      <c r="E344" s="58" t="s">
        <v>910</v>
      </c>
    </row>
    <row r="345" spans="1:5" ht="12.75" x14ac:dyDescent="0.2">
      <c r="A345" s="58" t="s">
        <v>512</v>
      </c>
      <c r="B345" s="58" t="s">
        <v>83</v>
      </c>
      <c r="C345">
        <v>25</v>
      </c>
      <c r="D345" s="58" t="s">
        <v>11</v>
      </c>
      <c r="E345" s="58" t="s">
        <v>909</v>
      </c>
    </row>
    <row r="346" spans="1:5" ht="12.75" x14ac:dyDescent="0.2">
      <c r="A346" s="58" t="s">
        <v>512</v>
      </c>
      <c r="B346" s="58" t="s">
        <v>83</v>
      </c>
      <c r="C346">
        <v>5</v>
      </c>
      <c r="D346" s="58" t="s">
        <v>11</v>
      </c>
      <c r="E346" s="58" t="s">
        <v>910</v>
      </c>
    </row>
    <row r="347" spans="1:5" ht="12.75" x14ac:dyDescent="0.2">
      <c r="A347" s="58" t="s">
        <v>513</v>
      </c>
      <c r="B347" s="58" t="s">
        <v>84</v>
      </c>
      <c r="C347">
        <v>190</v>
      </c>
      <c r="D347" s="58" t="s">
        <v>11</v>
      </c>
      <c r="E347" s="58" t="s">
        <v>909</v>
      </c>
    </row>
    <row r="348" spans="1:5" ht="12.75" x14ac:dyDescent="0.2">
      <c r="A348" s="58" t="s">
        <v>513</v>
      </c>
      <c r="B348" s="58" t="s">
        <v>84</v>
      </c>
      <c r="C348">
        <v>38</v>
      </c>
      <c r="D348" s="58" t="s">
        <v>11</v>
      </c>
      <c r="E348" s="58" t="s">
        <v>910</v>
      </c>
    </row>
    <row r="349" spans="1:5" ht="12.75" x14ac:dyDescent="0.2">
      <c r="A349" s="58" t="s">
        <v>514</v>
      </c>
      <c r="B349" s="58" t="s">
        <v>85</v>
      </c>
      <c r="C349">
        <v>70</v>
      </c>
      <c r="D349" s="58" t="s">
        <v>11</v>
      </c>
      <c r="E349" s="58" t="s">
        <v>909</v>
      </c>
    </row>
    <row r="350" spans="1:5" ht="12.75" x14ac:dyDescent="0.2">
      <c r="A350" s="58" t="s">
        <v>514</v>
      </c>
      <c r="B350" s="58" t="s">
        <v>85</v>
      </c>
      <c r="C350">
        <v>14</v>
      </c>
      <c r="D350" s="58" t="s">
        <v>11</v>
      </c>
      <c r="E350" s="58" t="s">
        <v>910</v>
      </c>
    </row>
    <row r="351" spans="1:5" ht="12.75" x14ac:dyDescent="0.2">
      <c r="A351" s="58" t="s">
        <v>515</v>
      </c>
      <c r="B351" s="58" t="s">
        <v>923</v>
      </c>
      <c r="C351">
        <v>10</v>
      </c>
      <c r="D351" s="58" t="s">
        <v>11</v>
      </c>
      <c r="E351" s="58" t="s">
        <v>909</v>
      </c>
    </row>
    <row r="352" spans="1:5" ht="12.75" x14ac:dyDescent="0.2">
      <c r="A352" s="58" t="s">
        <v>515</v>
      </c>
      <c r="B352" s="58" t="s">
        <v>923</v>
      </c>
      <c r="C352">
        <v>2</v>
      </c>
      <c r="D352" s="58" t="s">
        <v>11</v>
      </c>
      <c r="E352" s="58" t="s">
        <v>910</v>
      </c>
    </row>
    <row r="353" spans="1:5" ht="12.75" x14ac:dyDescent="0.2">
      <c r="A353" s="58" t="s">
        <v>516</v>
      </c>
      <c r="B353" s="58" t="s">
        <v>86</v>
      </c>
      <c r="C353">
        <v>200</v>
      </c>
      <c r="D353" s="58" t="s">
        <v>7</v>
      </c>
      <c r="E353" s="58" t="s">
        <v>909</v>
      </c>
    </row>
    <row r="354" spans="1:5" ht="12.75" x14ac:dyDescent="0.2">
      <c r="A354" s="58" t="s">
        <v>516</v>
      </c>
      <c r="B354" s="58" t="s">
        <v>86</v>
      </c>
      <c r="C354">
        <v>40</v>
      </c>
      <c r="D354" s="58" t="s">
        <v>7</v>
      </c>
      <c r="E354" s="58" t="s">
        <v>910</v>
      </c>
    </row>
    <row r="355" spans="1:5" ht="12.75" x14ac:dyDescent="0.2">
      <c r="A355" s="58" t="s">
        <v>517</v>
      </c>
      <c r="B355" s="58" t="s">
        <v>924</v>
      </c>
      <c r="C355">
        <v>33</v>
      </c>
      <c r="D355" s="58" t="s">
        <v>11</v>
      </c>
      <c r="E355" s="58" t="s">
        <v>909</v>
      </c>
    </row>
    <row r="356" spans="1:5" ht="12.75" x14ac:dyDescent="0.2">
      <c r="A356" s="58" t="s">
        <v>517</v>
      </c>
      <c r="B356" s="58" t="s">
        <v>924</v>
      </c>
      <c r="C356">
        <v>6</v>
      </c>
      <c r="D356" s="58" t="s">
        <v>11</v>
      </c>
      <c r="E356" s="58" t="s">
        <v>910</v>
      </c>
    </row>
    <row r="357" spans="1:5" ht="12.75" x14ac:dyDescent="0.2">
      <c r="A357" s="58" t="s">
        <v>518</v>
      </c>
      <c r="B357" s="58" t="s">
        <v>925</v>
      </c>
      <c r="C357">
        <v>24</v>
      </c>
      <c r="D357" s="58" t="s">
        <v>11</v>
      </c>
      <c r="E357" s="58" t="s">
        <v>909</v>
      </c>
    </row>
    <row r="358" spans="1:5" ht="12.75" x14ac:dyDescent="0.2">
      <c r="A358" s="58" t="s">
        <v>518</v>
      </c>
      <c r="B358" s="58" t="s">
        <v>925</v>
      </c>
      <c r="C358">
        <v>4</v>
      </c>
      <c r="D358" s="58" t="s">
        <v>11</v>
      </c>
      <c r="E358" s="58" t="s">
        <v>910</v>
      </c>
    </row>
    <row r="359" spans="1:5" ht="12.75" x14ac:dyDescent="0.2">
      <c r="A359" s="58" t="s">
        <v>519</v>
      </c>
      <c r="B359" s="58" t="s">
        <v>926</v>
      </c>
      <c r="C359">
        <v>14</v>
      </c>
      <c r="D359" s="58" t="s">
        <v>11</v>
      </c>
      <c r="E359" s="58" t="s">
        <v>909</v>
      </c>
    </row>
    <row r="360" spans="1:5" ht="12.75" x14ac:dyDescent="0.2">
      <c r="A360" s="58" t="s">
        <v>519</v>
      </c>
      <c r="B360" s="58" t="s">
        <v>926</v>
      </c>
      <c r="C360">
        <v>2</v>
      </c>
      <c r="D360" s="58" t="s">
        <v>11</v>
      </c>
      <c r="E360" s="58" t="s">
        <v>910</v>
      </c>
    </row>
    <row r="361" spans="1:5" ht="12.75" x14ac:dyDescent="0.2">
      <c r="A361" s="58" t="s">
        <v>520</v>
      </c>
      <c r="B361" s="58" t="s">
        <v>87</v>
      </c>
      <c r="C361">
        <v>532</v>
      </c>
      <c r="D361" s="58" t="s">
        <v>11</v>
      </c>
      <c r="E361" s="58" t="s">
        <v>909</v>
      </c>
    </row>
    <row r="362" spans="1:5" ht="12.75" x14ac:dyDescent="0.2">
      <c r="A362" s="58" t="s">
        <v>520</v>
      </c>
      <c r="B362" s="58" t="s">
        <v>87</v>
      </c>
      <c r="C362">
        <v>106</v>
      </c>
      <c r="D362" s="58" t="s">
        <v>11</v>
      </c>
      <c r="E362" s="58" t="s">
        <v>910</v>
      </c>
    </row>
    <row r="363" spans="1:5" ht="12.75" x14ac:dyDescent="0.2">
      <c r="A363" s="58" t="s">
        <v>521</v>
      </c>
      <c r="B363" s="58" t="s">
        <v>88</v>
      </c>
      <c r="C363">
        <v>148</v>
      </c>
      <c r="D363" s="58" t="s">
        <v>11</v>
      </c>
      <c r="E363" s="58" t="s">
        <v>909</v>
      </c>
    </row>
    <row r="364" spans="1:5" ht="12.75" x14ac:dyDescent="0.2">
      <c r="A364" s="58" t="s">
        <v>521</v>
      </c>
      <c r="B364" s="58" t="s">
        <v>88</v>
      </c>
      <c r="C364">
        <v>29</v>
      </c>
      <c r="D364" s="58" t="s">
        <v>11</v>
      </c>
      <c r="E364" s="58" t="s">
        <v>910</v>
      </c>
    </row>
    <row r="365" spans="1:5" ht="12.75" x14ac:dyDescent="0.2">
      <c r="A365" s="58" t="s">
        <v>522</v>
      </c>
      <c r="B365" s="58" t="s">
        <v>89</v>
      </c>
      <c r="C365">
        <v>224</v>
      </c>
      <c r="D365" s="58" t="s">
        <v>11</v>
      </c>
      <c r="E365" s="58" t="s">
        <v>909</v>
      </c>
    </row>
    <row r="366" spans="1:5" ht="12.75" x14ac:dyDescent="0.2">
      <c r="A366" s="58" t="s">
        <v>522</v>
      </c>
      <c r="B366" s="58" t="s">
        <v>89</v>
      </c>
      <c r="C366">
        <v>44</v>
      </c>
      <c r="D366" s="58" t="s">
        <v>11</v>
      </c>
      <c r="E366" s="58" t="s">
        <v>910</v>
      </c>
    </row>
    <row r="367" spans="1:5" ht="12.75" x14ac:dyDescent="0.2">
      <c r="A367" s="58" t="s">
        <v>523</v>
      </c>
      <c r="B367" s="58" t="s">
        <v>90</v>
      </c>
      <c r="C367">
        <v>0</v>
      </c>
      <c r="D367" s="58" t="s">
        <v>11</v>
      </c>
      <c r="E367" s="58" t="s">
        <v>909</v>
      </c>
    </row>
    <row r="368" spans="1:5" ht="12.75" x14ac:dyDescent="0.2">
      <c r="A368" s="58" t="s">
        <v>523</v>
      </c>
      <c r="B368" s="58" t="s">
        <v>90</v>
      </c>
      <c r="C368">
        <v>0</v>
      </c>
      <c r="D368" s="58" t="s">
        <v>11</v>
      </c>
      <c r="E368" s="58" t="s">
        <v>910</v>
      </c>
    </row>
    <row r="369" spans="1:5" ht="12.75" x14ac:dyDescent="0.2">
      <c r="A369" s="58" t="s">
        <v>524</v>
      </c>
      <c r="B369" s="58" t="s">
        <v>91</v>
      </c>
      <c r="C369">
        <v>2</v>
      </c>
      <c r="D369" s="58" t="s">
        <v>11</v>
      </c>
      <c r="E369" s="58" t="s">
        <v>909</v>
      </c>
    </row>
    <row r="370" spans="1:5" ht="12.75" x14ac:dyDescent="0.2">
      <c r="A370" s="58" t="s">
        <v>524</v>
      </c>
      <c r="B370" s="58" t="s">
        <v>91</v>
      </c>
      <c r="C370">
        <v>0</v>
      </c>
      <c r="D370" s="58" t="s">
        <v>11</v>
      </c>
      <c r="E370" s="58" t="s">
        <v>910</v>
      </c>
    </row>
    <row r="371" spans="1:5" ht="12.75" x14ac:dyDescent="0.2">
      <c r="A371" s="58" t="s">
        <v>525</v>
      </c>
      <c r="B371" s="58" t="s">
        <v>92</v>
      </c>
      <c r="C371">
        <v>26</v>
      </c>
      <c r="D371" s="58" t="s">
        <v>11</v>
      </c>
      <c r="E371" s="58" t="s">
        <v>909</v>
      </c>
    </row>
    <row r="372" spans="1:5" ht="12.75" x14ac:dyDescent="0.2">
      <c r="A372" s="58" t="s">
        <v>525</v>
      </c>
      <c r="B372" s="58" t="s">
        <v>92</v>
      </c>
      <c r="C372">
        <v>5</v>
      </c>
      <c r="D372" s="58" t="s">
        <v>11</v>
      </c>
      <c r="E372" s="58" t="s">
        <v>910</v>
      </c>
    </row>
    <row r="373" spans="1:5" ht="12.75" x14ac:dyDescent="0.2">
      <c r="A373" s="58" t="s">
        <v>526</v>
      </c>
      <c r="B373" s="58" t="s">
        <v>93</v>
      </c>
      <c r="C373">
        <v>3</v>
      </c>
      <c r="D373" s="58" t="s">
        <v>11</v>
      </c>
      <c r="E373" s="58" t="s">
        <v>909</v>
      </c>
    </row>
    <row r="374" spans="1:5" ht="12.75" x14ac:dyDescent="0.2">
      <c r="A374" s="58" t="s">
        <v>526</v>
      </c>
      <c r="B374" s="58" t="s">
        <v>93</v>
      </c>
      <c r="C374">
        <v>0</v>
      </c>
      <c r="D374" s="58" t="s">
        <v>11</v>
      </c>
      <c r="E374" s="58" t="s">
        <v>910</v>
      </c>
    </row>
    <row r="375" spans="1:5" ht="12.75" x14ac:dyDescent="0.2">
      <c r="A375" s="58" t="s">
        <v>527</v>
      </c>
      <c r="B375" s="58" t="s">
        <v>94</v>
      </c>
      <c r="C375">
        <v>3</v>
      </c>
      <c r="D375" s="58" t="s">
        <v>11</v>
      </c>
      <c r="E375" s="58" t="s">
        <v>909</v>
      </c>
    </row>
    <row r="376" spans="1:5" ht="12.75" x14ac:dyDescent="0.2">
      <c r="A376" s="58" t="s">
        <v>527</v>
      </c>
      <c r="B376" s="58" t="s">
        <v>94</v>
      </c>
      <c r="C376">
        <v>0</v>
      </c>
      <c r="D376" s="58" t="s">
        <v>11</v>
      </c>
      <c r="E376" s="58" t="s">
        <v>910</v>
      </c>
    </row>
    <row r="377" spans="1:5" ht="12.75" x14ac:dyDescent="0.2">
      <c r="A377" s="58" t="s">
        <v>528</v>
      </c>
      <c r="B377" s="58" t="s">
        <v>95</v>
      </c>
      <c r="C377">
        <v>24</v>
      </c>
      <c r="D377" s="58" t="s">
        <v>11</v>
      </c>
      <c r="E377" s="58" t="s">
        <v>909</v>
      </c>
    </row>
    <row r="378" spans="1:5" ht="12.75" x14ac:dyDescent="0.2">
      <c r="A378" s="58" t="s">
        <v>528</v>
      </c>
      <c r="B378" s="58" t="s">
        <v>95</v>
      </c>
      <c r="C378">
        <v>4</v>
      </c>
      <c r="D378" s="58" t="s">
        <v>11</v>
      </c>
      <c r="E378" s="58" t="s">
        <v>910</v>
      </c>
    </row>
    <row r="379" spans="1:5" ht="12.75" x14ac:dyDescent="0.2">
      <c r="A379" s="58" t="s">
        <v>529</v>
      </c>
      <c r="B379" s="58" t="s">
        <v>96</v>
      </c>
      <c r="C379">
        <v>524</v>
      </c>
      <c r="D379" s="58" t="s">
        <v>11</v>
      </c>
      <c r="E379" s="58" t="s">
        <v>909</v>
      </c>
    </row>
    <row r="380" spans="1:5" ht="12.75" x14ac:dyDescent="0.2">
      <c r="A380" s="58" t="s">
        <v>529</v>
      </c>
      <c r="B380" s="58" t="s">
        <v>96</v>
      </c>
      <c r="C380">
        <v>104</v>
      </c>
      <c r="D380" s="58" t="s">
        <v>11</v>
      </c>
      <c r="E380" s="58" t="s">
        <v>910</v>
      </c>
    </row>
    <row r="381" spans="1:5" ht="12.75" x14ac:dyDescent="0.2">
      <c r="A381" s="58" t="s">
        <v>530</v>
      </c>
      <c r="B381" s="58" t="s">
        <v>97</v>
      </c>
      <c r="C381">
        <v>242</v>
      </c>
      <c r="D381" s="58" t="s">
        <v>11</v>
      </c>
      <c r="E381" s="58" t="s">
        <v>909</v>
      </c>
    </row>
    <row r="382" spans="1:5" ht="12.75" x14ac:dyDescent="0.2">
      <c r="A382" s="58" t="s">
        <v>530</v>
      </c>
      <c r="B382" s="58" t="s">
        <v>97</v>
      </c>
      <c r="C382">
        <v>48</v>
      </c>
      <c r="D382" s="58" t="s">
        <v>11</v>
      </c>
      <c r="E382" s="58" t="s">
        <v>910</v>
      </c>
    </row>
    <row r="383" spans="1:5" ht="12.75" x14ac:dyDescent="0.2">
      <c r="A383" s="58" t="s">
        <v>531</v>
      </c>
      <c r="B383" s="58" t="s">
        <v>98</v>
      </c>
      <c r="C383">
        <v>134</v>
      </c>
      <c r="D383" s="58" t="s">
        <v>11</v>
      </c>
      <c r="E383" s="58" t="s">
        <v>909</v>
      </c>
    </row>
    <row r="384" spans="1:5" ht="12.75" x14ac:dyDescent="0.2">
      <c r="A384" s="58" t="s">
        <v>531</v>
      </c>
      <c r="B384" s="58" t="s">
        <v>98</v>
      </c>
      <c r="C384">
        <v>26</v>
      </c>
      <c r="D384" s="58" t="s">
        <v>11</v>
      </c>
      <c r="E384" s="58" t="s">
        <v>910</v>
      </c>
    </row>
    <row r="385" spans="1:5" ht="12.75" x14ac:dyDescent="0.2">
      <c r="A385" s="58" t="s">
        <v>532</v>
      </c>
      <c r="B385" s="58" t="s">
        <v>99</v>
      </c>
      <c r="C385">
        <v>183</v>
      </c>
      <c r="D385" s="58" t="s">
        <v>11</v>
      </c>
      <c r="E385" s="58" t="s">
        <v>909</v>
      </c>
    </row>
    <row r="386" spans="1:5" ht="12.75" x14ac:dyDescent="0.2">
      <c r="A386" s="58" t="s">
        <v>532</v>
      </c>
      <c r="B386" s="58" t="s">
        <v>99</v>
      </c>
      <c r="C386">
        <v>36</v>
      </c>
      <c r="D386" s="58" t="s">
        <v>11</v>
      </c>
      <c r="E386" s="58" t="s">
        <v>910</v>
      </c>
    </row>
    <row r="387" spans="1:5" ht="12.75" x14ac:dyDescent="0.2">
      <c r="A387" s="58" t="s">
        <v>533</v>
      </c>
      <c r="B387" s="58" t="s">
        <v>100</v>
      </c>
      <c r="C387">
        <v>18</v>
      </c>
      <c r="D387" s="58" t="s">
        <v>11</v>
      </c>
      <c r="E387" s="58" t="s">
        <v>909</v>
      </c>
    </row>
    <row r="388" spans="1:5" ht="12.75" x14ac:dyDescent="0.2">
      <c r="A388" s="58" t="s">
        <v>533</v>
      </c>
      <c r="B388" s="58" t="s">
        <v>100</v>
      </c>
      <c r="C388">
        <v>3</v>
      </c>
      <c r="D388" s="58" t="s">
        <v>11</v>
      </c>
      <c r="E388" s="58" t="s">
        <v>910</v>
      </c>
    </row>
    <row r="389" spans="1:5" ht="12.75" x14ac:dyDescent="0.2">
      <c r="A389" s="58" t="s">
        <v>534</v>
      </c>
      <c r="B389" s="58" t="s">
        <v>101</v>
      </c>
      <c r="C389">
        <v>400</v>
      </c>
      <c r="D389" s="58" t="s">
        <v>11</v>
      </c>
      <c r="E389" s="58" t="s">
        <v>909</v>
      </c>
    </row>
    <row r="390" spans="1:5" ht="12.75" x14ac:dyDescent="0.2">
      <c r="A390" s="58" t="s">
        <v>534</v>
      </c>
      <c r="B390" s="58" t="s">
        <v>101</v>
      </c>
      <c r="C390">
        <v>80</v>
      </c>
      <c r="D390" s="58" t="s">
        <v>11</v>
      </c>
      <c r="E390" s="58" t="s">
        <v>910</v>
      </c>
    </row>
    <row r="391" spans="1:5" ht="12.75" x14ac:dyDescent="0.2">
      <c r="A391" s="58" t="s">
        <v>535</v>
      </c>
      <c r="B391" s="58" t="s">
        <v>102</v>
      </c>
      <c r="C391">
        <v>139</v>
      </c>
      <c r="D391" s="58" t="s">
        <v>11</v>
      </c>
      <c r="E391" s="58" t="s">
        <v>909</v>
      </c>
    </row>
    <row r="392" spans="1:5" ht="12.75" x14ac:dyDescent="0.2">
      <c r="A392" s="58" t="s">
        <v>535</v>
      </c>
      <c r="B392" s="58" t="s">
        <v>102</v>
      </c>
      <c r="C392">
        <v>27</v>
      </c>
      <c r="D392" s="58" t="s">
        <v>11</v>
      </c>
      <c r="E392" s="58" t="s">
        <v>910</v>
      </c>
    </row>
    <row r="393" spans="1:5" ht="12.75" x14ac:dyDescent="0.2">
      <c r="A393" s="58" t="s">
        <v>537</v>
      </c>
      <c r="B393" s="58" t="s">
        <v>103</v>
      </c>
      <c r="C393">
        <v>188</v>
      </c>
      <c r="D393" s="58" t="s">
        <v>11</v>
      </c>
      <c r="E393" s="58" t="s">
        <v>909</v>
      </c>
    </row>
    <row r="394" spans="1:5" ht="12.75" x14ac:dyDescent="0.2">
      <c r="A394" s="58" t="s">
        <v>537</v>
      </c>
      <c r="B394" s="58" t="s">
        <v>103</v>
      </c>
      <c r="C394">
        <v>37</v>
      </c>
      <c r="D394" s="58" t="s">
        <v>11</v>
      </c>
      <c r="E394" s="58" t="s">
        <v>910</v>
      </c>
    </row>
    <row r="395" spans="1:5" ht="12.75" x14ac:dyDescent="0.2">
      <c r="A395" s="58" t="s">
        <v>538</v>
      </c>
      <c r="B395" s="58" t="s">
        <v>104</v>
      </c>
      <c r="C395">
        <v>67</v>
      </c>
      <c r="D395" s="58" t="s">
        <v>11</v>
      </c>
      <c r="E395" s="58" t="s">
        <v>909</v>
      </c>
    </row>
    <row r="396" spans="1:5" ht="12.75" x14ac:dyDescent="0.2">
      <c r="A396" s="58" t="s">
        <v>538</v>
      </c>
      <c r="B396" s="58" t="s">
        <v>104</v>
      </c>
      <c r="C396">
        <v>13</v>
      </c>
      <c r="D396" s="58" t="s">
        <v>11</v>
      </c>
      <c r="E396" s="58" t="s">
        <v>910</v>
      </c>
    </row>
    <row r="397" spans="1:5" ht="12.75" x14ac:dyDescent="0.2">
      <c r="A397" s="58" t="s">
        <v>539</v>
      </c>
      <c r="B397" s="58" t="s">
        <v>536</v>
      </c>
      <c r="C397">
        <v>63</v>
      </c>
      <c r="D397" s="58" t="s">
        <v>11</v>
      </c>
      <c r="E397" s="58" t="s">
        <v>909</v>
      </c>
    </row>
    <row r="398" spans="1:5" ht="12.75" x14ac:dyDescent="0.2">
      <c r="A398" s="58" t="s">
        <v>539</v>
      </c>
      <c r="B398" s="58" t="s">
        <v>536</v>
      </c>
      <c r="C398">
        <v>12</v>
      </c>
      <c r="D398" s="58" t="s">
        <v>11</v>
      </c>
      <c r="E398" s="58" t="s">
        <v>910</v>
      </c>
    </row>
    <row r="399" spans="1:5" ht="12.75" x14ac:dyDescent="0.2">
      <c r="A399" s="58" t="s">
        <v>540</v>
      </c>
      <c r="B399" s="58" t="s">
        <v>105</v>
      </c>
      <c r="C399">
        <v>400</v>
      </c>
      <c r="D399" s="58" t="s">
        <v>11</v>
      </c>
      <c r="E399" s="58" t="s">
        <v>909</v>
      </c>
    </row>
    <row r="400" spans="1:5" ht="12.75" x14ac:dyDescent="0.2">
      <c r="A400" s="58" t="s">
        <v>540</v>
      </c>
      <c r="B400" s="58" t="s">
        <v>105</v>
      </c>
      <c r="C400">
        <v>80</v>
      </c>
      <c r="D400" s="58" t="s">
        <v>11</v>
      </c>
      <c r="E400" s="58" t="s">
        <v>910</v>
      </c>
    </row>
    <row r="401" spans="1:5" ht="12.75" x14ac:dyDescent="0.2">
      <c r="A401" s="58" t="s">
        <v>541</v>
      </c>
      <c r="B401" s="58" t="s">
        <v>106</v>
      </c>
      <c r="C401">
        <v>410</v>
      </c>
      <c r="D401" s="58" t="s">
        <v>11</v>
      </c>
      <c r="E401" s="58" t="s">
        <v>909</v>
      </c>
    </row>
    <row r="402" spans="1:5" ht="12.75" x14ac:dyDescent="0.2">
      <c r="A402" s="58" t="s">
        <v>541</v>
      </c>
      <c r="B402" s="58" t="s">
        <v>106</v>
      </c>
      <c r="C402">
        <v>82</v>
      </c>
      <c r="D402" s="58" t="s">
        <v>11</v>
      </c>
      <c r="E402" s="58" t="s">
        <v>910</v>
      </c>
    </row>
    <row r="403" spans="1:5" ht="12.75" x14ac:dyDescent="0.2">
      <c r="A403" s="58" t="s">
        <v>542</v>
      </c>
      <c r="B403" s="58" t="s">
        <v>107</v>
      </c>
      <c r="C403">
        <v>615</v>
      </c>
      <c r="D403" s="58" t="s">
        <v>11</v>
      </c>
      <c r="E403" s="58" t="s">
        <v>909</v>
      </c>
    </row>
    <row r="404" spans="1:5" ht="12.75" x14ac:dyDescent="0.2">
      <c r="A404" s="58" t="s">
        <v>542</v>
      </c>
      <c r="B404" s="58" t="s">
        <v>107</v>
      </c>
      <c r="C404">
        <v>123</v>
      </c>
      <c r="D404" s="58" t="s">
        <v>11</v>
      </c>
      <c r="E404" s="58" t="s">
        <v>910</v>
      </c>
    </row>
    <row r="405" spans="1:5" ht="12.75" x14ac:dyDescent="0.2">
      <c r="A405" s="58" t="s">
        <v>543</v>
      </c>
      <c r="B405" s="58" t="s">
        <v>108</v>
      </c>
      <c r="C405">
        <v>190</v>
      </c>
      <c r="D405" s="58" t="s">
        <v>11</v>
      </c>
      <c r="E405" s="58" t="s">
        <v>909</v>
      </c>
    </row>
    <row r="406" spans="1:5" ht="12.75" x14ac:dyDescent="0.2">
      <c r="A406" s="58" t="s">
        <v>543</v>
      </c>
      <c r="B406" s="58" t="s">
        <v>108</v>
      </c>
      <c r="C406">
        <v>38</v>
      </c>
      <c r="D406" s="58" t="s">
        <v>11</v>
      </c>
      <c r="E406" s="58" t="s">
        <v>910</v>
      </c>
    </row>
    <row r="407" spans="1:5" ht="12.75" x14ac:dyDescent="0.2">
      <c r="A407" s="58" t="s">
        <v>544</v>
      </c>
      <c r="B407" s="58" t="s">
        <v>109</v>
      </c>
      <c r="C407">
        <v>180</v>
      </c>
      <c r="D407" s="58" t="s">
        <v>11</v>
      </c>
      <c r="E407" s="58" t="s">
        <v>909</v>
      </c>
    </row>
    <row r="408" spans="1:5" ht="12.75" x14ac:dyDescent="0.2">
      <c r="A408" s="58" t="s">
        <v>544</v>
      </c>
      <c r="B408" s="58" t="s">
        <v>109</v>
      </c>
      <c r="C408">
        <v>36</v>
      </c>
      <c r="D408" s="58" t="s">
        <v>11</v>
      </c>
      <c r="E408" s="58" t="s">
        <v>910</v>
      </c>
    </row>
    <row r="409" spans="1:5" ht="12.75" x14ac:dyDescent="0.2">
      <c r="A409" s="58" t="s">
        <v>546</v>
      </c>
      <c r="B409" s="58" t="s">
        <v>110</v>
      </c>
      <c r="C409">
        <v>198</v>
      </c>
      <c r="D409" s="58" t="s">
        <v>11</v>
      </c>
      <c r="E409" s="58" t="s">
        <v>909</v>
      </c>
    </row>
    <row r="410" spans="1:5" ht="12.75" x14ac:dyDescent="0.2">
      <c r="A410" s="58" t="s">
        <v>546</v>
      </c>
      <c r="B410" s="58" t="s">
        <v>110</v>
      </c>
      <c r="C410">
        <v>39</v>
      </c>
      <c r="D410" s="58" t="s">
        <v>11</v>
      </c>
      <c r="E410" s="58" t="s">
        <v>910</v>
      </c>
    </row>
    <row r="411" spans="1:5" ht="12.75" x14ac:dyDescent="0.2">
      <c r="A411" s="58" t="s">
        <v>548</v>
      </c>
      <c r="B411" s="58" t="s">
        <v>111</v>
      </c>
      <c r="C411">
        <v>98</v>
      </c>
      <c r="D411" s="58" t="s">
        <v>11</v>
      </c>
      <c r="E411" s="58" t="s">
        <v>909</v>
      </c>
    </row>
    <row r="412" spans="1:5" ht="12.75" x14ac:dyDescent="0.2">
      <c r="A412" s="58" t="s">
        <v>548</v>
      </c>
      <c r="B412" s="58" t="s">
        <v>111</v>
      </c>
      <c r="C412">
        <v>19</v>
      </c>
      <c r="D412" s="58" t="s">
        <v>11</v>
      </c>
      <c r="E412" s="58" t="s">
        <v>910</v>
      </c>
    </row>
    <row r="413" spans="1:5" ht="12.75" x14ac:dyDescent="0.2">
      <c r="A413" s="58" t="s">
        <v>550</v>
      </c>
      <c r="B413" s="58" t="s">
        <v>545</v>
      </c>
      <c r="C413">
        <v>0</v>
      </c>
      <c r="D413" s="58" t="s">
        <v>11</v>
      </c>
      <c r="E413" s="58" t="s">
        <v>909</v>
      </c>
    </row>
    <row r="414" spans="1:5" ht="12.75" x14ac:dyDescent="0.2">
      <c r="A414" s="58" t="s">
        <v>550</v>
      </c>
      <c r="B414" s="58" t="s">
        <v>545</v>
      </c>
      <c r="C414">
        <v>0</v>
      </c>
      <c r="D414" s="58" t="s">
        <v>11</v>
      </c>
      <c r="E414" s="58" t="s">
        <v>910</v>
      </c>
    </row>
    <row r="415" spans="1:5" ht="12.75" x14ac:dyDescent="0.2">
      <c r="A415" s="58" t="s">
        <v>551</v>
      </c>
      <c r="B415" s="58" t="s">
        <v>547</v>
      </c>
      <c r="C415">
        <v>17</v>
      </c>
      <c r="D415" s="58" t="s">
        <v>11</v>
      </c>
      <c r="E415" s="58" t="s">
        <v>909</v>
      </c>
    </row>
    <row r="416" spans="1:5" ht="12.75" x14ac:dyDescent="0.2">
      <c r="A416" s="58" t="s">
        <v>551</v>
      </c>
      <c r="B416" s="58" t="s">
        <v>547</v>
      </c>
      <c r="C416">
        <v>3</v>
      </c>
      <c r="D416" s="58" t="s">
        <v>11</v>
      </c>
      <c r="E416" s="58" t="s">
        <v>910</v>
      </c>
    </row>
    <row r="417" spans="1:5" ht="12.75" x14ac:dyDescent="0.2">
      <c r="A417" s="58" t="s">
        <v>552</v>
      </c>
      <c r="B417" s="58" t="s">
        <v>549</v>
      </c>
      <c r="C417">
        <v>19</v>
      </c>
      <c r="D417" s="58" t="s">
        <v>11</v>
      </c>
      <c r="E417" s="58" t="s">
        <v>909</v>
      </c>
    </row>
    <row r="418" spans="1:5" ht="12.75" x14ac:dyDescent="0.2">
      <c r="A418" s="58" t="s">
        <v>552</v>
      </c>
      <c r="B418" s="58" t="s">
        <v>549</v>
      </c>
      <c r="C418">
        <v>3</v>
      </c>
      <c r="D418" s="58" t="s">
        <v>11</v>
      </c>
      <c r="E418" s="58" t="s">
        <v>910</v>
      </c>
    </row>
    <row r="419" spans="1:5" ht="12.75" x14ac:dyDescent="0.2">
      <c r="A419" s="58" t="s">
        <v>553</v>
      </c>
      <c r="B419" s="58" t="s">
        <v>112</v>
      </c>
      <c r="C419">
        <v>41</v>
      </c>
      <c r="D419" s="58" t="s">
        <v>11</v>
      </c>
      <c r="E419" s="58" t="s">
        <v>909</v>
      </c>
    </row>
    <row r="420" spans="1:5" ht="12.75" x14ac:dyDescent="0.2">
      <c r="A420" s="58" t="s">
        <v>553</v>
      </c>
      <c r="B420" s="58" t="s">
        <v>112</v>
      </c>
      <c r="C420">
        <v>8</v>
      </c>
      <c r="D420" s="58" t="s">
        <v>11</v>
      </c>
      <c r="E420" s="58" t="s">
        <v>910</v>
      </c>
    </row>
    <row r="421" spans="1:5" ht="12.75" x14ac:dyDescent="0.2">
      <c r="A421" s="58" t="s">
        <v>554</v>
      </c>
      <c r="B421" s="58" t="s">
        <v>113</v>
      </c>
      <c r="C421">
        <v>6</v>
      </c>
      <c r="D421" s="58" t="s">
        <v>11</v>
      </c>
      <c r="E421" s="58" t="s">
        <v>909</v>
      </c>
    </row>
    <row r="422" spans="1:5" ht="12.75" x14ac:dyDescent="0.2">
      <c r="A422" s="58" t="s">
        <v>554</v>
      </c>
      <c r="B422" s="58" t="s">
        <v>113</v>
      </c>
      <c r="C422">
        <v>1</v>
      </c>
      <c r="D422" s="58" t="s">
        <v>11</v>
      </c>
      <c r="E422" s="58" t="s">
        <v>910</v>
      </c>
    </row>
    <row r="423" spans="1:5" ht="12.75" x14ac:dyDescent="0.2">
      <c r="A423" s="58" t="s">
        <v>555</v>
      </c>
      <c r="B423" s="58" t="s">
        <v>114</v>
      </c>
      <c r="C423">
        <v>3</v>
      </c>
      <c r="D423" s="58" t="s">
        <v>11</v>
      </c>
      <c r="E423" s="58" t="s">
        <v>909</v>
      </c>
    </row>
    <row r="424" spans="1:5" ht="12.75" x14ac:dyDescent="0.2">
      <c r="A424" s="58" t="s">
        <v>555</v>
      </c>
      <c r="B424" s="58" t="s">
        <v>114</v>
      </c>
      <c r="C424">
        <v>0</v>
      </c>
      <c r="D424" s="58" t="s">
        <v>11</v>
      </c>
      <c r="E424" s="58" t="s">
        <v>910</v>
      </c>
    </row>
    <row r="425" spans="1:5" ht="12.75" x14ac:dyDescent="0.2">
      <c r="A425" s="58" t="s">
        <v>556</v>
      </c>
      <c r="B425" s="58" t="s">
        <v>115</v>
      </c>
      <c r="C425">
        <v>2</v>
      </c>
      <c r="D425" s="58" t="s">
        <v>11</v>
      </c>
      <c r="E425" s="58" t="s">
        <v>909</v>
      </c>
    </row>
    <row r="426" spans="1:5" ht="12.75" x14ac:dyDescent="0.2">
      <c r="A426" s="58" t="s">
        <v>556</v>
      </c>
      <c r="B426" s="58" t="s">
        <v>115</v>
      </c>
      <c r="C426">
        <v>0</v>
      </c>
      <c r="D426" s="58" t="s">
        <v>11</v>
      </c>
      <c r="E426" s="58" t="s">
        <v>910</v>
      </c>
    </row>
    <row r="427" spans="1:5" ht="12.75" x14ac:dyDescent="0.2">
      <c r="A427" s="58" t="s">
        <v>557</v>
      </c>
      <c r="B427" s="58" t="s">
        <v>116</v>
      </c>
      <c r="C427">
        <v>1</v>
      </c>
      <c r="D427" s="58" t="s">
        <v>11</v>
      </c>
      <c r="E427" s="58" t="s">
        <v>909</v>
      </c>
    </row>
    <row r="428" spans="1:5" ht="12.75" x14ac:dyDescent="0.2">
      <c r="A428" s="58" t="s">
        <v>557</v>
      </c>
      <c r="B428" s="58" t="s">
        <v>116</v>
      </c>
      <c r="C428">
        <v>0</v>
      </c>
      <c r="D428" s="58" t="s">
        <v>11</v>
      </c>
      <c r="E428" s="58" t="s">
        <v>910</v>
      </c>
    </row>
    <row r="429" spans="1:5" ht="12.75" x14ac:dyDescent="0.2">
      <c r="A429" s="58" t="s">
        <v>558</v>
      </c>
      <c r="B429" s="58" t="s">
        <v>117</v>
      </c>
      <c r="C429">
        <v>123</v>
      </c>
      <c r="D429" s="58" t="s">
        <v>11</v>
      </c>
      <c r="E429" s="58" t="s">
        <v>909</v>
      </c>
    </row>
    <row r="430" spans="1:5" ht="12.75" x14ac:dyDescent="0.2">
      <c r="A430" s="58" t="s">
        <v>558</v>
      </c>
      <c r="B430" s="58" t="s">
        <v>117</v>
      </c>
      <c r="C430">
        <v>24</v>
      </c>
      <c r="D430" s="58" t="s">
        <v>11</v>
      </c>
      <c r="E430" s="58" t="s">
        <v>910</v>
      </c>
    </row>
    <row r="431" spans="1:5" ht="12.75" x14ac:dyDescent="0.2">
      <c r="A431" s="58" t="s">
        <v>559</v>
      </c>
      <c r="B431" s="58" t="s">
        <v>118</v>
      </c>
      <c r="C431">
        <v>273</v>
      </c>
      <c r="D431" s="58" t="s">
        <v>11</v>
      </c>
      <c r="E431" s="58" t="s">
        <v>909</v>
      </c>
    </row>
    <row r="432" spans="1:5" ht="12.75" x14ac:dyDescent="0.2">
      <c r="A432" s="58" t="s">
        <v>559</v>
      </c>
      <c r="B432" s="58" t="s">
        <v>118</v>
      </c>
      <c r="C432">
        <v>54</v>
      </c>
      <c r="D432" s="58" t="s">
        <v>11</v>
      </c>
      <c r="E432" s="58" t="s">
        <v>910</v>
      </c>
    </row>
    <row r="433" spans="1:5" ht="12.75" x14ac:dyDescent="0.2">
      <c r="A433" s="58" t="s">
        <v>560</v>
      </c>
      <c r="B433" s="58" t="s">
        <v>119</v>
      </c>
      <c r="C433">
        <v>4</v>
      </c>
      <c r="D433" s="58" t="s">
        <v>11</v>
      </c>
      <c r="E433" s="58" t="s">
        <v>909</v>
      </c>
    </row>
    <row r="434" spans="1:5" ht="12.75" x14ac:dyDescent="0.2">
      <c r="A434" s="58" t="s">
        <v>560</v>
      </c>
      <c r="B434" s="58" t="s">
        <v>119</v>
      </c>
      <c r="C434">
        <v>0</v>
      </c>
      <c r="D434" s="58" t="s">
        <v>11</v>
      </c>
      <c r="E434" s="58" t="s">
        <v>910</v>
      </c>
    </row>
    <row r="435" spans="1:5" ht="12.75" x14ac:dyDescent="0.2">
      <c r="A435" s="58" t="s">
        <v>562</v>
      </c>
      <c r="B435" s="58" t="s">
        <v>120</v>
      </c>
      <c r="C435">
        <v>10</v>
      </c>
      <c r="D435" s="58" t="s">
        <v>11</v>
      </c>
      <c r="E435" s="58" t="s">
        <v>909</v>
      </c>
    </row>
    <row r="436" spans="1:5" ht="12.75" x14ac:dyDescent="0.2">
      <c r="A436" s="58" t="s">
        <v>562</v>
      </c>
      <c r="B436" s="58" t="s">
        <v>120</v>
      </c>
      <c r="C436">
        <v>2</v>
      </c>
      <c r="D436" s="58" t="s">
        <v>11</v>
      </c>
      <c r="E436" s="58" t="s">
        <v>910</v>
      </c>
    </row>
    <row r="437" spans="1:5" ht="12.75" x14ac:dyDescent="0.2">
      <c r="A437" s="58" t="s">
        <v>564</v>
      </c>
      <c r="B437" s="58" t="s">
        <v>121</v>
      </c>
      <c r="C437">
        <v>11</v>
      </c>
      <c r="D437" s="58" t="s">
        <v>11</v>
      </c>
      <c r="E437" s="58" t="s">
        <v>909</v>
      </c>
    </row>
    <row r="438" spans="1:5" ht="12.75" x14ac:dyDescent="0.2">
      <c r="A438" s="58" t="s">
        <v>564</v>
      </c>
      <c r="B438" s="58" t="s">
        <v>121</v>
      </c>
      <c r="C438">
        <v>2</v>
      </c>
      <c r="D438" s="58" t="s">
        <v>11</v>
      </c>
      <c r="E438" s="58" t="s">
        <v>910</v>
      </c>
    </row>
    <row r="439" spans="1:5" ht="12.75" x14ac:dyDescent="0.2">
      <c r="A439" s="58" t="s">
        <v>565</v>
      </c>
      <c r="B439" s="58" t="s">
        <v>561</v>
      </c>
      <c r="C439">
        <v>0</v>
      </c>
      <c r="D439" s="58" t="s">
        <v>11</v>
      </c>
      <c r="E439" s="58" t="s">
        <v>909</v>
      </c>
    </row>
    <row r="440" spans="1:5" ht="12.75" x14ac:dyDescent="0.2">
      <c r="A440" s="58" t="s">
        <v>565</v>
      </c>
      <c r="B440" s="58" t="s">
        <v>561</v>
      </c>
      <c r="C440">
        <v>0</v>
      </c>
      <c r="D440" s="58" t="s">
        <v>11</v>
      </c>
      <c r="E440" s="58" t="s">
        <v>910</v>
      </c>
    </row>
    <row r="441" spans="1:5" ht="12.75" x14ac:dyDescent="0.2">
      <c r="A441" s="58" t="s">
        <v>566</v>
      </c>
      <c r="B441" s="58" t="s">
        <v>563</v>
      </c>
      <c r="C441">
        <v>0</v>
      </c>
      <c r="D441" s="58" t="s">
        <v>11</v>
      </c>
      <c r="E441" s="58" t="s">
        <v>909</v>
      </c>
    </row>
    <row r="442" spans="1:5" ht="12.75" x14ac:dyDescent="0.2">
      <c r="A442" s="58" t="s">
        <v>566</v>
      </c>
      <c r="B442" s="58" t="s">
        <v>563</v>
      </c>
      <c r="C442">
        <v>0</v>
      </c>
      <c r="D442" s="58" t="s">
        <v>11</v>
      </c>
      <c r="E442" s="58" t="s">
        <v>910</v>
      </c>
    </row>
    <row r="443" spans="1:5" ht="12.75" x14ac:dyDescent="0.2">
      <c r="A443" s="58" t="s">
        <v>567</v>
      </c>
      <c r="B443" s="58" t="s">
        <v>122</v>
      </c>
      <c r="C443">
        <v>18</v>
      </c>
      <c r="D443" s="58" t="s">
        <v>11</v>
      </c>
      <c r="E443" s="58" t="s">
        <v>909</v>
      </c>
    </row>
    <row r="444" spans="1:5" ht="12.75" x14ac:dyDescent="0.2">
      <c r="A444" s="58" t="s">
        <v>567</v>
      </c>
      <c r="B444" s="58" t="s">
        <v>122</v>
      </c>
      <c r="C444">
        <v>3</v>
      </c>
      <c r="D444" s="58" t="s">
        <v>11</v>
      </c>
      <c r="E444" s="58" t="s">
        <v>910</v>
      </c>
    </row>
    <row r="445" spans="1:5" ht="12.75" x14ac:dyDescent="0.2">
      <c r="A445" s="58" t="s">
        <v>568</v>
      </c>
      <c r="B445" s="58" t="s">
        <v>123</v>
      </c>
      <c r="C445">
        <v>2</v>
      </c>
      <c r="D445" s="58" t="s">
        <v>11</v>
      </c>
      <c r="E445" s="58" t="s">
        <v>909</v>
      </c>
    </row>
    <row r="446" spans="1:5" ht="12.75" x14ac:dyDescent="0.2">
      <c r="A446" s="58" t="s">
        <v>568</v>
      </c>
      <c r="B446" s="58" t="s">
        <v>123</v>
      </c>
      <c r="C446">
        <v>0</v>
      </c>
      <c r="D446" s="58" t="s">
        <v>11</v>
      </c>
      <c r="E446" s="58" t="s">
        <v>910</v>
      </c>
    </row>
    <row r="447" spans="1:5" ht="12.75" x14ac:dyDescent="0.2">
      <c r="A447" s="58" t="s">
        <v>569</v>
      </c>
      <c r="B447" s="58" t="s">
        <v>124</v>
      </c>
      <c r="C447">
        <v>2</v>
      </c>
      <c r="D447" s="58" t="s">
        <v>11</v>
      </c>
      <c r="E447" s="58" t="s">
        <v>909</v>
      </c>
    </row>
    <row r="448" spans="1:5" ht="12.75" x14ac:dyDescent="0.2">
      <c r="A448" s="58" t="s">
        <v>569</v>
      </c>
      <c r="B448" s="58" t="s">
        <v>124</v>
      </c>
      <c r="C448">
        <v>0</v>
      </c>
      <c r="D448" s="58" t="s">
        <v>11</v>
      </c>
      <c r="E448" s="58" t="s">
        <v>910</v>
      </c>
    </row>
    <row r="449" spans="1:5" ht="12.75" x14ac:dyDescent="0.2">
      <c r="A449" s="58" t="s">
        <v>570</v>
      </c>
      <c r="B449" s="58" t="s">
        <v>125</v>
      </c>
      <c r="C449">
        <v>1</v>
      </c>
      <c r="D449" s="58" t="s">
        <v>11</v>
      </c>
      <c r="E449" s="58" t="s">
        <v>909</v>
      </c>
    </row>
    <row r="450" spans="1:5" ht="12.75" x14ac:dyDescent="0.2">
      <c r="A450" s="58" t="s">
        <v>570</v>
      </c>
      <c r="B450" s="58" t="s">
        <v>125</v>
      </c>
      <c r="C450">
        <v>0</v>
      </c>
      <c r="D450" s="58" t="s">
        <v>11</v>
      </c>
      <c r="E450" s="58" t="s">
        <v>910</v>
      </c>
    </row>
    <row r="451" spans="1:5" ht="12.75" x14ac:dyDescent="0.2">
      <c r="A451" s="58" t="s">
        <v>571</v>
      </c>
      <c r="B451" s="58" t="s">
        <v>126</v>
      </c>
      <c r="C451">
        <v>1</v>
      </c>
      <c r="D451" s="58" t="s">
        <v>11</v>
      </c>
      <c r="E451" s="58" t="s">
        <v>909</v>
      </c>
    </row>
    <row r="452" spans="1:5" ht="12.75" x14ac:dyDescent="0.2">
      <c r="A452" s="58" t="s">
        <v>571</v>
      </c>
      <c r="B452" s="58" t="s">
        <v>126</v>
      </c>
      <c r="C452">
        <v>0</v>
      </c>
      <c r="D452" s="58" t="s">
        <v>11</v>
      </c>
      <c r="E452" s="58" t="s">
        <v>910</v>
      </c>
    </row>
    <row r="453" spans="1:5" ht="12.75" x14ac:dyDescent="0.2">
      <c r="A453" s="58" t="s">
        <v>573</v>
      </c>
      <c r="B453" s="58" t="s">
        <v>127</v>
      </c>
      <c r="C453">
        <v>185</v>
      </c>
      <c r="D453" s="58" t="s">
        <v>11</v>
      </c>
      <c r="E453" s="58" t="s">
        <v>909</v>
      </c>
    </row>
    <row r="454" spans="1:5" ht="12.75" x14ac:dyDescent="0.2">
      <c r="A454" s="58" t="s">
        <v>573</v>
      </c>
      <c r="B454" s="58" t="s">
        <v>127</v>
      </c>
      <c r="C454">
        <v>37</v>
      </c>
      <c r="D454" s="58" t="s">
        <v>11</v>
      </c>
      <c r="E454" s="58" t="s">
        <v>910</v>
      </c>
    </row>
    <row r="455" spans="1:5" ht="12.75" x14ac:dyDescent="0.2">
      <c r="A455" s="58" t="s">
        <v>575</v>
      </c>
      <c r="B455" s="58" t="s">
        <v>128</v>
      </c>
      <c r="C455">
        <v>8</v>
      </c>
      <c r="D455" s="58" t="s">
        <v>11</v>
      </c>
      <c r="E455" s="58" t="s">
        <v>909</v>
      </c>
    </row>
    <row r="456" spans="1:5" ht="12.75" x14ac:dyDescent="0.2">
      <c r="A456" s="58" t="s">
        <v>575</v>
      </c>
      <c r="B456" s="58" t="s">
        <v>128</v>
      </c>
      <c r="C456">
        <v>1</v>
      </c>
      <c r="D456" s="58" t="s">
        <v>11</v>
      </c>
      <c r="E456" s="58" t="s">
        <v>910</v>
      </c>
    </row>
    <row r="457" spans="1:5" ht="12.75" x14ac:dyDescent="0.2">
      <c r="A457" s="58" t="s">
        <v>576</v>
      </c>
      <c r="B457" s="58" t="s">
        <v>572</v>
      </c>
      <c r="C457">
        <v>43</v>
      </c>
      <c r="D457" s="58" t="s">
        <v>11</v>
      </c>
      <c r="E457" s="58" t="s">
        <v>909</v>
      </c>
    </row>
    <row r="458" spans="1:5" ht="12.75" x14ac:dyDescent="0.2">
      <c r="A458" s="58" t="s">
        <v>576</v>
      </c>
      <c r="B458" s="58" t="s">
        <v>572</v>
      </c>
      <c r="C458">
        <v>8</v>
      </c>
      <c r="D458" s="58" t="s">
        <v>11</v>
      </c>
      <c r="E458" s="58" t="s">
        <v>910</v>
      </c>
    </row>
    <row r="459" spans="1:5" ht="12.75" x14ac:dyDescent="0.2">
      <c r="A459" s="58" t="s">
        <v>578</v>
      </c>
      <c r="B459" s="58" t="s">
        <v>574</v>
      </c>
      <c r="C459">
        <v>0</v>
      </c>
      <c r="D459" s="58" t="s">
        <v>11</v>
      </c>
      <c r="E459" s="58" t="s">
        <v>909</v>
      </c>
    </row>
    <row r="460" spans="1:5" ht="12.75" x14ac:dyDescent="0.2">
      <c r="A460" s="58" t="s">
        <v>578</v>
      </c>
      <c r="B460" s="58" t="s">
        <v>574</v>
      </c>
      <c r="C460">
        <v>0</v>
      </c>
      <c r="D460" s="58" t="s">
        <v>11</v>
      </c>
      <c r="E460" s="58" t="s">
        <v>910</v>
      </c>
    </row>
    <row r="461" spans="1:5" ht="12.75" x14ac:dyDescent="0.2">
      <c r="A461" s="58" t="s">
        <v>927</v>
      </c>
      <c r="B461" s="58" t="s">
        <v>129</v>
      </c>
      <c r="C461">
        <v>500</v>
      </c>
      <c r="D461" s="58" t="s">
        <v>11</v>
      </c>
      <c r="E461" s="58" t="s">
        <v>909</v>
      </c>
    </row>
    <row r="462" spans="1:5" ht="12.75" x14ac:dyDescent="0.2">
      <c r="A462" s="58" t="s">
        <v>927</v>
      </c>
      <c r="B462" s="58" t="s">
        <v>129</v>
      </c>
      <c r="C462">
        <v>100</v>
      </c>
      <c r="D462" s="58" t="s">
        <v>11</v>
      </c>
      <c r="E462" s="58" t="s">
        <v>910</v>
      </c>
    </row>
    <row r="463" spans="1:5" ht="12.75" x14ac:dyDescent="0.2">
      <c r="A463" s="58" t="s">
        <v>928</v>
      </c>
      <c r="B463" s="58" t="s">
        <v>577</v>
      </c>
      <c r="C463">
        <v>43</v>
      </c>
      <c r="D463" s="58" t="s">
        <v>11</v>
      </c>
      <c r="E463" s="58" t="s">
        <v>909</v>
      </c>
    </row>
    <row r="464" spans="1:5" ht="12.75" x14ac:dyDescent="0.2">
      <c r="A464" s="58" t="s">
        <v>928</v>
      </c>
      <c r="B464" s="58" t="s">
        <v>577</v>
      </c>
      <c r="C464">
        <v>8</v>
      </c>
      <c r="D464" s="58" t="s">
        <v>11</v>
      </c>
      <c r="E464" s="58" t="s">
        <v>910</v>
      </c>
    </row>
    <row r="465" spans="1:5" ht="12.75" x14ac:dyDescent="0.2">
      <c r="A465" s="58" t="s">
        <v>929</v>
      </c>
      <c r="B465" s="58" t="s">
        <v>930</v>
      </c>
      <c r="C465">
        <v>5000</v>
      </c>
      <c r="D465" s="58" t="s">
        <v>11</v>
      </c>
      <c r="E465" s="58" t="s">
        <v>909</v>
      </c>
    </row>
    <row r="466" spans="1:5" ht="12.75" x14ac:dyDescent="0.2">
      <c r="A466" s="58" t="s">
        <v>929</v>
      </c>
      <c r="B466" s="58" t="s">
        <v>930</v>
      </c>
      <c r="C466">
        <v>1000</v>
      </c>
      <c r="D466" s="58" t="s">
        <v>11</v>
      </c>
      <c r="E466" s="58" t="s">
        <v>910</v>
      </c>
    </row>
    <row r="467" spans="1:5" ht="12.75" x14ac:dyDescent="0.2">
      <c r="A467" s="58" t="s">
        <v>931</v>
      </c>
      <c r="B467" s="58" t="s">
        <v>579</v>
      </c>
      <c r="C467">
        <v>850</v>
      </c>
      <c r="D467" s="58" t="s">
        <v>11</v>
      </c>
      <c r="E467" s="58" t="s">
        <v>909</v>
      </c>
    </row>
    <row r="468" spans="1:5" ht="12.75" x14ac:dyDescent="0.2">
      <c r="A468" s="58" t="s">
        <v>931</v>
      </c>
      <c r="B468" s="58" t="s">
        <v>579</v>
      </c>
      <c r="C468">
        <v>170</v>
      </c>
      <c r="D468" s="58" t="s">
        <v>11</v>
      </c>
      <c r="E468" s="58" t="s">
        <v>910</v>
      </c>
    </row>
    <row r="469" spans="1:5" ht="12.75" x14ac:dyDescent="0.2">
      <c r="A469" s="58" t="s">
        <v>932</v>
      </c>
      <c r="B469" s="58" t="s">
        <v>933</v>
      </c>
      <c r="C469">
        <v>0</v>
      </c>
      <c r="D469" s="58" t="s">
        <v>11</v>
      </c>
      <c r="E469" s="58" t="s">
        <v>909</v>
      </c>
    </row>
    <row r="470" spans="1:5" ht="12.75" x14ac:dyDescent="0.2">
      <c r="A470" s="58" t="s">
        <v>932</v>
      </c>
      <c r="B470" s="58" t="s">
        <v>933</v>
      </c>
      <c r="C470">
        <v>0</v>
      </c>
      <c r="D470" s="58" t="s">
        <v>11</v>
      </c>
      <c r="E470" s="58" t="s">
        <v>910</v>
      </c>
    </row>
    <row r="471" spans="1:5" ht="12.75" x14ac:dyDescent="0.2">
      <c r="A471" s="58" t="s">
        <v>580</v>
      </c>
      <c r="B471" s="58" t="s">
        <v>23</v>
      </c>
      <c r="C471">
        <v>125</v>
      </c>
      <c r="D471" s="58" t="s">
        <v>361</v>
      </c>
      <c r="E471" s="58" t="s">
        <v>909</v>
      </c>
    </row>
    <row r="472" spans="1:5" ht="12.75" x14ac:dyDescent="0.2">
      <c r="A472" s="58" t="s">
        <v>580</v>
      </c>
      <c r="B472" s="58" t="s">
        <v>23</v>
      </c>
      <c r="C472">
        <v>25</v>
      </c>
      <c r="D472" s="58" t="s">
        <v>361</v>
      </c>
      <c r="E472" s="58" t="s">
        <v>910</v>
      </c>
    </row>
    <row r="473" spans="1:5" ht="12.75" x14ac:dyDescent="0.2">
      <c r="A473" s="58" t="s">
        <v>582</v>
      </c>
      <c r="B473" s="58" t="s">
        <v>241</v>
      </c>
      <c r="C473">
        <v>90</v>
      </c>
      <c r="D473" s="58" t="s">
        <v>361</v>
      </c>
      <c r="E473" s="58" t="s">
        <v>909</v>
      </c>
    </row>
    <row r="474" spans="1:5" ht="12.75" x14ac:dyDescent="0.2">
      <c r="A474" s="58" t="s">
        <v>582</v>
      </c>
      <c r="B474" s="58" t="s">
        <v>241</v>
      </c>
      <c r="C474">
        <v>18</v>
      </c>
      <c r="D474" s="58" t="s">
        <v>361</v>
      </c>
      <c r="E474" s="58" t="s">
        <v>910</v>
      </c>
    </row>
    <row r="475" spans="1:5" ht="12.75" x14ac:dyDescent="0.2">
      <c r="A475" s="58" t="s">
        <v>583</v>
      </c>
      <c r="B475" s="58" t="s">
        <v>584</v>
      </c>
      <c r="C475">
        <v>30</v>
      </c>
      <c r="D475" s="58" t="s">
        <v>361</v>
      </c>
      <c r="E475" s="58" t="s">
        <v>909</v>
      </c>
    </row>
    <row r="476" spans="1:5" ht="12.75" x14ac:dyDescent="0.2">
      <c r="A476" s="58" t="s">
        <v>583</v>
      </c>
      <c r="B476" s="58" t="s">
        <v>584</v>
      </c>
      <c r="C476">
        <v>6</v>
      </c>
      <c r="D476" s="58" t="s">
        <v>361</v>
      </c>
      <c r="E476" s="58" t="s">
        <v>910</v>
      </c>
    </row>
    <row r="477" spans="1:5" ht="12.75" x14ac:dyDescent="0.2">
      <c r="A477" s="58" t="s">
        <v>585</v>
      </c>
      <c r="B477" s="58" t="s">
        <v>242</v>
      </c>
      <c r="C477">
        <v>0</v>
      </c>
      <c r="D477" s="58" t="s">
        <v>361</v>
      </c>
      <c r="E477" s="58" t="s">
        <v>909</v>
      </c>
    </row>
    <row r="478" spans="1:5" ht="12.75" x14ac:dyDescent="0.2">
      <c r="A478" s="58" t="s">
        <v>585</v>
      </c>
      <c r="B478" s="58" t="s">
        <v>242</v>
      </c>
      <c r="C478">
        <v>0</v>
      </c>
      <c r="D478" s="58" t="s">
        <v>361</v>
      </c>
      <c r="E478" s="58" t="s">
        <v>910</v>
      </c>
    </row>
    <row r="479" spans="1:5" ht="12.75" x14ac:dyDescent="0.2">
      <c r="A479" s="58" t="s">
        <v>586</v>
      </c>
      <c r="B479" s="58" t="s">
        <v>243</v>
      </c>
      <c r="C479">
        <v>0</v>
      </c>
      <c r="D479" s="58" t="s">
        <v>361</v>
      </c>
      <c r="E479" s="58" t="s">
        <v>909</v>
      </c>
    </row>
    <row r="480" spans="1:5" ht="12.75" x14ac:dyDescent="0.2">
      <c r="A480" s="58" t="s">
        <v>586</v>
      </c>
      <c r="B480" s="58" t="s">
        <v>243</v>
      </c>
      <c r="C480">
        <v>0</v>
      </c>
      <c r="D480" s="58" t="s">
        <v>361</v>
      </c>
      <c r="E480" s="58" t="s">
        <v>910</v>
      </c>
    </row>
    <row r="481" spans="1:5" ht="12.75" x14ac:dyDescent="0.2">
      <c r="A481" s="58" t="s">
        <v>587</v>
      </c>
      <c r="B481" s="58" t="s">
        <v>244</v>
      </c>
      <c r="C481">
        <v>0</v>
      </c>
      <c r="D481" s="58" t="s">
        <v>361</v>
      </c>
      <c r="E481" s="58" t="s">
        <v>909</v>
      </c>
    </row>
    <row r="482" spans="1:5" ht="12.75" x14ac:dyDescent="0.2">
      <c r="A482" s="58" t="s">
        <v>587</v>
      </c>
      <c r="B482" s="58" t="s">
        <v>244</v>
      </c>
      <c r="C482">
        <v>0</v>
      </c>
      <c r="D482" s="58" t="s">
        <v>361</v>
      </c>
      <c r="E482" s="58" t="s">
        <v>910</v>
      </c>
    </row>
    <row r="483" spans="1:5" ht="12.75" x14ac:dyDescent="0.2">
      <c r="A483" s="58" t="s">
        <v>588</v>
      </c>
      <c r="B483" s="58" t="s">
        <v>245</v>
      </c>
      <c r="C483">
        <v>0</v>
      </c>
      <c r="D483" s="58" t="s">
        <v>361</v>
      </c>
      <c r="E483" s="58" t="s">
        <v>909</v>
      </c>
    </row>
    <row r="484" spans="1:5" ht="12.75" x14ac:dyDescent="0.2">
      <c r="A484" s="58" t="s">
        <v>588</v>
      </c>
      <c r="B484" s="58" t="s">
        <v>245</v>
      </c>
      <c r="C484">
        <v>0</v>
      </c>
      <c r="D484" s="58" t="s">
        <v>361</v>
      </c>
      <c r="E484" s="58" t="s">
        <v>910</v>
      </c>
    </row>
    <row r="485" spans="1:5" ht="12.75" x14ac:dyDescent="0.2">
      <c r="A485" s="58" t="s">
        <v>589</v>
      </c>
      <c r="B485" s="58" t="s">
        <v>246</v>
      </c>
      <c r="C485">
        <v>0</v>
      </c>
      <c r="D485" s="58" t="s">
        <v>361</v>
      </c>
      <c r="E485" s="58" t="s">
        <v>909</v>
      </c>
    </row>
    <row r="486" spans="1:5" ht="12.75" x14ac:dyDescent="0.2">
      <c r="A486" s="58" t="s">
        <v>589</v>
      </c>
      <c r="B486" s="58" t="s">
        <v>246</v>
      </c>
      <c r="C486">
        <v>0</v>
      </c>
      <c r="D486" s="58" t="s">
        <v>361</v>
      </c>
      <c r="E486" s="58" t="s">
        <v>910</v>
      </c>
    </row>
    <row r="487" spans="1:5" ht="12.75" x14ac:dyDescent="0.2">
      <c r="A487" s="58" t="s">
        <v>590</v>
      </c>
      <c r="B487" s="58" t="s">
        <v>247</v>
      </c>
      <c r="C487">
        <v>0</v>
      </c>
      <c r="D487" s="58" t="s">
        <v>361</v>
      </c>
      <c r="E487" s="58" t="s">
        <v>909</v>
      </c>
    </row>
    <row r="488" spans="1:5" ht="12.75" x14ac:dyDescent="0.2">
      <c r="A488" s="58" t="s">
        <v>590</v>
      </c>
      <c r="B488" s="58" t="s">
        <v>247</v>
      </c>
      <c r="C488">
        <v>0</v>
      </c>
      <c r="D488" s="58" t="s">
        <v>361</v>
      </c>
      <c r="E488" s="58" t="s">
        <v>910</v>
      </c>
    </row>
    <row r="489" spans="1:5" ht="12.75" x14ac:dyDescent="0.2">
      <c r="A489" s="58" t="s">
        <v>591</v>
      </c>
      <c r="B489" s="58" t="s">
        <v>24</v>
      </c>
      <c r="C489">
        <v>0</v>
      </c>
      <c r="D489" s="58" t="s">
        <v>11</v>
      </c>
      <c r="E489" s="58" t="s">
        <v>909</v>
      </c>
    </row>
    <row r="490" spans="1:5" ht="12.75" x14ac:dyDescent="0.2">
      <c r="A490" s="58" t="s">
        <v>591</v>
      </c>
      <c r="B490" s="58" t="s">
        <v>24</v>
      </c>
      <c r="C490">
        <v>0</v>
      </c>
      <c r="D490" s="58" t="s">
        <v>11</v>
      </c>
      <c r="E490" s="58" t="s">
        <v>910</v>
      </c>
    </row>
    <row r="491" spans="1:5" ht="12.75" x14ac:dyDescent="0.2">
      <c r="A491" s="58" t="s">
        <v>593</v>
      </c>
      <c r="B491" s="58" t="s">
        <v>25</v>
      </c>
      <c r="C491">
        <v>1400</v>
      </c>
      <c r="D491" s="58" t="s">
        <v>11</v>
      </c>
      <c r="E491" s="58" t="s">
        <v>909</v>
      </c>
    </row>
    <row r="492" spans="1:5" ht="12.75" x14ac:dyDescent="0.2">
      <c r="A492" s="58" t="s">
        <v>593</v>
      </c>
      <c r="B492" s="58" t="s">
        <v>25</v>
      </c>
      <c r="C492">
        <v>280</v>
      </c>
      <c r="D492" s="58" t="s">
        <v>11</v>
      </c>
      <c r="E492" s="58" t="s">
        <v>910</v>
      </c>
    </row>
    <row r="493" spans="1:5" ht="12.75" x14ac:dyDescent="0.2">
      <c r="A493" s="58" t="s">
        <v>594</v>
      </c>
      <c r="B493" s="58" t="s">
        <v>26</v>
      </c>
      <c r="C493">
        <v>0</v>
      </c>
      <c r="D493" s="58" t="s">
        <v>11</v>
      </c>
      <c r="E493" s="58" t="s">
        <v>909</v>
      </c>
    </row>
    <row r="494" spans="1:5" ht="12.75" x14ac:dyDescent="0.2">
      <c r="A494" s="58" t="s">
        <v>594</v>
      </c>
      <c r="B494" s="58" t="s">
        <v>26</v>
      </c>
      <c r="C494">
        <v>0</v>
      </c>
      <c r="D494" s="58" t="s">
        <v>11</v>
      </c>
      <c r="E494" s="58" t="s">
        <v>910</v>
      </c>
    </row>
    <row r="495" spans="1:5" ht="12.75" x14ac:dyDescent="0.2">
      <c r="A495" s="58" t="s">
        <v>595</v>
      </c>
      <c r="B495" s="58" t="s">
        <v>27</v>
      </c>
      <c r="C495">
        <v>1023</v>
      </c>
      <c r="D495" s="58" t="s">
        <v>7</v>
      </c>
      <c r="E495" s="58" t="s">
        <v>909</v>
      </c>
    </row>
    <row r="496" spans="1:5" ht="12.75" x14ac:dyDescent="0.2">
      <c r="A496" s="58" t="s">
        <v>595</v>
      </c>
      <c r="B496" s="58" t="s">
        <v>27</v>
      </c>
      <c r="C496">
        <v>204</v>
      </c>
      <c r="D496" s="58" t="s">
        <v>7</v>
      </c>
      <c r="E496" s="58" t="s">
        <v>910</v>
      </c>
    </row>
    <row r="497" spans="1:5" ht="12.75" x14ac:dyDescent="0.2">
      <c r="A497" s="58" t="s">
        <v>596</v>
      </c>
      <c r="B497" s="58" t="s">
        <v>29</v>
      </c>
      <c r="C497">
        <v>0</v>
      </c>
      <c r="D497" s="58" t="s">
        <v>11</v>
      </c>
      <c r="E497" s="58" t="s">
        <v>909</v>
      </c>
    </row>
    <row r="498" spans="1:5" ht="12.75" x14ac:dyDescent="0.2">
      <c r="A498" s="58" t="s">
        <v>596</v>
      </c>
      <c r="B498" s="58" t="s">
        <v>29</v>
      </c>
      <c r="C498">
        <v>0</v>
      </c>
      <c r="D498" s="58" t="s">
        <v>11</v>
      </c>
      <c r="E498" s="58" t="s">
        <v>910</v>
      </c>
    </row>
    <row r="499" spans="1:5" ht="12.75" x14ac:dyDescent="0.2">
      <c r="A499" s="58" t="s">
        <v>597</v>
      </c>
      <c r="B499" s="58" t="s">
        <v>28</v>
      </c>
      <c r="C499">
        <v>0</v>
      </c>
      <c r="D499" s="58" t="s">
        <v>11</v>
      </c>
      <c r="E499" s="58" t="s">
        <v>909</v>
      </c>
    </row>
    <row r="500" spans="1:5" ht="12.75" x14ac:dyDescent="0.2">
      <c r="A500" s="58" t="s">
        <v>597</v>
      </c>
      <c r="B500" s="58" t="s">
        <v>28</v>
      </c>
      <c r="C500">
        <v>0</v>
      </c>
      <c r="D500" s="58" t="s">
        <v>11</v>
      </c>
      <c r="E500" s="58" t="s">
        <v>910</v>
      </c>
    </row>
    <row r="501" spans="1:5" ht="12.75" x14ac:dyDescent="0.2">
      <c r="A501" s="58" t="s">
        <v>598</v>
      </c>
      <c r="B501" s="58" t="s">
        <v>599</v>
      </c>
      <c r="C501">
        <v>0</v>
      </c>
      <c r="D501" s="58" t="s">
        <v>11</v>
      </c>
      <c r="E501" s="58" t="s">
        <v>909</v>
      </c>
    </row>
    <row r="502" spans="1:5" ht="12.75" x14ac:dyDescent="0.2">
      <c r="A502" s="58" t="s">
        <v>598</v>
      </c>
      <c r="B502" s="58" t="s">
        <v>599</v>
      </c>
      <c r="C502">
        <v>0</v>
      </c>
      <c r="D502" s="58" t="s">
        <v>11</v>
      </c>
      <c r="E502" s="58" t="s">
        <v>910</v>
      </c>
    </row>
    <row r="503" spans="1:5" ht="12.75" x14ac:dyDescent="0.2">
      <c r="A503" s="58" t="s">
        <v>600</v>
      </c>
      <c r="B503" s="58" t="s">
        <v>934</v>
      </c>
      <c r="C503">
        <v>3000</v>
      </c>
      <c r="D503" s="58" t="s">
        <v>7</v>
      </c>
      <c r="E503" s="58" t="s">
        <v>909</v>
      </c>
    </row>
    <row r="504" spans="1:5" ht="12.75" x14ac:dyDescent="0.2">
      <c r="A504" s="58" t="s">
        <v>600</v>
      </c>
      <c r="B504" s="58" t="s">
        <v>934</v>
      </c>
      <c r="C504">
        <v>600</v>
      </c>
      <c r="D504" s="58" t="s">
        <v>7</v>
      </c>
      <c r="E504" s="58" t="s">
        <v>910</v>
      </c>
    </row>
    <row r="505" spans="1:5" ht="12.75" x14ac:dyDescent="0.2">
      <c r="A505" s="58" t="s">
        <v>602</v>
      </c>
      <c r="B505" s="58" t="s">
        <v>31</v>
      </c>
      <c r="C505">
        <v>7100</v>
      </c>
      <c r="D505" s="58" t="s">
        <v>7</v>
      </c>
      <c r="E505" s="58" t="s">
        <v>909</v>
      </c>
    </row>
    <row r="506" spans="1:5" ht="12.75" x14ac:dyDescent="0.2">
      <c r="A506" s="58" t="s">
        <v>602</v>
      </c>
      <c r="B506" s="58" t="s">
        <v>31</v>
      </c>
      <c r="C506">
        <v>1420</v>
      </c>
      <c r="D506" s="58" t="s">
        <v>7</v>
      </c>
      <c r="E506" s="58" t="s">
        <v>910</v>
      </c>
    </row>
    <row r="507" spans="1:5" ht="12.75" x14ac:dyDescent="0.2">
      <c r="A507" s="58" t="s">
        <v>603</v>
      </c>
      <c r="B507" s="58" t="s">
        <v>5</v>
      </c>
      <c r="C507">
        <v>8900</v>
      </c>
      <c r="D507" s="58" t="s">
        <v>7</v>
      </c>
      <c r="E507" s="58" t="s">
        <v>909</v>
      </c>
    </row>
    <row r="508" spans="1:5" ht="12.75" x14ac:dyDescent="0.2">
      <c r="A508" s="58" t="s">
        <v>603</v>
      </c>
      <c r="B508" s="58" t="s">
        <v>5</v>
      </c>
      <c r="C508">
        <v>1780</v>
      </c>
      <c r="D508" s="58" t="s">
        <v>7</v>
      </c>
      <c r="E508" s="58" t="s">
        <v>910</v>
      </c>
    </row>
    <row r="509" spans="1:5" ht="12.75" x14ac:dyDescent="0.2">
      <c r="A509" s="58" t="s">
        <v>604</v>
      </c>
      <c r="B509" s="58" t="s">
        <v>32</v>
      </c>
      <c r="C509">
        <v>2400</v>
      </c>
      <c r="D509" s="58" t="s">
        <v>7</v>
      </c>
      <c r="E509" s="58" t="s">
        <v>909</v>
      </c>
    </row>
    <row r="510" spans="1:5" ht="12.75" x14ac:dyDescent="0.2">
      <c r="A510" s="58" t="s">
        <v>604</v>
      </c>
      <c r="B510" s="58" t="s">
        <v>32</v>
      </c>
      <c r="C510">
        <v>480</v>
      </c>
      <c r="D510" s="58" t="s">
        <v>7</v>
      </c>
      <c r="E510" s="58" t="s">
        <v>910</v>
      </c>
    </row>
    <row r="511" spans="1:5" ht="12.75" x14ac:dyDescent="0.2">
      <c r="A511" s="58" t="s">
        <v>605</v>
      </c>
      <c r="B511" s="58" t="s">
        <v>33</v>
      </c>
      <c r="C511">
        <v>850</v>
      </c>
      <c r="D511" s="58" t="s">
        <v>7</v>
      </c>
      <c r="E511" s="58" t="s">
        <v>909</v>
      </c>
    </row>
    <row r="512" spans="1:5" ht="12.75" x14ac:dyDescent="0.2">
      <c r="A512" s="58" t="s">
        <v>605</v>
      </c>
      <c r="B512" s="58" t="s">
        <v>33</v>
      </c>
      <c r="C512">
        <v>170</v>
      </c>
      <c r="D512" s="58" t="s">
        <v>7</v>
      </c>
      <c r="E512" s="58" t="s">
        <v>910</v>
      </c>
    </row>
    <row r="513" spans="1:5" ht="12.75" x14ac:dyDescent="0.2">
      <c r="A513" s="58" t="s">
        <v>606</v>
      </c>
      <c r="B513" s="58" t="s">
        <v>34</v>
      </c>
      <c r="C513">
        <v>1200</v>
      </c>
      <c r="D513" s="58" t="s">
        <v>7</v>
      </c>
      <c r="E513" s="58" t="s">
        <v>909</v>
      </c>
    </row>
    <row r="514" spans="1:5" ht="12.75" x14ac:dyDescent="0.2">
      <c r="A514" s="58" t="s">
        <v>606</v>
      </c>
      <c r="B514" s="58" t="s">
        <v>34</v>
      </c>
      <c r="C514">
        <v>240</v>
      </c>
      <c r="D514" s="58" t="s">
        <v>7</v>
      </c>
      <c r="E514" s="58" t="s">
        <v>910</v>
      </c>
    </row>
    <row r="515" spans="1:5" ht="12.75" x14ac:dyDescent="0.2">
      <c r="A515" s="58" t="s">
        <v>607</v>
      </c>
      <c r="B515" s="58" t="s">
        <v>35</v>
      </c>
      <c r="C515">
        <v>400</v>
      </c>
      <c r="D515" s="58" t="s">
        <v>7</v>
      </c>
      <c r="E515" s="58" t="s">
        <v>909</v>
      </c>
    </row>
    <row r="516" spans="1:5" ht="12.75" x14ac:dyDescent="0.2">
      <c r="A516" s="58" t="s">
        <v>607</v>
      </c>
      <c r="B516" s="58" t="s">
        <v>35</v>
      </c>
      <c r="C516">
        <v>80</v>
      </c>
      <c r="D516" s="58" t="s">
        <v>7</v>
      </c>
      <c r="E516" s="58" t="s">
        <v>910</v>
      </c>
    </row>
    <row r="517" spans="1:5" ht="12.75" x14ac:dyDescent="0.2">
      <c r="A517" s="58" t="s">
        <v>608</v>
      </c>
      <c r="B517" s="58" t="s">
        <v>609</v>
      </c>
      <c r="C517">
        <v>0</v>
      </c>
      <c r="D517" s="58" t="s">
        <v>7</v>
      </c>
      <c r="E517" s="58" t="s">
        <v>909</v>
      </c>
    </row>
    <row r="518" spans="1:5" ht="12.75" x14ac:dyDescent="0.2">
      <c r="A518" s="58" t="s">
        <v>608</v>
      </c>
      <c r="B518" s="58" t="s">
        <v>609</v>
      </c>
      <c r="C518">
        <v>0</v>
      </c>
      <c r="D518" s="58" t="s">
        <v>7</v>
      </c>
      <c r="E518" s="58" t="s">
        <v>910</v>
      </c>
    </row>
    <row r="519" spans="1:5" ht="12.75" x14ac:dyDescent="0.2">
      <c r="A519" s="58" t="s">
        <v>610</v>
      </c>
      <c r="B519" s="58" t="s">
        <v>36</v>
      </c>
      <c r="C519">
        <v>75</v>
      </c>
      <c r="D519" s="58" t="s">
        <v>7</v>
      </c>
      <c r="E519" s="58" t="s">
        <v>909</v>
      </c>
    </row>
    <row r="520" spans="1:5" ht="12.75" x14ac:dyDescent="0.2">
      <c r="A520" s="58" t="s">
        <v>610</v>
      </c>
      <c r="B520" s="58" t="s">
        <v>36</v>
      </c>
      <c r="C520">
        <v>15</v>
      </c>
      <c r="D520" s="58" t="s">
        <v>7</v>
      </c>
      <c r="E520" s="58" t="s">
        <v>910</v>
      </c>
    </row>
    <row r="521" spans="1:5" ht="12.75" x14ac:dyDescent="0.2">
      <c r="A521" s="58" t="s">
        <v>611</v>
      </c>
      <c r="B521" s="58" t="s">
        <v>935</v>
      </c>
      <c r="C521">
        <v>300</v>
      </c>
      <c r="D521" s="58" t="s">
        <v>7</v>
      </c>
      <c r="E521" s="58" t="s">
        <v>909</v>
      </c>
    </row>
    <row r="522" spans="1:5" ht="12.75" x14ac:dyDescent="0.2">
      <c r="A522" s="58" t="s">
        <v>611</v>
      </c>
      <c r="B522" s="58" t="s">
        <v>935</v>
      </c>
      <c r="C522">
        <v>60</v>
      </c>
      <c r="D522" s="58" t="s">
        <v>7</v>
      </c>
      <c r="E522" s="58" t="s">
        <v>910</v>
      </c>
    </row>
    <row r="523" spans="1:5" ht="12.75" x14ac:dyDescent="0.2">
      <c r="A523" s="58" t="s">
        <v>612</v>
      </c>
      <c r="B523" s="58" t="s">
        <v>936</v>
      </c>
      <c r="C523">
        <v>40</v>
      </c>
      <c r="D523" s="58" t="s">
        <v>7</v>
      </c>
      <c r="E523" s="58" t="s">
        <v>909</v>
      </c>
    </row>
    <row r="524" spans="1:5" ht="12.75" x14ac:dyDescent="0.2">
      <c r="A524" s="58" t="s">
        <v>612</v>
      </c>
      <c r="B524" s="58" t="s">
        <v>936</v>
      </c>
      <c r="C524">
        <v>8</v>
      </c>
      <c r="D524" s="58" t="s">
        <v>7</v>
      </c>
      <c r="E524" s="58" t="s">
        <v>910</v>
      </c>
    </row>
    <row r="525" spans="1:5" ht="12.75" x14ac:dyDescent="0.2">
      <c r="A525" s="58" t="s">
        <v>613</v>
      </c>
      <c r="B525" s="58" t="s">
        <v>937</v>
      </c>
      <c r="C525">
        <v>50</v>
      </c>
      <c r="D525" s="58" t="s">
        <v>7</v>
      </c>
      <c r="E525" s="58" t="s">
        <v>909</v>
      </c>
    </row>
    <row r="526" spans="1:5" ht="12.75" x14ac:dyDescent="0.2">
      <c r="A526" s="58" t="s">
        <v>613</v>
      </c>
      <c r="B526" s="58" t="s">
        <v>937</v>
      </c>
      <c r="C526">
        <v>10</v>
      </c>
      <c r="D526" s="58" t="s">
        <v>7</v>
      </c>
      <c r="E526" s="58" t="s">
        <v>910</v>
      </c>
    </row>
    <row r="527" spans="1:5" ht="12.75" x14ac:dyDescent="0.2">
      <c r="A527" s="58" t="s">
        <v>614</v>
      </c>
      <c r="B527" s="58" t="s">
        <v>938</v>
      </c>
      <c r="C527">
        <v>100</v>
      </c>
      <c r="D527" s="58" t="s">
        <v>7</v>
      </c>
      <c r="E527" s="58" t="s">
        <v>909</v>
      </c>
    </row>
    <row r="528" spans="1:5" ht="12.75" x14ac:dyDescent="0.2">
      <c r="A528" s="58" t="s">
        <v>614</v>
      </c>
      <c r="B528" s="58" t="s">
        <v>938</v>
      </c>
      <c r="C528">
        <v>20</v>
      </c>
      <c r="D528" s="58" t="s">
        <v>7</v>
      </c>
      <c r="E528" s="58" t="s">
        <v>910</v>
      </c>
    </row>
    <row r="529" spans="1:5" ht="12.75" x14ac:dyDescent="0.2">
      <c r="A529" s="58" t="s">
        <v>615</v>
      </c>
      <c r="B529" s="58" t="s">
        <v>939</v>
      </c>
      <c r="C529">
        <v>30</v>
      </c>
      <c r="D529" s="58" t="s">
        <v>7</v>
      </c>
      <c r="E529" s="58" t="s">
        <v>909</v>
      </c>
    </row>
    <row r="530" spans="1:5" ht="12.75" x14ac:dyDescent="0.2">
      <c r="A530" s="58" t="s">
        <v>615</v>
      </c>
      <c r="B530" s="58" t="s">
        <v>939</v>
      </c>
      <c r="C530">
        <v>6</v>
      </c>
      <c r="D530" s="58" t="s">
        <v>7</v>
      </c>
      <c r="E530" s="58" t="s">
        <v>910</v>
      </c>
    </row>
    <row r="531" spans="1:5" ht="12.75" x14ac:dyDescent="0.2">
      <c r="A531" s="58" t="s">
        <v>616</v>
      </c>
      <c r="B531" s="58" t="s">
        <v>37</v>
      </c>
      <c r="C531">
        <v>100</v>
      </c>
      <c r="D531" s="58" t="s">
        <v>7</v>
      </c>
      <c r="E531" s="58" t="s">
        <v>909</v>
      </c>
    </row>
    <row r="532" spans="1:5" ht="12.75" x14ac:dyDescent="0.2">
      <c r="A532" s="58" t="s">
        <v>616</v>
      </c>
      <c r="B532" s="58" t="s">
        <v>37</v>
      </c>
      <c r="C532">
        <v>20</v>
      </c>
      <c r="D532" s="58" t="s">
        <v>7</v>
      </c>
      <c r="E532" s="58" t="s">
        <v>910</v>
      </c>
    </row>
    <row r="533" spans="1:5" ht="12.75" x14ac:dyDescent="0.2">
      <c r="A533" s="58" t="s">
        <v>617</v>
      </c>
      <c r="B533" s="58" t="s">
        <v>940</v>
      </c>
      <c r="C533">
        <v>50</v>
      </c>
      <c r="D533" s="58" t="s">
        <v>7</v>
      </c>
      <c r="E533" s="58" t="s">
        <v>909</v>
      </c>
    </row>
    <row r="534" spans="1:5" ht="12.75" x14ac:dyDescent="0.2">
      <c r="A534" s="58" t="s">
        <v>617</v>
      </c>
      <c r="B534" s="58" t="s">
        <v>940</v>
      </c>
      <c r="C534">
        <v>10</v>
      </c>
      <c r="D534" s="58" t="s">
        <v>7</v>
      </c>
      <c r="E534" s="58" t="s">
        <v>910</v>
      </c>
    </row>
    <row r="535" spans="1:5" ht="12.75" x14ac:dyDescent="0.2">
      <c r="A535" s="58" t="s">
        <v>618</v>
      </c>
      <c r="B535" s="58" t="s">
        <v>941</v>
      </c>
      <c r="C535">
        <v>10</v>
      </c>
      <c r="D535" s="58" t="s">
        <v>7</v>
      </c>
      <c r="E535" s="58" t="s">
        <v>909</v>
      </c>
    </row>
    <row r="536" spans="1:5" ht="12.75" x14ac:dyDescent="0.2">
      <c r="A536" s="58" t="s">
        <v>618</v>
      </c>
      <c r="B536" s="58" t="s">
        <v>941</v>
      </c>
      <c r="C536">
        <v>2</v>
      </c>
      <c r="D536" s="58" t="s">
        <v>7</v>
      </c>
      <c r="E536" s="58" t="s">
        <v>910</v>
      </c>
    </row>
    <row r="537" spans="1:5" ht="12.75" x14ac:dyDescent="0.2">
      <c r="A537" s="58" t="s">
        <v>619</v>
      </c>
      <c r="B537" s="58" t="s">
        <v>942</v>
      </c>
      <c r="C537">
        <v>50</v>
      </c>
      <c r="D537" s="58" t="s">
        <v>7</v>
      </c>
      <c r="E537" s="58" t="s">
        <v>909</v>
      </c>
    </row>
    <row r="538" spans="1:5" ht="12.75" x14ac:dyDescent="0.2">
      <c r="A538" s="58" t="s">
        <v>619</v>
      </c>
      <c r="B538" s="58" t="s">
        <v>942</v>
      </c>
      <c r="C538">
        <v>10</v>
      </c>
      <c r="D538" s="58" t="s">
        <v>7</v>
      </c>
      <c r="E538" s="58" t="s">
        <v>910</v>
      </c>
    </row>
    <row r="539" spans="1:5" ht="12.75" x14ac:dyDescent="0.2">
      <c r="A539" s="58" t="s">
        <v>620</v>
      </c>
      <c r="B539" s="58" t="s">
        <v>38</v>
      </c>
      <c r="C539">
        <v>350</v>
      </c>
      <c r="D539" s="58" t="s">
        <v>7</v>
      </c>
      <c r="E539" s="58" t="s">
        <v>909</v>
      </c>
    </row>
    <row r="540" spans="1:5" ht="12.75" x14ac:dyDescent="0.2">
      <c r="A540" s="58" t="s">
        <v>620</v>
      </c>
      <c r="B540" s="58" t="s">
        <v>38</v>
      </c>
      <c r="C540">
        <v>70</v>
      </c>
      <c r="D540" s="58" t="s">
        <v>7</v>
      </c>
      <c r="E540" s="58" t="s">
        <v>910</v>
      </c>
    </row>
    <row r="541" spans="1:5" ht="12.75" x14ac:dyDescent="0.2">
      <c r="A541" s="58" t="s">
        <v>621</v>
      </c>
      <c r="B541" s="58" t="s">
        <v>943</v>
      </c>
      <c r="C541">
        <v>50</v>
      </c>
      <c r="D541" s="58" t="s">
        <v>7</v>
      </c>
      <c r="E541" s="58" t="s">
        <v>909</v>
      </c>
    </row>
    <row r="542" spans="1:5" ht="12.75" x14ac:dyDescent="0.2">
      <c r="A542" s="58" t="s">
        <v>621</v>
      </c>
      <c r="B542" s="58" t="s">
        <v>943</v>
      </c>
      <c r="C542">
        <v>10</v>
      </c>
      <c r="D542" s="58" t="s">
        <v>7</v>
      </c>
      <c r="E542" s="58" t="s">
        <v>910</v>
      </c>
    </row>
    <row r="543" spans="1:5" ht="12.75" x14ac:dyDescent="0.2">
      <c r="A543" s="58" t="s">
        <v>622</v>
      </c>
      <c r="B543" s="58" t="s">
        <v>944</v>
      </c>
      <c r="C543">
        <v>50</v>
      </c>
      <c r="D543" s="58" t="s">
        <v>7</v>
      </c>
      <c r="E543" s="58" t="s">
        <v>909</v>
      </c>
    </row>
    <row r="544" spans="1:5" ht="12.75" x14ac:dyDescent="0.2">
      <c r="A544" s="58" t="s">
        <v>622</v>
      </c>
      <c r="B544" s="58" t="s">
        <v>944</v>
      </c>
      <c r="C544">
        <v>10</v>
      </c>
      <c r="D544" s="58" t="s">
        <v>7</v>
      </c>
      <c r="E544" s="58" t="s">
        <v>910</v>
      </c>
    </row>
    <row r="545" spans="1:5" ht="12.75" x14ac:dyDescent="0.2">
      <c r="A545" s="58" t="s">
        <v>623</v>
      </c>
      <c r="B545" s="58" t="s">
        <v>39</v>
      </c>
      <c r="C545">
        <v>450</v>
      </c>
      <c r="D545" s="58" t="s">
        <v>7</v>
      </c>
      <c r="E545" s="58" t="s">
        <v>909</v>
      </c>
    </row>
    <row r="546" spans="1:5" ht="12.75" x14ac:dyDescent="0.2">
      <c r="A546" s="58" t="s">
        <v>623</v>
      </c>
      <c r="B546" s="58" t="s">
        <v>39</v>
      </c>
      <c r="C546">
        <v>90</v>
      </c>
      <c r="D546" s="58" t="s">
        <v>7</v>
      </c>
      <c r="E546" s="58" t="s">
        <v>910</v>
      </c>
    </row>
    <row r="547" spans="1:5" ht="12.75" x14ac:dyDescent="0.2">
      <c r="A547" s="58" t="s">
        <v>624</v>
      </c>
      <c r="B547" s="58" t="s">
        <v>40</v>
      </c>
      <c r="C547">
        <v>50</v>
      </c>
      <c r="D547" s="58" t="s">
        <v>7</v>
      </c>
      <c r="E547" s="58" t="s">
        <v>909</v>
      </c>
    </row>
    <row r="548" spans="1:5" ht="12.75" x14ac:dyDescent="0.2">
      <c r="A548" s="58" t="s">
        <v>624</v>
      </c>
      <c r="B548" s="58" t="s">
        <v>40</v>
      </c>
      <c r="C548">
        <v>10</v>
      </c>
      <c r="D548" s="58" t="s">
        <v>7</v>
      </c>
      <c r="E548" s="58" t="s">
        <v>910</v>
      </c>
    </row>
    <row r="549" spans="1:5" ht="12.75" x14ac:dyDescent="0.2">
      <c r="A549" s="58" t="s">
        <v>625</v>
      </c>
      <c r="B549" s="58" t="s">
        <v>945</v>
      </c>
      <c r="C549">
        <v>50</v>
      </c>
      <c r="D549" s="58" t="s">
        <v>7</v>
      </c>
      <c r="E549" s="58" t="s">
        <v>909</v>
      </c>
    </row>
    <row r="550" spans="1:5" ht="12.75" x14ac:dyDescent="0.2">
      <c r="A550" s="58" t="s">
        <v>625</v>
      </c>
      <c r="B550" s="58" t="s">
        <v>945</v>
      </c>
      <c r="C550">
        <v>10</v>
      </c>
      <c r="D550" s="58" t="s">
        <v>7</v>
      </c>
      <c r="E550" s="58" t="s">
        <v>910</v>
      </c>
    </row>
    <row r="551" spans="1:5" ht="12.75" x14ac:dyDescent="0.2">
      <c r="A551" s="58" t="s">
        <v>626</v>
      </c>
      <c r="B551" s="58" t="s">
        <v>41</v>
      </c>
      <c r="C551">
        <v>175</v>
      </c>
      <c r="D551" s="58" t="s">
        <v>7</v>
      </c>
      <c r="E551" s="58" t="s">
        <v>909</v>
      </c>
    </row>
    <row r="552" spans="1:5" ht="12.75" x14ac:dyDescent="0.2">
      <c r="A552" s="58" t="s">
        <v>626</v>
      </c>
      <c r="B552" s="58" t="s">
        <v>41</v>
      </c>
      <c r="C552">
        <v>35</v>
      </c>
      <c r="D552" s="58" t="s">
        <v>7</v>
      </c>
      <c r="E552" s="58" t="s">
        <v>910</v>
      </c>
    </row>
    <row r="553" spans="1:5" ht="12.75" x14ac:dyDescent="0.2">
      <c r="A553" s="58" t="s">
        <v>627</v>
      </c>
      <c r="B553" s="58" t="s">
        <v>946</v>
      </c>
      <c r="C553">
        <v>40</v>
      </c>
      <c r="D553" s="58" t="s">
        <v>7</v>
      </c>
      <c r="E553" s="58" t="s">
        <v>909</v>
      </c>
    </row>
    <row r="554" spans="1:5" ht="12.75" x14ac:dyDescent="0.2">
      <c r="A554" s="58" t="s">
        <v>627</v>
      </c>
      <c r="B554" s="58" t="s">
        <v>946</v>
      </c>
      <c r="C554">
        <v>8</v>
      </c>
      <c r="D554" s="58" t="s">
        <v>7</v>
      </c>
      <c r="E554" s="58" t="s">
        <v>910</v>
      </c>
    </row>
    <row r="555" spans="1:5" ht="12.75" x14ac:dyDescent="0.2">
      <c r="A555" s="58" t="s">
        <v>628</v>
      </c>
      <c r="B555" s="58" t="s">
        <v>947</v>
      </c>
      <c r="C555">
        <v>50</v>
      </c>
      <c r="D555" s="58" t="s">
        <v>7</v>
      </c>
      <c r="E555" s="58" t="s">
        <v>909</v>
      </c>
    </row>
    <row r="556" spans="1:5" ht="12.75" x14ac:dyDescent="0.2">
      <c r="A556" s="58" t="s">
        <v>628</v>
      </c>
      <c r="B556" s="58" t="s">
        <v>947</v>
      </c>
      <c r="C556">
        <v>10</v>
      </c>
      <c r="D556" s="58" t="s">
        <v>7</v>
      </c>
      <c r="E556" s="58" t="s">
        <v>910</v>
      </c>
    </row>
    <row r="557" spans="1:5" ht="12.75" x14ac:dyDescent="0.2">
      <c r="A557" s="58" t="s">
        <v>629</v>
      </c>
      <c r="B557" s="58" t="s">
        <v>948</v>
      </c>
      <c r="C557">
        <v>50</v>
      </c>
      <c r="D557" s="58" t="s">
        <v>7</v>
      </c>
      <c r="E557" s="58" t="s">
        <v>909</v>
      </c>
    </row>
    <row r="558" spans="1:5" ht="12.75" x14ac:dyDescent="0.2">
      <c r="A558" s="58" t="s">
        <v>629</v>
      </c>
      <c r="B558" s="58" t="s">
        <v>948</v>
      </c>
      <c r="C558">
        <v>10</v>
      </c>
      <c r="D558" s="58" t="s">
        <v>7</v>
      </c>
      <c r="E558" s="58" t="s">
        <v>910</v>
      </c>
    </row>
    <row r="559" spans="1:5" ht="12.75" x14ac:dyDescent="0.2">
      <c r="A559" s="58" t="s">
        <v>630</v>
      </c>
      <c r="B559" s="58" t="s">
        <v>949</v>
      </c>
      <c r="C559">
        <v>250</v>
      </c>
      <c r="D559" s="58" t="s">
        <v>7</v>
      </c>
      <c r="E559" s="58" t="s">
        <v>909</v>
      </c>
    </row>
    <row r="560" spans="1:5" ht="12.75" x14ac:dyDescent="0.2">
      <c r="A560" s="58" t="s">
        <v>630</v>
      </c>
      <c r="B560" s="58" t="s">
        <v>949</v>
      </c>
      <c r="C560">
        <v>50</v>
      </c>
      <c r="D560" s="58" t="s">
        <v>7</v>
      </c>
      <c r="E560" s="58" t="s">
        <v>910</v>
      </c>
    </row>
    <row r="561" spans="1:5" ht="12.75" x14ac:dyDescent="0.2">
      <c r="A561" s="58" t="s">
        <v>631</v>
      </c>
      <c r="B561" s="58" t="s">
        <v>950</v>
      </c>
      <c r="C561">
        <v>50</v>
      </c>
      <c r="D561" s="58" t="s">
        <v>7</v>
      </c>
      <c r="E561" s="58" t="s">
        <v>909</v>
      </c>
    </row>
    <row r="562" spans="1:5" ht="12.75" x14ac:dyDescent="0.2">
      <c r="A562" s="58" t="s">
        <v>631</v>
      </c>
      <c r="B562" s="58" t="s">
        <v>950</v>
      </c>
      <c r="C562">
        <v>10</v>
      </c>
      <c r="D562" s="58" t="s">
        <v>7</v>
      </c>
      <c r="E562" s="58" t="s">
        <v>910</v>
      </c>
    </row>
    <row r="563" spans="1:5" ht="12.75" x14ac:dyDescent="0.2">
      <c r="A563" s="58" t="s">
        <v>632</v>
      </c>
      <c r="B563" s="58" t="s">
        <v>951</v>
      </c>
      <c r="C563">
        <v>150</v>
      </c>
      <c r="D563" s="58" t="s">
        <v>7</v>
      </c>
      <c r="E563" s="58" t="s">
        <v>909</v>
      </c>
    </row>
    <row r="564" spans="1:5" ht="12.75" x14ac:dyDescent="0.2">
      <c r="A564" s="58" t="s">
        <v>632</v>
      </c>
      <c r="B564" s="58" t="s">
        <v>951</v>
      </c>
      <c r="C564">
        <v>30</v>
      </c>
      <c r="D564" s="58" t="s">
        <v>7</v>
      </c>
      <c r="E564" s="58" t="s">
        <v>910</v>
      </c>
    </row>
    <row r="565" spans="1:5" ht="12.75" x14ac:dyDescent="0.2">
      <c r="A565" s="58" t="s">
        <v>633</v>
      </c>
      <c r="B565" s="58" t="s">
        <v>952</v>
      </c>
      <c r="C565">
        <v>50</v>
      </c>
      <c r="D565" s="58" t="s">
        <v>7</v>
      </c>
      <c r="E565" s="58" t="s">
        <v>909</v>
      </c>
    </row>
    <row r="566" spans="1:5" ht="12.75" x14ac:dyDescent="0.2">
      <c r="A566" s="58" t="s">
        <v>633</v>
      </c>
      <c r="B566" s="58" t="s">
        <v>952</v>
      </c>
      <c r="C566">
        <v>10</v>
      </c>
      <c r="D566" s="58" t="s">
        <v>7</v>
      </c>
      <c r="E566" s="58" t="s">
        <v>910</v>
      </c>
    </row>
    <row r="567" spans="1:5" ht="12.75" x14ac:dyDescent="0.2">
      <c r="A567" s="58" t="s">
        <v>634</v>
      </c>
      <c r="B567" s="58" t="s">
        <v>953</v>
      </c>
      <c r="C567">
        <v>50</v>
      </c>
      <c r="D567" s="58" t="s">
        <v>7</v>
      </c>
      <c r="E567" s="58" t="s">
        <v>909</v>
      </c>
    </row>
    <row r="568" spans="1:5" ht="12.75" x14ac:dyDescent="0.2">
      <c r="A568" s="58" t="s">
        <v>634</v>
      </c>
      <c r="B568" s="58" t="s">
        <v>953</v>
      </c>
      <c r="C568">
        <v>10</v>
      </c>
      <c r="D568" s="58" t="s">
        <v>7</v>
      </c>
      <c r="E568" s="58" t="s">
        <v>910</v>
      </c>
    </row>
    <row r="569" spans="1:5" ht="12.75" x14ac:dyDescent="0.2">
      <c r="A569" s="58" t="s">
        <v>635</v>
      </c>
      <c r="B569" s="58" t="s">
        <v>954</v>
      </c>
      <c r="C569">
        <v>100</v>
      </c>
      <c r="D569" s="58" t="s">
        <v>7</v>
      </c>
      <c r="E569" s="58" t="s">
        <v>909</v>
      </c>
    </row>
    <row r="570" spans="1:5" ht="12.75" x14ac:dyDescent="0.2">
      <c r="A570" s="58" t="s">
        <v>635</v>
      </c>
      <c r="B570" s="58" t="s">
        <v>954</v>
      </c>
      <c r="C570">
        <v>20</v>
      </c>
      <c r="D570" s="58" t="s">
        <v>7</v>
      </c>
      <c r="E570" s="58" t="s">
        <v>910</v>
      </c>
    </row>
    <row r="571" spans="1:5" ht="12.75" x14ac:dyDescent="0.2">
      <c r="A571" s="58" t="s">
        <v>636</v>
      </c>
      <c r="B571" s="58" t="s">
        <v>955</v>
      </c>
      <c r="C571">
        <v>50</v>
      </c>
      <c r="D571" s="58" t="s">
        <v>7</v>
      </c>
      <c r="E571" s="58" t="s">
        <v>909</v>
      </c>
    </row>
    <row r="572" spans="1:5" ht="12.75" x14ac:dyDescent="0.2">
      <c r="A572" s="58" t="s">
        <v>636</v>
      </c>
      <c r="B572" s="58" t="s">
        <v>955</v>
      </c>
      <c r="C572">
        <v>10</v>
      </c>
      <c r="D572" s="58" t="s">
        <v>7</v>
      </c>
      <c r="E572" s="58" t="s">
        <v>910</v>
      </c>
    </row>
    <row r="573" spans="1:5" ht="12.75" x14ac:dyDescent="0.2">
      <c r="A573" s="58" t="s">
        <v>637</v>
      </c>
      <c r="B573" s="58" t="s">
        <v>956</v>
      </c>
      <c r="C573">
        <v>50</v>
      </c>
      <c r="D573" s="58" t="s">
        <v>7</v>
      </c>
      <c r="E573" s="58" t="s">
        <v>909</v>
      </c>
    </row>
    <row r="574" spans="1:5" ht="12.75" x14ac:dyDescent="0.2">
      <c r="A574" s="58" t="s">
        <v>637</v>
      </c>
      <c r="B574" s="58" t="s">
        <v>956</v>
      </c>
      <c r="C574">
        <v>10</v>
      </c>
      <c r="D574" s="58" t="s">
        <v>7</v>
      </c>
      <c r="E574" s="58" t="s">
        <v>910</v>
      </c>
    </row>
    <row r="575" spans="1:5" ht="12.75" x14ac:dyDescent="0.2">
      <c r="A575" s="58" t="s">
        <v>638</v>
      </c>
      <c r="B575" s="58" t="s">
        <v>957</v>
      </c>
      <c r="C575">
        <v>50</v>
      </c>
      <c r="D575" s="58" t="s">
        <v>7</v>
      </c>
      <c r="E575" s="58" t="s">
        <v>909</v>
      </c>
    </row>
    <row r="576" spans="1:5" ht="12.75" x14ac:dyDescent="0.2">
      <c r="A576" s="58" t="s">
        <v>638</v>
      </c>
      <c r="B576" s="58" t="s">
        <v>957</v>
      </c>
      <c r="C576">
        <v>10</v>
      </c>
      <c r="D576" s="58" t="s">
        <v>7</v>
      </c>
      <c r="E576" s="58" t="s">
        <v>910</v>
      </c>
    </row>
    <row r="577" spans="1:5" ht="12.75" x14ac:dyDescent="0.2">
      <c r="A577" s="58" t="s">
        <v>639</v>
      </c>
      <c r="B577" s="58" t="s">
        <v>958</v>
      </c>
      <c r="C577">
        <v>800</v>
      </c>
      <c r="D577" s="58" t="s">
        <v>7</v>
      </c>
      <c r="E577" s="58" t="s">
        <v>909</v>
      </c>
    </row>
    <row r="578" spans="1:5" ht="12.75" x14ac:dyDescent="0.2">
      <c r="A578" s="58" t="s">
        <v>639</v>
      </c>
      <c r="B578" s="58" t="s">
        <v>958</v>
      </c>
      <c r="C578">
        <v>160</v>
      </c>
      <c r="D578" s="58" t="s">
        <v>7</v>
      </c>
      <c r="E578" s="58" t="s">
        <v>910</v>
      </c>
    </row>
    <row r="579" spans="1:5" ht="12.75" x14ac:dyDescent="0.2">
      <c r="A579" s="58" t="s">
        <v>640</v>
      </c>
      <c r="B579" s="58" t="s">
        <v>959</v>
      </c>
      <c r="C579">
        <v>300</v>
      </c>
      <c r="D579" s="58" t="s">
        <v>7</v>
      </c>
      <c r="E579" s="58" t="s">
        <v>909</v>
      </c>
    </row>
    <row r="580" spans="1:5" ht="12.75" x14ac:dyDescent="0.2">
      <c r="A580" s="58" t="s">
        <v>640</v>
      </c>
      <c r="B580" s="58" t="s">
        <v>959</v>
      </c>
      <c r="C580">
        <v>60</v>
      </c>
      <c r="D580" s="58" t="s">
        <v>7</v>
      </c>
      <c r="E580" s="58" t="s">
        <v>910</v>
      </c>
    </row>
    <row r="581" spans="1:5" ht="12.75" x14ac:dyDescent="0.2">
      <c r="A581" s="58" t="s">
        <v>641</v>
      </c>
      <c r="B581" s="58" t="s">
        <v>960</v>
      </c>
      <c r="C581">
        <v>20</v>
      </c>
      <c r="D581" s="58" t="s">
        <v>7</v>
      </c>
      <c r="E581" s="58" t="s">
        <v>909</v>
      </c>
    </row>
    <row r="582" spans="1:5" ht="12.75" x14ac:dyDescent="0.2">
      <c r="A582" s="58" t="s">
        <v>641</v>
      </c>
      <c r="B582" s="58" t="s">
        <v>960</v>
      </c>
      <c r="C582">
        <v>8</v>
      </c>
      <c r="D582" s="58" t="s">
        <v>7</v>
      </c>
      <c r="E582" s="58" t="s">
        <v>910</v>
      </c>
    </row>
    <row r="583" spans="1:5" ht="12.75" x14ac:dyDescent="0.2">
      <c r="A583" s="58" t="s">
        <v>642</v>
      </c>
      <c r="B583" s="58" t="s">
        <v>961</v>
      </c>
      <c r="C583">
        <v>40</v>
      </c>
      <c r="D583" s="58" t="s">
        <v>7</v>
      </c>
      <c r="E583" s="58" t="s">
        <v>909</v>
      </c>
    </row>
    <row r="584" spans="1:5" ht="12.75" x14ac:dyDescent="0.2">
      <c r="A584" s="58" t="s">
        <v>642</v>
      </c>
      <c r="B584" s="58" t="s">
        <v>961</v>
      </c>
      <c r="C584">
        <v>8</v>
      </c>
      <c r="D584" s="58" t="s">
        <v>7</v>
      </c>
      <c r="E584" s="58" t="s">
        <v>910</v>
      </c>
    </row>
    <row r="585" spans="1:5" ht="12.75" x14ac:dyDescent="0.2">
      <c r="A585" s="58" t="s">
        <v>644</v>
      </c>
      <c r="B585" s="58" t="s">
        <v>962</v>
      </c>
      <c r="C585">
        <v>100</v>
      </c>
      <c r="D585" s="58" t="s">
        <v>7</v>
      </c>
      <c r="E585" s="58" t="s">
        <v>909</v>
      </c>
    </row>
    <row r="586" spans="1:5" ht="12.75" x14ac:dyDescent="0.2">
      <c r="A586" s="58" t="s">
        <v>644</v>
      </c>
      <c r="B586" s="58" t="s">
        <v>962</v>
      </c>
      <c r="C586">
        <v>20</v>
      </c>
      <c r="D586" s="58" t="s">
        <v>7</v>
      </c>
      <c r="E586" s="58" t="s">
        <v>910</v>
      </c>
    </row>
    <row r="587" spans="1:5" ht="12.75" x14ac:dyDescent="0.2">
      <c r="A587" s="58" t="s">
        <v>645</v>
      </c>
      <c r="B587" s="58" t="s">
        <v>42</v>
      </c>
      <c r="C587">
        <v>50</v>
      </c>
      <c r="D587" s="58" t="s">
        <v>7</v>
      </c>
      <c r="E587" s="58" t="s">
        <v>909</v>
      </c>
    </row>
    <row r="588" spans="1:5" ht="12.75" x14ac:dyDescent="0.2">
      <c r="A588" s="58" t="s">
        <v>645</v>
      </c>
      <c r="B588" s="58" t="s">
        <v>42</v>
      </c>
      <c r="C588">
        <v>10</v>
      </c>
      <c r="D588" s="58" t="s">
        <v>7</v>
      </c>
      <c r="E588" s="58" t="s">
        <v>910</v>
      </c>
    </row>
    <row r="589" spans="1:5" ht="12.75" x14ac:dyDescent="0.2">
      <c r="A589" s="58" t="s">
        <v>646</v>
      </c>
      <c r="B589" s="58" t="s">
        <v>43</v>
      </c>
      <c r="C589">
        <v>50</v>
      </c>
      <c r="D589" s="58" t="s">
        <v>7</v>
      </c>
      <c r="E589" s="58" t="s">
        <v>909</v>
      </c>
    </row>
    <row r="590" spans="1:5" ht="12.75" x14ac:dyDescent="0.2">
      <c r="A590" s="58" t="s">
        <v>646</v>
      </c>
      <c r="B590" s="58" t="s">
        <v>43</v>
      </c>
      <c r="C590">
        <v>10</v>
      </c>
      <c r="D590" s="58" t="s">
        <v>7</v>
      </c>
      <c r="E590" s="58" t="s">
        <v>910</v>
      </c>
    </row>
    <row r="591" spans="1:5" ht="12.75" x14ac:dyDescent="0.2">
      <c r="A591" s="58" t="s">
        <v>647</v>
      </c>
      <c r="B591" s="58" t="s">
        <v>44</v>
      </c>
      <c r="C591">
        <v>150</v>
      </c>
      <c r="D591" s="58" t="s">
        <v>7</v>
      </c>
      <c r="E591" s="58" t="s">
        <v>909</v>
      </c>
    </row>
    <row r="592" spans="1:5" ht="12.75" x14ac:dyDescent="0.2">
      <c r="A592" s="58" t="s">
        <v>647</v>
      </c>
      <c r="B592" s="58" t="s">
        <v>44</v>
      </c>
      <c r="C592">
        <v>30</v>
      </c>
      <c r="D592" s="58" t="s">
        <v>7</v>
      </c>
      <c r="E592" s="58" t="s">
        <v>910</v>
      </c>
    </row>
    <row r="593" spans="1:5" ht="12.75" x14ac:dyDescent="0.2">
      <c r="A593" s="58" t="s">
        <v>648</v>
      </c>
      <c r="B593" s="58" t="s">
        <v>45</v>
      </c>
      <c r="C593">
        <v>100</v>
      </c>
      <c r="D593" s="58" t="s">
        <v>7</v>
      </c>
      <c r="E593" s="58" t="s">
        <v>909</v>
      </c>
    </row>
    <row r="594" spans="1:5" ht="12.75" x14ac:dyDescent="0.2">
      <c r="A594" s="58" t="s">
        <v>648</v>
      </c>
      <c r="B594" s="58" t="s">
        <v>45</v>
      </c>
      <c r="C594">
        <v>20</v>
      </c>
      <c r="D594" s="58" t="s">
        <v>7</v>
      </c>
      <c r="E594" s="58" t="s">
        <v>910</v>
      </c>
    </row>
    <row r="595" spans="1:5" ht="12.75" x14ac:dyDescent="0.2">
      <c r="A595" s="58" t="s">
        <v>649</v>
      </c>
      <c r="B595" s="58" t="s">
        <v>643</v>
      </c>
      <c r="C595">
        <v>50</v>
      </c>
      <c r="D595" s="58" t="s">
        <v>7</v>
      </c>
      <c r="E595" s="58" t="s">
        <v>909</v>
      </c>
    </row>
    <row r="596" spans="1:5" ht="12.75" x14ac:dyDescent="0.2">
      <c r="A596" s="58" t="s">
        <v>649</v>
      </c>
      <c r="B596" s="58" t="s">
        <v>643</v>
      </c>
      <c r="C596">
        <v>10</v>
      </c>
      <c r="D596" s="58" t="s">
        <v>7</v>
      </c>
      <c r="E596" s="58" t="s">
        <v>910</v>
      </c>
    </row>
    <row r="597" spans="1:5" ht="12.75" x14ac:dyDescent="0.2">
      <c r="A597" s="58" t="s">
        <v>650</v>
      </c>
      <c r="B597" s="58" t="s">
        <v>46</v>
      </c>
      <c r="C597">
        <v>150</v>
      </c>
      <c r="D597" s="58" t="s">
        <v>7</v>
      </c>
      <c r="E597" s="58" t="s">
        <v>909</v>
      </c>
    </row>
    <row r="598" spans="1:5" ht="12.75" x14ac:dyDescent="0.2">
      <c r="A598" s="58" t="s">
        <v>650</v>
      </c>
      <c r="B598" s="58" t="s">
        <v>46</v>
      </c>
      <c r="C598">
        <v>30</v>
      </c>
      <c r="D598" s="58" t="s">
        <v>7</v>
      </c>
      <c r="E598" s="58" t="s">
        <v>910</v>
      </c>
    </row>
    <row r="599" spans="1:5" ht="12.75" x14ac:dyDescent="0.2">
      <c r="A599" s="58" t="s">
        <v>651</v>
      </c>
      <c r="B599" s="58" t="s">
        <v>47</v>
      </c>
      <c r="C599">
        <v>150</v>
      </c>
      <c r="D599" s="58" t="s">
        <v>7</v>
      </c>
      <c r="E599" s="58" t="s">
        <v>909</v>
      </c>
    </row>
    <row r="600" spans="1:5" ht="12.75" x14ac:dyDescent="0.2">
      <c r="A600" s="58" t="s">
        <v>651</v>
      </c>
      <c r="B600" s="58" t="s">
        <v>47</v>
      </c>
      <c r="C600">
        <v>30</v>
      </c>
      <c r="D600" s="58" t="s">
        <v>7</v>
      </c>
      <c r="E600" s="58" t="s">
        <v>910</v>
      </c>
    </row>
    <row r="601" spans="1:5" ht="12.75" x14ac:dyDescent="0.2">
      <c r="A601" s="58" t="s">
        <v>652</v>
      </c>
      <c r="B601" s="58" t="s">
        <v>48</v>
      </c>
      <c r="C601">
        <v>150</v>
      </c>
      <c r="D601" s="58" t="s">
        <v>7</v>
      </c>
      <c r="E601" s="58" t="s">
        <v>909</v>
      </c>
    </row>
    <row r="602" spans="1:5" ht="12.75" x14ac:dyDescent="0.2">
      <c r="A602" s="58" t="s">
        <v>652</v>
      </c>
      <c r="B602" s="58" t="s">
        <v>48</v>
      </c>
      <c r="C602">
        <v>30</v>
      </c>
      <c r="D602" s="58" t="s">
        <v>7</v>
      </c>
      <c r="E602" s="58" t="s">
        <v>910</v>
      </c>
    </row>
    <row r="603" spans="1:5" ht="12.75" x14ac:dyDescent="0.2">
      <c r="A603" s="58" t="s">
        <v>653</v>
      </c>
      <c r="B603" s="58" t="s">
        <v>741</v>
      </c>
      <c r="C603">
        <v>100</v>
      </c>
      <c r="D603" s="58" t="s">
        <v>7</v>
      </c>
      <c r="E603" s="58" t="s">
        <v>909</v>
      </c>
    </row>
    <row r="604" spans="1:5" ht="12.75" x14ac:dyDescent="0.2">
      <c r="A604" s="58" t="s">
        <v>653</v>
      </c>
      <c r="B604" s="58" t="s">
        <v>741</v>
      </c>
      <c r="C604">
        <v>20</v>
      </c>
      <c r="D604" s="58" t="s">
        <v>7</v>
      </c>
      <c r="E604" s="58" t="s">
        <v>910</v>
      </c>
    </row>
    <row r="605" spans="1:5" ht="12.75" x14ac:dyDescent="0.2">
      <c r="A605" s="58" t="s">
        <v>654</v>
      </c>
      <c r="B605" s="58" t="s">
        <v>49</v>
      </c>
      <c r="C605">
        <v>100</v>
      </c>
      <c r="D605" s="58" t="s">
        <v>7</v>
      </c>
      <c r="E605" s="58" t="s">
        <v>909</v>
      </c>
    </row>
    <row r="606" spans="1:5" ht="12.75" x14ac:dyDescent="0.2">
      <c r="A606" s="58" t="s">
        <v>654</v>
      </c>
      <c r="B606" s="58" t="s">
        <v>49</v>
      </c>
      <c r="C606">
        <v>20</v>
      </c>
      <c r="D606" s="58" t="s">
        <v>7</v>
      </c>
      <c r="E606" s="58" t="s">
        <v>910</v>
      </c>
    </row>
    <row r="607" spans="1:5" ht="12.75" x14ac:dyDescent="0.2">
      <c r="A607" s="58" t="s">
        <v>655</v>
      </c>
      <c r="B607" s="58" t="s">
        <v>50</v>
      </c>
      <c r="C607">
        <v>100</v>
      </c>
      <c r="D607" s="58" t="s">
        <v>7</v>
      </c>
      <c r="E607" s="58" t="s">
        <v>909</v>
      </c>
    </row>
    <row r="608" spans="1:5" ht="12.75" x14ac:dyDescent="0.2">
      <c r="A608" s="58" t="s">
        <v>655</v>
      </c>
      <c r="B608" s="58" t="s">
        <v>50</v>
      </c>
      <c r="C608">
        <v>20</v>
      </c>
      <c r="D608" s="58" t="s">
        <v>7</v>
      </c>
      <c r="E608" s="58" t="s">
        <v>910</v>
      </c>
    </row>
    <row r="609" spans="1:5" ht="12.75" x14ac:dyDescent="0.2">
      <c r="A609" s="58" t="s">
        <v>656</v>
      </c>
      <c r="B609" s="58" t="s">
        <v>51</v>
      </c>
      <c r="C609">
        <v>200</v>
      </c>
      <c r="D609" s="58" t="s">
        <v>7</v>
      </c>
      <c r="E609" s="58" t="s">
        <v>909</v>
      </c>
    </row>
    <row r="610" spans="1:5" ht="12.75" x14ac:dyDescent="0.2">
      <c r="A610" s="58" t="s">
        <v>656</v>
      </c>
      <c r="B610" s="58" t="s">
        <v>51</v>
      </c>
      <c r="C610">
        <v>40</v>
      </c>
      <c r="D610" s="58" t="s">
        <v>7</v>
      </c>
      <c r="E610" s="58" t="s">
        <v>910</v>
      </c>
    </row>
    <row r="611" spans="1:5" ht="12.75" x14ac:dyDescent="0.2">
      <c r="A611" s="58" t="s">
        <v>657</v>
      </c>
      <c r="B611" s="58" t="s">
        <v>963</v>
      </c>
      <c r="C611">
        <v>12</v>
      </c>
      <c r="D611" s="58" t="s">
        <v>7</v>
      </c>
      <c r="E611" s="58" t="s">
        <v>909</v>
      </c>
    </row>
    <row r="612" spans="1:5" ht="12.75" x14ac:dyDescent="0.2">
      <c r="A612" s="58" t="s">
        <v>657</v>
      </c>
      <c r="B612" s="58" t="s">
        <v>963</v>
      </c>
      <c r="C612">
        <v>2</v>
      </c>
      <c r="D612" s="58" t="s">
        <v>7</v>
      </c>
      <c r="E612" s="58" t="s">
        <v>910</v>
      </c>
    </row>
    <row r="613" spans="1:5" ht="12.75" x14ac:dyDescent="0.2">
      <c r="A613" s="58" t="s">
        <v>658</v>
      </c>
      <c r="B613" s="58" t="s">
        <v>52</v>
      </c>
      <c r="C613">
        <v>54</v>
      </c>
      <c r="D613" s="58" t="s">
        <v>7</v>
      </c>
      <c r="E613" s="58" t="s">
        <v>909</v>
      </c>
    </row>
    <row r="614" spans="1:5" ht="12.75" x14ac:dyDescent="0.2">
      <c r="A614" s="58" t="s">
        <v>658</v>
      </c>
      <c r="B614" s="58" t="s">
        <v>52</v>
      </c>
      <c r="C614">
        <v>10</v>
      </c>
      <c r="D614" s="58" t="s">
        <v>7</v>
      </c>
      <c r="E614" s="58" t="s">
        <v>910</v>
      </c>
    </row>
    <row r="615" spans="1:5" ht="12.75" x14ac:dyDescent="0.2">
      <c r="A615" s="58" t="s">
        <v>660</v>
      </c>
      <c r="B615" s="58" t="s">
        <v>53</v>
      </c>
      <c r="C615">
        <v>4</v>
      </c>
      <c r="D615" s="58" t="s">
        <v>7</v>
      </c>
      <c r="E615" s="58" t="s">
        <v>909</v>
      </c>
    </row>
    <row r="616" spans="1:5" ht="12.75" x14ac:dyDescent="0.2">
      <c r="A616" s="58" t="s">
        <v>660</v>
      </c>
      <c r="B616" s="58" t="s">
        <v>53</v>
      </c>
      <c r="C616">
        <v>0</v>
      </c>
      <c r="D616" s="58" t="s">
        <v>7</v>
      </c>
      <c r="E616" s="58" t="s">
        <v>910</v>
      </c>
    </row>
    <row r="617" spans="1:5" ht="12.75" x14ac:dyDescent="0.2">
      <c r="A617" s="58" t="s">
        <v>964</v>
      </c>
      <c r="B617" s="58" t="s">
        <v>54</v>
      </c>
      <c r="C617">
        <v>75</v>
      </c>
      <c r="D617" s="58" t="s">
        <v>7</v>
      </c>
      <c r="E617" s="58" t="s">
        <v>909</v>
      </c>
    </row>
    <row r="618" spans="1:5" ht="12.75" x14ac:dyDescent="0.2">
      <c r="A618" s="58" t="s">
        <v>964</v>
      </c>
      <c r="B618" s="58" t="s">
        <v>54</v>
      </c>
      <c r="C618">
        <v>15</v>
      </c>
      <c r="D618" s="58" t="s">
        <v>7</v>
      </c>
      <c r="E618" s="58" t="s">
        <v>910</v>
      </c>
    </row>
    <row r="619" spans="1:5" ht="12.75" x14ac:dyDescent="0.2">
      <c r="A619" s="58" t="s">
        <v>965</v>
      </c>
      <c r="B619" s="58" t="s">
        <v>55</v>
      </c>
      <c r="C619">
        <v>75</v>
      </c>
      <c r="D619" s="58" t="s">
        <v>7</v>
      </c>
      <c r="E619" s="58" t="s">
        <v>909</v>
      </c>
    </row>
    <row r="620" spans="1:5" ht="12.75" x14ac:dyDescent="0.2">
      <c r="A620" s="58" t="s">
        <v>965</v>
      </c>
      <c r="B620" s="58" t="s">
        <v>55</v>
      </c>
      <c r="C620">
        <v>15</v>
      </c>
      <c r="D620" s="58" t="s">
        <v>7</v>
      </c>
      <c r="E620" s="58" t="s">
        <v>910</v>
      </c>
    </row>
    <row r="621" spans="1:5" ht="12.75" x14ac:dyDescent="0.2">
      <c r="A621" s="58" t="s">
        <v>966</v>
      </c>
      <c r="B621" s="58" t="s">
        <v>56</v>
      </c>
      <c r="C621">
        <v>50</v>
      </c>
      <c r="D621" s="58" t="s">
        <v>7</v>
      </c>
      <c r="E621" s="58" t="s">
        <v>909</v>
      </c>
    </row>
    <row r="622" spans="1:5" ht="12.75" x14ac:dyDescent="0.2">
      <c r="A622" s="58" t="s">
        <v>966</v>
      </c>
      <c r="B622" s="58" t="s">
        <v>56</v>
      </c>
      <c r="C622">
        <v>10</v>
      </c>
      <c r="D622" s="58" t="s">
        <v>7</v>
      </c>
      <c r="E622" s="58" t="s">
        <v>910</v>
      </c>
    </row>
    <row r="623" spans="1:5" ht="12.75" x14ac:dyDescent="0.2">
      <c r="A623" s="58" t="s">
        <v>967</v>
      </c>
      <c r="B623" s="58" t="s">
        <v>57</v>
      </c>
      <c r="C623">
        <v>25</v>
      </c>
      <c r="D623" s="58" t="s">
        <v>7</v>
      </c>
      <c r="E623" s="58" t="s">
        <v>909</v>
      </c>
    </row>
    <row r="624" spans="1:5" ht="12.75" x14ac:dyDescent="0.2">
      <c r="A624" s="58" t="s">
        <v>967</v>
      </c>
      <c r="B624" s="58" t="s">
        <v>57</v>
      </c>
      <c r="C624">
        <v>5</v>
      </c>
      <c r="D624" s="58" t="s">
        <v>7</v>
      </c>
      <c r="E624" s="58" t="s">
        <v>910</v>
      </c>
    </row>
    <row r="625" spans="1:5" ht="12.75" x14ac:dyDescent="0.2">
      <c r="A625" s="58" t="s">
        <v>968</v>
      </c>
      <c r="B625" s="58" t="s">
        <v>659</v>
      </c>
      <c r="C625">
        <v>0</v>
      </c>
      <c r="D625" s="58" t="s">
        <v>7</v>
      </c>
      <c r="E625" s="58" t="s">
        <v>909</v>
      </c>
    </row>
    <row r="626" spans="1:5" ht="12.75" x14ac:dyDescent="0.2">
      <c r="A626" s="58" t="s">
        <v>968</v>
      </c>
      <c r="B626" s="58" t="s">
        <v>659</v>
      </c>
      <c r="C626">
        <v>0</v>
      </c>
      <c r="D626" s="58" t="s">
        <v>7</v>
      </c>
      <c r="E626" s="58" t="s">
        <v>910</v>
      </c>
    </row>
    <row r="627" spans="1:5" ht="12.75" x14ac:dyDescent="0.2">
      <c r="A627" s="58" t="s">
        <v>969</v>
      </c>
      <c r="B627" s="58" t="s">
        <v>661</v>
      </c>
      <c r="C627">
        <v>0</v>
      </c>
      <c r="D627" s="58" t="s">
        <v>7</v>
      </c>
      <c r="E627" s="58" t="s">
        <v>909</v>
      </c>
    </row>
    <row r="628" spans="1:5" ht="12.75" x14ac:dyDescent="0.2">
      <c r="A628" s="58" t="s">
        <v>969</v>
      </c>
      <c r="B628" s="58" t="s">
        <v>661</v>
      </c>
      <c r="C628">
        <v>0</v>
      </c>
      <c r="D628" s="58" t="s">
        <v>7</v>
      </c>
      <c r="E628" s="58" t="s">
        <v>910</v>
      </c>
    </row>
    <row r="629" spans="1:5" ht="12.75" x14ac:dyDescent="0.2">
      <c r="A629" s="58" t="s">
        <v>664</v>
      </c>
      <c r="B629" s="58" t="s">
        <v>248</v>
      </c>
      <c r="C629">
        <v>120000</v>
      </c>
      <c r="D629" s="58" t="s">
        <v>7</v>
      </c>
      <c r="E629" s="58" t="s">
        <v>909</v>
      </c>
    </row>
    <row r="630" spans="1:5" ht="12.75" x14ac:dyDescent="0.2">
      <c r="A630" s="58" t="s">
        <v>664</v>
      </c>
      <c r="B630" s="58" t="s">
        <v>248</v>
      </c>
      <c r="C630">
        <v>24000</v>
      </c>
      <c r="D630" s="58" t="s">
        <v>7</v>
      </c>
      <c r="E630" s="58" t="s">
        <v>910</v>
      </c>
    </row>
    <row r="631" spans="1:5" ht="12.75" x14ac:dyDescent="0.2">
      <c r="A631" s="58" t="s">
        <v>666</v>
      </c>
      <c r="B631" s="58" t="s">
        <v>249</v>
      </c>
      <c r="C631">
        <v>28000</v>
      </c>
      <c r="D631" s="58" t="s">
        <v>7</v>
      </c>
      <c r="E631" s="58" t="s">
        <v>909</v>
      </c>
    </row>
    <row r="632" spans="1:5" ht="12.75" x14ac:dyDescent="0.2">
      <c r="A632" s="58" t="s">
        <v>666</v>
      </c>
      <c r="B632" s="58" t="s">
        <v>249</v>
      </c>
      <c r="C632">
        <v>5600</v>
      </c>
      <c r="D632" s="58" t="s">
        <v>7</v>
      </c>
      <c r="E632" s="58" t="s">
        <v>910</v>
      </c>
    </row>
    <row r="633" spans="1:5" ht="12.75" x14ac:dyDescent="0.2">
      <c r="A633" s="58" t="s">
        <v>667</v>
      </c>
      <c r="B633" s="58" t="s">
        <v>250</v>
      </c>
      <c r="C633">
        <v>64000</v>
      </c>
      <c r="D633" s="58" t="s">
        <v>7</v>
      </c>
      <c r="E633" s="58" t="s">
        <v>909</v>
      </c>
    </row>
    <row r="634" spans="1:5" ht="12.75" x14ac:dyDescent="0.2">
      <c r="A634" s="58" t="s">
        <v>667</v>
      </c>
      <c r="B634" s="58" t="s">
        <v>250</v>
      </c>
      <c r="C634">
        <v>12800</v>
      </c>
      <c r="D634" s="58" t="s">
        <v>7</v>
      </c>
      <c r="E634" s="58" t="s">
        <v>910</v>
      </c>
    </row>
    <row r="635" spans="1:5" ht="12.75" x14ac:dyDescent="0.2">
      <c r="A635" s="58" t="s">
        <v>668</v>
      </c>
      <c r="B635" s="58" t="s">
        <v>251</v>
      </c>
      <c r="C635">
        <v>68000</v>
      </c>
      <c r="D635" s="58" t="s">
        <v>7</v>
      </c>
      <c r="E635" s="58" t="s">
        <v>909</v>
      </c>
    </row>
    <row r="636" spans="1:5" ht="12.75" x14ac:dyDescent="0.2">
      <c r="A636" s="58" t="s">
        <v>668</v>
      </c>
      <c r="B636" s="58" t="s">
        <v>251</v>
      </c>
      <c r="C636">
        <v>13600</v>
      </c>
      <c r="D636" s="58" t="s">
        <v>7</v>
      </c>
      <c r="E636" s="58" t="s">
        <v>910</v>
      </c>
    </row>
    <row r="637" spans="1:5" ht="12.75" x14ac:dyDescent="0.2">
      <c r="A637" s="58" t="s">
        <v>669</v>
      </c>
      <c r="B637" s="58" t="s">
        <v>252</v>
      </c>
      <c r="C637">
        <v>12000</v>
      </c>
      <c r="D637" s="58" t="s">
        <v>7</v>
      </c>
      <c r="E637" s="58" t="s">
        <v>909</v>
      </c>
    </row>
    <row r="638" spans="1:5" ht="12.75" x14ac:dyDescent="0.2">
      <c r="A638" s="58" t="s">
        <v>669</v>
      </c>
      <c r="B638" s="58" t="s">
        <v>252</v>
      </c>
      <c r="C638">
        <v>2400</v>
      </c>
      <c r="D638" s="58" t="s">
        <v>7</v>
      </c>
      <c r="E638" s="58" t="s">
        <v>910</v>
      </c>
    </row>
    <row r="639" spans="1:5" ht="12.75" x14ac:dyDescent="0.2">
      <c r="A639" s="58" t="s">
        <v>670</v>
      </c>
      <c r="B639" s="58" t="s">
        <v>253</v>
      </c>
      <c r="C639">
        <v>28000</v>
      </c>
      <c r="D639" s="58" t="s">
        <v>7</v>
      </c>
      <c r="E639" s="58" t="s">
        <v>909</v>
      </c>
    </row>
    <row r="640" spans="1:5" ht="12.75" x14ac:dyDescent="0.2">
      <c r="A640" s="58" t="s">
        <v>670</v>
      </c>
      <c r="B640" s="58" t="s">
        <v>253</v>
      </c>
      <c r="C640">
        <v>5600</v>
      </c>
      <c r="D640" s="58" t="s">
        <v>7</v>
      </c>
      <c r="E640" s="58" t="s">
        <v>910</v>
      </c>
    </row>
    <row r="641" spans="1:5" ht="12.75" x14ac:dyDescent="0.2">
      <c r="A641" s="58" t="s">
        <v>671</v>
      </c>
      <c r="B641" s="58" t="s">
        <v>254</v>
      </c>
      <c r="C641">
        <v>8000</v>
      </c>
      <c r="D641" s="58" t="s">
        <v>7</v>
      </c>
      <c r="E641" s="58" t="s">
        <v>909</v>
      </c>
    </row>
    <row r="642" spans="1:5" ht="12.75" x14ac:dyDescent="0.2">
      <c r="A642" s="58" t="s">
        <v>671</v>
      </c>
      <c r="B642" s="58" t="s">
        <v>254</v>
      </c>
      <c r="C642">
        <v>1600</v>
      </c>
      <c r="D642" s="58" t="s">
        <v>7</v>
      </c>
      <c r="E642" s="58" t="s">
        <v>910</v>
      </c>
    </row>
    <row r="643" spans="1:5" ht="12.75" x14ac:dyDescent="0.2">
      <c r="A643" s="58" t="s">
        <v>672</v>
      </c>
      <c r="B643" s="58" t="s">
        <v>255</v>
      </c>
      <c r="C643">
        <v>60000</v>
      </c>
      <c r="D643" s="58" t="s">
        <v>7</v>
      </c>
      <c r="E643" s="58" t="s">
        <v>909</v>
      </c>
    </row>
    <row r="644" spans="1:5" ht="12.75" x14ac:dyDescent="0.2">
      <c r="A644" s="58" t="s">
        <v>672</v>
      </c>
      <c r="B644" s="58" t="s">
        <v>255</v>
      </c>
      <c r="C644">
        <v>12000</v>
      </c>
      <c r="D644" s="58" t="s">
        <v>7</v>
      </c>
      <c r="E644" s="58" t="s">
        <v>910</v>
      </c>
    </row>
    <row r="645" spans="1:5" ht="12.75" x14ac:dyDescent="0.2">
      <c r="A645" s="58" t="s">
        <v>673</v>
      </c>
      <c r="B645" s="58" t="s">
        <v>256</v>
      </c>
      <c r="C645">
        <v>116000</v>
      </c>
      <c r="D645" s="58" t="s">
        <v>7</v>
      </c>
      <c r="E645" s="58" t="s">
        <v>909</v>
      </c>
    </row>
    <row r="646" spans="1:5" ht="12.75" x14ac:dyDescent="0.2">
      <c r="A646" s="58" t="s">
        <v>673</v>
      </c>
      <c r="B646" s="58" t="s">
        <v>256</v>
      </c>
      <c r="C646">
        <v>23200</v>
      </c>
      <c r="D646" s="58" t="s">
        <v>7</v>
      </c>
      <c r="E646" s="58" t="s">
        <v>910</v>
      </c>
    </row>
    <row r="647" spans="1:5" ht="12.75" x14ac:dyDescent="0.2">
      <c r="A647" s="58" t="s">
        <v>674</v>
      </c>
      <c r="B647" s="58" t="s">
        <v>257</v>
      </c>
      <c r="C647">
        <v>16000</v>
      </c>
      <c r="D647" s="58" t="s">
        <v>7</v>
      </c>
      <c r="E647" s="58" t="s">
        <v>909</v>
      </c>
    </row>
    <row r="648" spans="1:5" ht="12.75" x14ac:dyDescent="0.2">
      <c r="A648" s="58" t="s">
        <v>674</v>
      </c>
      <c r="B648" s="58" t="s">
        <v>257</v>
      </c>
      <c r="C648">
        <v>3200</v>
      </c>
      <c r="D648" s="58" t="s">
        <v>7</v>
      </c>
      <c r="E648" s="58" t="s">
        <v>910</v>
      </c>
    </row>
    <row r="649" spans="1:5" ht="12.75" x14ac:dyDescent="0.2">
      <c r="A649" s="58" t="s">
        <v>675</v>
      </c>
      <c r="B649" s="58" t="s">
        <v>258</v>
      </c>
      <c r="C649">
        <v>20000</v>
      </c>
      <c r="D649" s="58" t="s">
        <v>7</v>
      </c>
      <c r="E649" s="58" t="s">
        <v>909</v>
      </c>
    </row>
    <row r="650" spans="1:5" ht="12.75" x14ac:dyDescent="0.2">
      <c r="A650" s="58" t="s">
        <v>675</v>
      </c>
      <c r="B650" s="58" t="s">
        <v>258</v>
      </c>
      <c r="C650">
        <v>4000</v>
      </c>
      <c r="D650" s="58" t="s">
        <v>7</v>
      </c>
      <c r="E650" s="58" t="s">
        <v>910</v>
      </c>
    </row>
    <row r="651" spans="1:5" ht="12.75" x14ac:dyDescent="0.2">
      <c r="A651" s="58" t="s">
        <v>676</v>
      </c>
      <c r="B651" s="58" t="s">
        <v>259</v>
      </c>
      <c r="C651">
        <v>36000</v>
      </c>
      <c r="D651" s="58" t="s">
        <v>7</v>
      </c>
      <c r="E651" s="58" t="s">
        <v>909</v>
      </c>
    </row>
    <row r="652" spans="1:5" ht="12.75" x14ac:dyDescent="0.2">
      <c r="A652" s="58" t="s">
        <v>676</v>
      </c>
      <c r="B652" s="58" t="s">
        <v>259</v>
      </c>
      <c r="C652">
        <v>7200</v>
      </c>
      <c r="D652" s="58" t="s">
        <v>7</v>
      </c>
      <c r="E652" s="58" t="s">
        <v>910</v>
      </c>
    </row>
    <row r="653" spans="1:5" ht="12.75" x14ac:dyDescent="0.2">
      <c r="A653" s="58" t="s">
        <v>677</v>
      </c>
      <c r="B653" s="58" t="s">
        <v>260</v>
      </c>
      <c r="C653">
        <v>8000</v>
      </c>
      <c r="D653" s="58" t="s">
        <v>7</v>
      </c>
      <c r="E653" s="58" t="s">
        <v>909</v>
      </c>
    </row>
    <row r="654" spans="1:5" ht="12.75" x14ac:dyDescent="0.2">
      <c r="A654" s="58" t="s">
        <v>677</v>
      </c>
      <c r="B654" s="58" t="s">
        <v>260</v>
      </c>
      <c r="C654">
        <v>1600</v>
      </c>
      <c r="D654" s="58" t="s">
        <v>7</v>
      </c>
      <c r="E654" s="58" t="s">
        <v>910</v>
      </c>
    </row>
    <row r="655" spans="1:5" ht="12.75" x14ac:dyDescent="0.2">
      <c r="A655" s="58" t="s">
        <v>678</v>
      </c>
      <c r="B655" s="58" t="s">
        <v>261</v>
      </c>
      <c r="C655">
        <v>36000</v>
      </c>
      <c r="D655" s="58" t="s">
        <v>7</v>
      </c>
      <c r="E655" s="58" t="s">
        <v>909</v>
      </c>
    </row>
    <row r="656" spans="1:5" ht="12.75" x14ac:dyDescent="0.2">
      <c r="A656" s="58" t="s">
        <v>678</v>
      </c>
      <c r="B656" s="58" t="s">
        <v>261</v>
      </c>
      <c r="C656">
        <v>7200</v>
      </c>
      <c r="D656" s="58" t="s">
        <v>7</v>
      </c>
      <c r="E656" s="58" t="s">
        <v>910</v>
      </c>
    </row>
    <row r="657" spans="1:5" ht="12.75" x14ac:dyDescent="0.2">
      <c r="A657" s="58" t="s">
        <v>679</v>
      </c>
      <c r="B657" s="58" t="s">
        <v>262</v>
      </c>
      <c r="C657">
        <v>32000</v>
      </c>
      <c r="D657" s="58" t="s">
        <v>7</v>
      </c>
      <c r="E657" s="58" t="s">
        <v>909</v>
      </c>
    </row>
    <row r="658" spans="1:5" ht="12.75" x14ac:dyDescent="0.2">
      <c r="A658" s="58" t="s">
        <v>679</v>
      </c>
      <c r="B658" s="58" t="s">
        <v>262</v>
      </c>
      <c r="C658">
        <v>6400</v>
      </c>
      <c r="D658" s="58" t="s">
        <v>7</v>
      </c>
      <c r="E658" s="58" t="s">
        <v>910</v>
      </c>
    </row>
    <row r="659" spans="1:5" ht="12.75" x14ac:dyDescent="0.2">
      <c r="A659" s="58" t="s">
        <v>680</v>
      </c>
      <c r="B659" s="58" t="s">
        <v>263</v>
      </c>
      <c r="C659">
        <v>12000</v>
      </c>
      <c r="D659" s="58" t="s">
        <v>7</v>
      </c>
      <c r="E659" s="58" t="s">
        <v>909</v>
      </c>
    </row>
    <row r="660" spans="1:5" ht="12.75" x14ac:dyDescent="0.2">
      <c r="A660" s="58" t="s">
        <v>680</v>
      </c>
      <c r="B660" s="58" t="s">
        <v>263</v>
      </c>
      <c r="C660">
        <v>2400</v>
      </c>
      <c r="D660" s="58" t="s">
        <v>7</v>
      </c>
      <c r="E660" s="58" t="s">
        <v>910</v>
      </c>
    </row>
    <row r="661" spans="1:5" ht="12.75" x14ac:dyDescent="0.2">
      <c r="A661" s="58" t="s">
        <v>681</v>
      </c>
      <c r="B661" s="58" t="s">
        <v>264</v>
      </c>
      <c r="C661">
        <v>16000</v>
      </c>
      <c r="D661" s="58" t="s">
        <v>7</v>
      </c>
      <c r="E661" s="58" t="s">
        <v>909</v>
      </c>
    </row>
    <row r="662" spans="1:5" ht="12.75" x14ac:dyDescent="0.2">
      <c r="A662" s="58" t="s">
        <v>681</v>
      </c>
      <c r="B662" s="58" t="s">
        <v>264</v>
      </c>
      <c r="C662">
        <v>3200</v>
      </c>
      <c r="D662" s="58" t="s">
        <v>7</v>
      </c>
      <c r="E662" s="58" t="s">
        <v>910</v>
      </c>
    </row>
    <row r="663" spans="1:5" ht="12.75" x14ac:dyDescent="0.2">
      <c r="A663" s="58" t="s">
        <v>682</v>
      </c>
      <c r="B663" s="58" t="s">
        <v>683</v>
      </c>
      <c r="C663">
        <v>0</v>
      </c>
      <c r="D663" s="58" t="s">
        <v>7</v>
      </c>
      <c r="E663" s="58" t="s">
        <v>909</v>
      </c>
    </row>
    <row r="664" spans="1:5" ht="12.75" x14ac:dyDescent="0.2">
      <c r="A664" s="58" t="s">
        <v>682</v>
      </c>
      <c r="B664" s="58" t="s">
        <v>683</v>
      </c>
      <c r="C664">
        <v>0</v>
      </c>
      <c r="D664" s="58" t="s">
        <v>7</v>
      </c>
      <c r="E664" s="58" t="s">
        <v>910</v>
      </c>
    </row>
    <row r="665" spans="1:5" ht="12.75" x14ac:dyDescent="0.2"/>
    <row r="666" spans="1:5" ht="12.75" x14ac:dyDescent="0.2"/>
    <row r="667" spans="1:5" ht="12.75" x14ac:dyDescent="0.2"/>
    <row r="668" spans="1:5" ht="12.75" x14ac:dyDescent="0.2"/>
    <row r="669" spans="1:5" ht="12.75" x14ac:dyDescent="0.2"/>
    <row r="670" spans="1:5" ht="12.75" x14ac:dyDescent="0.2"/>
    <row r="671" spans="1:5" ht="12.75" x14ac:dyDescent="0.2"/>
    <row r="672" spans="1:5" ht="12.75" x14ac:dyDescent="0.2"/>
    <row r="673" ht="12.75" x14ac:dyDescent="0.2"/>
    <row r="674" ht="12.75" x14ac:dyDescent="0.2"/>
    <row r="675" ht="12.75" x14ac:dyDescent="0.2"/>
    <row r="676" ht="12.75" x14ac:dyDescent="0.2"/>
    <row r="677" ht="12.75" x14ac:dyDescent="0.2"/>
    <row r="678" ht="12.75" x14ac:dyDescent="0.2"/>
    <row r="679" ht="12.75" x14ac:dyDescent="0.2"/>
    <row r="680" ht="12.75" x14ac:dyDescent="0.2"/>
    <row r="681" ht="12.75" x14ac:dyDescent="0.2"/>
    <row r="682" ht="12.75" x14ac:dyDescent="0.2"/>
    <row r="683" ht="12.75" x14ac:dyDescent="0.2"/>
    <row r="684" ht="12.75" x14ac:dyDescent="0.2"/>
    <row r="685" ht="12.75" x14ac:dyDescent="0.2"/>
    <row r="686" ht="12.75" x14ac:dyDescent="0.2"/>
    <row r="687" ht="12.75" x14ac:dyDescent="0.2"/>
    <row r="688" ht="12.75" x14ac:dyDescent="0.2"/>
    <row r="689" ht="12.75" x14ac:dyDescent="0.2"/>
    <row r="690" ht="12.75" x14ac:dyDescent="0.2"/>
    <row r="691" ht="12.75" x14ac:dyDescent="0.2"/>
    <row r="692" ht="12.75" x14ac:dyDescent="0.2"/>
    <row r="693" ht="12.75" x14ac:dyDescent="0.2"/>
    <row r="694" ht="12.75" x14ac:dyDescent="0.2"/>
    <row r="695" ht="12.75" x14ac:dyDescent="0.2"/>
    <row r="696" ht="12.75" x14ac:dyDescent="0.2"/>
    <row r="697" ht="12.75" x14ac:dyDescent="0.2"/>
    <row r="698" ht="12.75" x14ac:dyDescent="0.2"/>
    <row r="699" ht="12.75" x14ac:dyDescent="0.2"/>
    <row r="700" ht="12.75" x14ac:dyDescent="0.2"/>
    <row r="701" ht="12.75" x14ac:dyDescent="0.2"/>
    <row r="702" ht="12.75" x14ac:dyDescent="0.2"/>
    <row r="703" ht="12.75" x14ac:dyDescent="0.2"/>
    <row r="704" ht="12.75" x14ac:dyDescent="0.2"/>
    <row r="705" ht="12.75" x14ac:dyDescent="0.2"/>
    <row r="706" ht="12.75" x14ac:dyDescent="0.2"/>
    <row r="707" ht="12.75" x14ac:dyDescent="0.2"/>
    <row r="708" ht="12.75" x14ac:dyDescent="0.2"/>
    <row r="709" ht="12.75" x14ac:dyDescent="0.2"/>
    <row r="710" ht="12.75" x14ac:dyDescent="0.2"/>
    <row r="711" ht="12.75" x14ac:dyDescent="0.2"/>
    <row r="712" ht="12.75" x14ac:dyDescent="0.2"/>
    <row r="713" ht="12.75" x14ac:dyDescent="0.2"/>
    <row r="714" ht="12.75" x14ac:dyDescent="0.2"/>
    <row r="715" ht="12.75" x14ac:dyDescent="0.2"/>
    <row r="716" ht="12.75" x14ac:dyDescent="0.2"/>
    <row r="717" ht="12.75" x14ac:dyDescent="0.2"/>
    <row r="718" ht="12.75" x14ac:dyDescent="0.2"/>
    <row r="719" ht="12.75" x14ac:dyDescent="0.2"/>
    <row r="720" ht="12.75" x14ac:dyDescent="0.2"/>
    <row r="721" ht="12.75" x14ac:dyDescent="0.2"/>
    <row r="722" ht="12.75" x14ac:dyDescent="0.2"/>
    <row r="723" ht="12.75" x14ac:dyDescent="0.2"/>
    <row r="724" ht="12.75" x14ac:dyDescent="0.2"/>
    <row r="725" ht="12.75" x14ac:dyDescent="0.2"/>
    <row r="726" ht="12.75" x14ac:dyDescent="0.2"/>
    <row r="727" ht="12.75" x14ac:dyDescent="0.2"/>
    <row r="728" ht="12.75" x14ac:dyDescent="0.2"/>
    <row r="729" ht="12.75" x14ac:dyDescent="0.2"/>
    <row r="730" ht="12.75" x14ac:dyDescent="0.2"/>
    <row r="731" ht="12.75" x14ac:dyDescent="0.2"/>
    <row r="732" ht="12.75" x14ac:dyDescent="0.2"/>
    <row r="733" ht="12.75" x14ac:dyDescent="0.2"/>
    <row r="734" ht="12.75" x14ac:dyDescent="0.2"/>
    <row r="735" ht="12.75" x14ac:dyDescent="0.2"/>
    <row r="736" ht="12.75" x14ac:dyDescent="0.2"/>
    <row r="737" ht="12.75" x14ac:dyDescent="0.2"/>
    <row r="738" ht="12.75" x14ac:dyDescent="0.2"/>
    <row r="739" ht="12.75" x14ac:dyDescent="0.2"/>
    <row r="740" ht="12.75" x14ac:dyDescent="0.2"/>
    <row r="741" ht="12.75" x14ac:dyDescent="0.2"/>
    <row r="742" ht="12.75" x14ac:dyDescent="0.2"/>
    <row r="743" ht="12.75" x14ac:dyDescent="0.2"/>
    <row r="744" ht="12.75" x14ac:dyDescent="0.2"/>
    <row r="745" ht="12.75" x14ac:dyDescent="0.2"/>
    <row r="746" ht="12.75" x14ac:dyDescent="0.2"/>
    <row r="747" ht="12.75" x14ac:dyDescent="0.2"/>
    <row r="748" ht="12.75" x14ac:dyDescent="0.2"/>
    <row r="749" ht="12.75" x14ac:dyDescent="0.2"/>
    <row r="750" ht="12.75" x14ac:dyDescent="0.2"/>
    <row r="751" ht="12.75" x14ac:dyDescent="0.2"/>
    <row r="752" ht="12.75" x14ac:dyDescent="0.2"/>
    <row r="753" ht="12.75" x14ac:dyDescent="0.2"/>
    <row r="754" ht="12.75" x14ac:dyDescent="0.2"/>
    <row r="755" ht="12.75" x14ac:dyDescent="0.2"/>
    <row r="756" ht="12.75" x14ac:dyDescent="0.2"/>
    <row r="757" ht="12.75" x14ac:dyDescent="0.2"/>
    <row r="758" ht="12.75" x14ac:dyDescent="0.2"/>
    <row r="759" ht="12.75" x14ac:dyDescent="0.2"/>
    <row r="760" ht="12.75" x14ac:dyDescent="0.2"/>
    <row r="761" ht="12.75" x14ac:dyDescent="0.2"/>
    <row r="762" ht="12.75" x14ac:dyDescent="0.2"/>
    <row r="763" ht="12.75" x14ac:dyDescent="0.2"/>
    <row r="764" ht="12.75" x14ac:dyDescent="0.2"/>
    <row r="765" ht="12.75" x14ac:dyDescent="0.2"/>
    <row r="766" ht="12.75" x14ac:dyDescent="0.2"/>
    <row r="767" ht="12.75" x14ac:dyDescent="0.2"/>
    <row r="768" ht="12.75" x14ac:dyDescent="0.2"/>
    <row r="769" ht="12.75" x14ac:dyDescent="0.2"/>
    <row r="770" ht="12.75" x14ac:dyDescent="0.2"/>
    <row r="771" ht="12.75" x14ac:dyDescent="0.2"/>
    <row r="772" ht="12.75" x14ac:dyDescent="0.2"/>
    <row r="773" ht="12.75" x14ac:dyDescent="0.2"/>
    <row r="774" ht="12.75" x14ac:dyDescent="0.2"/>
    <row r="775" ht="12.75" x14ac:dyDescent="0.2"/>
    <row r="776" ht="12.75" x14ac:dyDescent="0.2"/>
    <row r="777" ht="12.75" x14ac:dyDescent="0.2"/>
    <row r="778" ht="12.75" x14ac:dyDescent="0.2"/>
    <row r="779" ht="12.75" x14ac:dyDescent="0.2"/>
    <row r="780" ht="12.75" x14ac:dyDescent="0.2"/>
    <row r="781" ht="12.75" x14ac:dyDescent="0.2"/>
    <row r="782" ht="12.75" x14ac:dyDescent="0.2"/>
    <row r="783" ht="12.75" x14ac:dyDescent="0.2"/>
    <row r="784" ht="12.75" x14ac:dyDescent="0.2"/>
    <row r="785" ht="12.75" x14ac:dyDescent="0.2"/>
    <row r="786" ht="12.75" x14ac:dyDescent="0.2"/>
    <row r="787" ht="12.75" x14ac:dyDescent="0.2"/>
    <row r="788" ht="12.75" x14ac:dyDescent="0.2"/>
    <row r="789" ht="12.75" x14ac:dyDescent="0.2"/>
    <row r="790" ht="12.75" x14ac:dyDescent="0.2"/>
    <row r="791" ht="12.75" x14ac:dyDescent="0.2"/>
    <row r="792" ht="12.75" x14ac:dyDescent="0.2"/>
    <row r="793" ht="12.75" x14ac:dyDescent="0.2"/>
    <row r="794" ht="12.75" x14ac:dyDescent="0.2"/>
    <row r="795" ht="12.75" x14ac:dyDescent="0.2"/>
    <row r="796" ht="12.75" x14ac:dyDescent="0.2"/>
    <row r="797" ht="12.75" x14ac:dyDescent="0.2"/>
    <row r="798" ht="12.75" x14ac:dyDescent="0.2"/>
    <row r="799" ht="12.75" x14ac:dyDescent="0.2"/>
    <row r="800" ht="12.75" x14ac:dyDescent="0.2"/>
    <row r="801" ht="12.75" x14ac:dyDescent="0.2"/>
    <row r="802" ht="12.75" x14ac:dyDescent="0.2"/>
    <row r="803" ht="12.75" x14ac:dyDescent="0.2"/>
    <row r="804" ht="12.75" x14ac:dyDescent="0.2"/>
    <row r="805" ht="12.75" x14ac:dyDescent="0.2"/>
    <row r="806" ht="12.75" x14ac:dyDescent="0.2"/>
    <row r="807" ht="12.75" x14ac:dyDescent="0.2"/>
    <row r="808" ht="12.75" x14ac:dyDescent="0.2"/>
    <row r="809" ht="12.75" x14ac:dyDescent="0.2"/>
    <row r="810" ht="12.75" x14ac:dyDescent="0.2"/>
    <row r="811" ht="12.75" x14ac:dyDescent="0.2"/>
    <row r="812" ht="12.75" x14ac:dyDescent="0.2"/>
    <row r="813" ht="12.75" x14ac:dyDescent="0.2"/>
    <row r="814" ht="12.75" x14ac:dyDescent="0.2"/>
    <row r="815" ht="12.75" x14ac:dyDescent="0.2"/>
    <row r="816" ht="12.75" x14ac:dyDescent="0.2"/>
    <row r="817" ht="12.75" x14ac:dyDescent="0.2"/>
    <row r="818" ht="12.75" x14ac:dyDescent="0.2"/>
    <row r="819" ht="12.75" x14ac:dyDescent="0.2"/>
    <row r="820" ht="12.75" x14ac:dyDescent="0.2"/>
    <row r="821" ht="12.75" x14ac:dyDescent="0.2"/>
    <row r="822" ht="12.75" x14ac:dyDescent="0.2"/>
    <row r="823" ht="12.75" x14ac:dyDescent="0.2"/>
    <row r="824" ht="12.75" x14ac:dyDescent="0.2"/>
    <row r="825" ht="12.75" x14ac:dyDescent="0.2"/>
    <row r="826" ht="12.75" x14ac:dyDescent="0.2"/>
    <row r="827" ht="12.75" x14ac:dyDescent="0.2"/>
    <row r="828" ht="12.75" x14ac:dyDescent="0.2"/>
    <row r="829" ht="12.75" x14ac:dyDescent="0.2"/>
    <row r="830" ht="12.75" x14ac:dyDescent="0.2"/>
    <row r="831" ht="12.75" x14ac:dyDescent="0.2"/>
    <row r="832" ht="12.75" x14ac:dyDescent="0.2"/>
    <row r="833" ht="12.75" x14ac:dyDescent="0.2"/>
    <row r="834" ht="12.75" x14ac:dyDescent="0.2"/>
    <row r="835" ht="12.75" x14ac:dyDescent="0.2"/>
    <row r="836" ht="12.75" x14ac:dyDescent="0.2"/>
    <row r="837" ht="12.75" x14ac:dyDescent="0.2"/>
    <row r="838" ht="12.75" x14ac:dyDescent="0.2"/>
    <row r="839" ht="12.75" x14ac:dyDescent="0.2"/>
    <row r="840" ht="12.75" x14ac:dyDescent="0.2"/>
    <row r="841" ht="12.75" x14ac:dyDescent="0.2"/>
    <row r="842" ht="12.75" x14ac:dyDescent="0.2"/>
    <row r="843" ht="12.75" x14ac:dyDescent="0.2"/>
    <row r="844" ht="12.75" x14ac:dyDescent="0.2"/>
    <row r="845" ht="12.75" x14ac:dyDescent="0.2"/>
    <row r="846" ht="12.75" x14ac:dyDescent="0.2"/>
    <row r="847" ht="12.75" x14ac:dyDescent="0.2"/>
    <row r="848" ht="12.75" x14ac:dyDescent="0.2"/>
    <row r="849" ht="12.75" x14ac:dyDescent="0.2"/>
    <row r="850" ht="12.75" x14ac:dyDescent="0.2"/>
    <row r="851" ht="12.75" x14ac:dyDescent="0.2"/>
    <row r="852" ht="12.75" x14ac:dyDescent="0.2"/>
    <row r="853" ht="12.75" x14ac:dyDescent="0.2"/>
    <row r="854" ht="12.75" x14ac:dyDescent="0.2"/>
    <row r="855" ht="12.75" x14ac:dyDescent="0.2"/>
    <row r="856" ht="12.75" x14ac:dyDescent="0.2"/>
    <row r="857" ht="12.75" x14ac:dyDescent="0.2"/>
    <row r="858" ht="12.75" x14ac:dyDescent="0.2"/>
    <row r="859" ht="12.75" x14ac:dyDescent="0.2"/>
    <row r="860" ht="12.75" x14ac:dyDescent="0.2"/>
    <row r="861" ht="12.75" x14ac:dyDescent="0.2"/>
    <row r="862" ht="12.75" x14ac:dyDescent="0.2"/>
    <row r="863" ht="12.75" x14ac:dyDescent="0.2"/>
    <row r="864" ht="12.75" x14ac:dyDescent="0.2"/>
    <row r="865" ht="12.75" x14ac:dyDescent="0.2"/>
    <row r="866" ht="12.75" x14ac:dyDescent="0.2"/>
    <row r="867" ht="12.75" x14ac:dyDescent="0.2"/>
    <row r="868" ht="12.75" x14ac:dyDescent="0.2"/>
    <row r="869" ht="12.75" x14ac:dyDescent="0.2"/>
    <row r="870" ht="12.75" x14ac:dyDescent="0.2"/>
    <row r="871" ht="12.75" x14ac:dyDescent="0.2"/>
    <row r="872" ht="12.75" x14ac:dyDescent="0.2"/>
    <row r="873" ht="12.75" x14ac:dyDescent="0.2"/>
    <row r="874" ht="12.75" x14ac:dyDescent="0.2"/>
    <row r="875" ht="12.75" x14ac:dyDescent="0.2"/>
    <row r="876" ht="12.75" x14ac:dyDescent="0.2"/>
    <row r="877" ht="12.75" x14ac:dyDescent="0.2"/>
    <row r="878" ht="12.75" x14ac:dyDescent="0.2"/>
    <row r="879" ht="12.75" x14ac:dyDescent="0.2"/>
    <row r="880" ht="12.75" x14ac:dyDescent="0.2"/>
    <row r="881" ht="12.75" x14ac:dyDescent="0.2"/>
    <row r="882" ht="12.75" x14ac:dyDescent="0.2"/>
    <row r="883" ht="12.75" x14ac:dyDescent="0.2"/>
    <row r="884" ht="12.75" x14ac:dyDescent="0.2"/>
    <row r="885" ht="12.75" x14ac:dyDescent="0.2"/>
    <row r="886" ht="12.75" x14ac:dyDescent="0.2"/>
    <row r="887" ht="12.75" x14ac:dyDescent="0.2"/>
    <row r="888" ht="12.75" x14ac:dyDescent="0.2"/>
    <row r="889" ht="12.75" x14ac:dyDescent="0.2"/>
    <row r="890" ht="12.75" x14ac:dyDescent="0.2"/>
    <row r="891" ht="12.75" x14ac:dyDescent="0.2"/>
    <row r="892" ht="12.75" x14ac:dyDescent="0.2"/>
    <row r="893" ht="12.75" x14ac:dyDescent="0.2"/>
    <row r="894" ht="12.75" x14ac:dyDescent="0.2"/>
    <row r="895" ht="12.75" x14ac:dyDescent="0.2"/>
    <row r="896" ht="12.75" x14ac:dyDescent="0.2"/>
    <row r="897" ht="12.75" x14ac:dyDescent="0.2"/>
    <row r="898" ht="12.75" x14ac:dyDescent="0.2"/>
    <row r="899" ht="12.75" x14ac:dyDescent="0.2"/>
    <row r="900" ht="12.75" x14ac:dyDescent="0.2"/>
    <row r="901" ht="12.75" x14ac:dyDescent="0.2"/>
    <row r="902" ht="12.75" x14ac:dyDescent="0.2"/>
    <row r="903" ht="12.75" x14ac:dyDescent="0.2"/>
    <row r="904" ht="12.75" x14ac:dyDescent="0.2"/>
    <row r="905" ht="12.75" x14ac:dyDescent="0.2"/>
    <row r="906" ht="12.75" x14ac:dyDescent="0.2"/>
    <row r="907" ht="12.75" x14ac:dyDescent="0.2"/>
    <row r="908" ht="12.75" x14ac:dyDescent="0.2"/>
    <row r="909" ht="12.75" x14ac:dyDescent="0.2"/>
    <row r="910" ht="12.75" x14ac:dyDescent="0.2"/>
    <row r="911" ht="12.75" x14ac:dyDescent="0.2"/>
    <row r="912" ht="12.75" x14ac:dyDescent="0.2"/>
    <row r="913" ht="12.75" x14ac:dyDescent="0.2"/>
    <row r="914" ht="12.75" x14ac:dyDescent="0.2"/>
    <row r="915" ht="12.75" x14ac:dyDescent="0.2"/>
    <row r="916" ht="12.75" x14ac:dyDescent="0.2"/>
    <row r="917" ht="12.75" x14ac:dyDescent="0.2"/>
    <row r="918" ht="12.75" x14ac:dyDescent="0.2"/>
    <row r="919" ht="12.75" x14ac:dyDescent="0.2"/>
    <row r="920" ht="12.75" x14ac:dyDescent="0.2"/>
    <row r="921" ht="12.75" x14ac:dyDescent="0.2"/>
    <row r="922" ht="12.75" x14ac:dyDescent="0.2"/>
    <row r="923" ht="12.75" x14ac:dyDescent="0.2"/>
    <row r="924" ht="12.75" x14ac:dyDescent="0.2"/>
    <row r="925" ht="12.75" x14ac:dyDescent="0.2"/>
    <row r="926" ht="12.75" x14ac:dyDescent="0.2"/>
    <row r="927" ht="12.75" x14ac:dyDescent="0.2"/>
    <row r="928" ht="12.75" x14ac:dyDescent="0.2"/>
    <row r="929" ht="12.75" x14ac:dyDescent="0.2"/>
    <row r="930" ht="12.75" x14ac:dyDescent="0.2"/>
    <row r="931" ht="12.75" x14ac:dyDescent="0.2"/>
    <row r="932" ht="12.75" x14ac:dyDescent="0.2"/>
    <row r="933" ht="12.75" x14ac:dyDescent="0.2"/>
    <row r="934" ht="12.75" x14ac:dyDescent="0.2"/>
    <row r="935" ht="12.75" x14ac:dyDescent="0.2"/>
    <row r="936" ht="12.75" x14ac:dyDescent="0.2"/>
    <row r="937" ht="12.75" x14ac:dyDescent="0.2"/>
    <row r="938" ht="12.75" x14ac:dyDescent="0.2"/>
    <row r="939" ht="12.75" x14ac:dyDescent="0.2"/>
    <row r="940" ht="12.75" x14ac:dyDescent="0.2"/>
    <row r="941" ht="12.75" x14ac:dyDescent="0.2"/>
    <row r="942" ht="12.75" x14ac:dyDescent="0.2"/>
    <row r="943" ht="12.75" x14ac:dyDescent="0.2"/>
    <row r="944" ht="12.75" x14ac:dyDescent="0.2"/>
    <row r="945" ht="12.75" x14ac:dyDescent="0.2"/>
    <row r="946" ht="12.75" x14ac:dyDescent="0.2"/>
    <row r="947" ht="12.75" x14ac:dyDescent="0.2"/>
    <row r="948" ht="12.75" x14ac:dyDescent="0.2"/>
    <row r="949" ht="12.75" x14ac:dyDescent="0.2"/>
    <row r="950" ht="12.75" x14ac:dyDescent="0.2"/>
    <row r="951" ht="12.75" x14ac:dyDescent="0.2"/>
    <row r="952" ht="12.75" x14ac:dyDescent="0.2"/>
    <row r="953" ht="12.75" x14ac:dyDescent="0.2"/>
    <row r="954" ht="12.75" x14ac:dyDescent="0.2"/>
    <row r="955" ht="12.75" x14ac:dyDescent="0.2"/>
    <row r="956" ht="12.75" x14ac:dyDescent="0.2"/>
    <row r="957" ht="12.75" x14ac:dyDescent="0.2"/>
    <row r="958" ht="12.75" x14ac:dyDescent="0.2"/>
    <row r="959" ht="12.75" x14ac:dyDescent="0.2"/>
    <row r="960" ht="12.75" x14ac:dyDescent="0.2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BDC5-92BF-46D4-8357-02059DEA6143}">
  <sheetPr codeName="Sheet7">
    <tabColor theme="4"/>
  </sheetPr>
  <dimension ref="A1:D157"/>
  <sheetViews>
    <sheetView zoomScaleNormal="100" workbookViewId="0">
      <selection activeCell="B13" sqref="B13"/>
    </sheetView>
  </sheetViews>
  <sheetFormatPr defaultRowHeight="12.75" x14ac:dyDescent="0.2"/>
  <cols>
    <col min="1" max="1" width="13.42578125" bestFit="1" customWidth="1"/>
    <col min="2" max="2" width="25.5703125" bestFit="1" customWidth="1"/>
    <col min="3" max="3" width="6" bestFit="1" customWidth="1"/>
    <col min="4" max="4" width="13.85546875" bestFit="1" customWidth="1"/>
  </cols>
  <sheetData>
    <row r="1" spans="1:4" x14ac:dyDescent="0.2">
      <c r="A1" t="s">
        <v>742</v>
      </c>
      <c r="B1" t="s">
        <v>743</v>
      </c>
      <c r="C1" t="s">
        <v>276</v>
      </c>
      <c r="D1" t="s">
        <v>277</v>
      </c>
    </row>
    <row r="2" spans="1:4" x14ac:dyDescent="0.2">
      <c r="A2" t="s">
        <v>744</v>
      </c>
      <c r="B2" t="s">
        <v>745</v>
      </c>
      <c r="C2">
        <v>97</v>
      </c>
      <c r="D2" t="s">
        <v>909</v>
      </c>
    </row>
    <row r="3" spans="1:4" x14ac:dyDescent="0.2">
      <c r="A3" t="s">
        <v>744</v>
      </c>
      <c r="B3" t="s">
        <v>745</v>
      </c>
      <c r="C3">
        <v>19</v>
      </c>
      <c r="D3" t="s">
        <v>910</v>
      </c>
    </row>
    <row r="4" spans="1:4" x14ac:dyDescent="0.2">
      <c r="A4" t="s">
        <v>746</v>
      </c>
      <c r="B4" t="s">
        <v>747</v>
      </c>
      <c r="C4">
        <v>17</v>
      </c>
      <c r="D4" t="s">
        <v>909</v>
      </c>
    </row>
    <row r="5" spans="1:4" x14ac:dyDescent="0.2">
      <c r="A5" t="s">
        <v>746</v>
      </c>
      <c r="B5" t="s">
        <v>747</v>
      </c>
      <c r="C5">
        <v>3</v>
      </c>
      <c r="D5" t="s">
        <v>910</v>
      </c>
    </row>
    <row r="6" spans="1:4" x14ac:dyDescent="0.2">
      <c r="A6" t="s">
        <v>748</v>
      </c>
      <c r="B6" t="s">
        <v>749</v>
      </c>
      <c r="C6">
        <v>57</v>
      </c>
      <c r="D6" t="s">
        <v>909</v>
      </c>
    </row>
    <row r="7" spans="1:4" x14ac:dyDescent="0.2">
      <c r="A7" t="s">
        <v>748</v>
      </c>
      <c r="B7" t="s">
        <v>749</v>
      </c>
      <c r="C7">
        <v>11</v>
      </c>
      <c r="D7" t="s">
        <v>910</v>
      </c>
    </row>
    <row r="8" spans="1:4" x14ac:dyDescent="0.2">
      <c r="A8" t="s">
        <v>750</v>
      </c>
      <c r="B8" t="s">
        <v>751</v>
      </c>
      <c r="C8">
        <v>42</v>
      </c>
      <c r="D8" t="s">
        <v>909</v>
      </c>
    </row>
    <row r="9" spans="1:4" x14ac:dyDescent="0.2">
      <c r="A9" t="s">
        <v>750</v>
      </c>
      <c r="B9" t="s">
        <v>751</v>
      </c>
      <c r="C9">
        <v>8</v>
      </c>
      <c r="D9" t="s">
        <v>910</v>
      </c>
    </row>
    <row r="10" spans="1:4" x14ac:dyDescent="0.2">
      <c r="A10" t="s">
        <v>752</v>
      </c>
      <c r="B10" t="s">
        <v>753</v>
      </c>
      <c r="C10">
        <v>60</v>
      </c>
      <c r="D10" t="s">
        <v>909</v>
      </c>
    </row>
    <row r="11" spans="1:4" x14ac:dyDescent="0.2">
      <c r="A11" t="s">
        <v>752</v>
      </c>
      <c r="B11" t="s">
        <v>753</v>
      </c>
      <c r="C11">
        <v>12</v>
      </c>
      <c r="D11" t="s">
        <v>910</v>
      </c>
    </row>
    <row r="12" spans="1:4" x14ac:dyDescent="0.2">
      <c r="A12" t="s">
        <v>754</v>
      </c>
      <c r="B12" t="s">
        <v>755</v>
      </c>
      <c r="C12">
        <v>91</v>
      </c>
      <c r="D12" t="s">
        <v>909</v>
      </c>
    </row>
    <row r="13" spans="1:4" x14ac:dyDescent="0.2">
      <c r="A13" t="s">
        <v>754</v>
      </c>
      <c r="B13" t="s">
        <v>755</v>
      </c>
      <c r="C13">
        <v>18</v>
      </c>
      <c r="D13" t="s">
        <v>910</v>
      </c>
    </row>
    <row r="14" spans="1:4" x14ac:dyDescent="0.2">
      <c r="A14" t="s">
        <v>756</v>
      </c>
      <c r="B14" t="s">
        <v>757</v>
      </c>
      <c r="C14">
        <v>24</v>
      </c>
      <c r="D14" t="s">
        <v>909</v>
      </c>
    </row>
    <row r="15" spans="1:4" x14ac:dyDescent="0.2">
      <c r="A15" t="s">
        <v>756</v>
      </c>
      <c r="B15" t="s">
        <v>757</v>
      </c>
      <c r="C15">
        <v>4</v>
      </c>
      <c r="D15" t="s">
        <v>910</v>
      </c>
    </row>
    <row r="16" spans="1:4" x14ac:dyDescent="0.2">
      <c r="A16" t="s">
        <v>758</v>
      </c>
      <c r="B16" t="s">
        <v>759</v>
      </c>
      <c r="C16">
        <v>7</v>
      </c>
      <c r="D16" t="s">
        <v>909</v>
      </c>
    </row>
    <row r="17" spans="1:4" x14ac:dyDescent="0.2">
      <c r="A17" t="s">
        <v>758</v>
      </c>
      <c r="B17" t="s">
        <v>759</v>
      </c>
      <c r="C17">
        <v>1</v>
      </c>
      <c r="D17" t="s">
        <v>910</v>
      </c>
    </row>
    <row r="18" spans="1:4" x14ac:dyDescent="0.2">
      <c r="A18" t="s">
        <v>760</v>
      </c>
      <c r="B18" t="s">
        <v>761</v>
      </c>
      <c r="C18">
        <v>2</v>
      </c>
      <c r="D18" t="s">
        <v>909</v>
      </c>
    </row>
    <row r="19" spans="1:4" x14ac:dyDescent="0.2">
      <c r="A19" t="s">
        <v>760</v>
      </c>
      <c r="B19" t="s">
        <v>761</v>
      </c>
      <c r="C19">
        <v>0</v>
      </c>
      <c r="D19" t="s">
        <v>910</v>
      </c>
    </row>
    <row r="20" spans="1:4" x14ac:dyDescent="0.2">
      <c r="A20" t="s">
        <v>762</v>
      </c>
      <c r="B20" t="s">
        <v>763</v>
      </c>
      <c r="C20">
        <v>85</v>
      </c>
      <c r="D20" t="s">
        <v>909</v>
      </c>
    </row>
    <row r="21" spans="1:4" x14ac:dyDescent="0.2">
      <c r="A21" t="s">
        <v>762</v>
      </c>
      <c r="B21" t="s">
        <v>763</v>
      </c>
      <c r="C21">
        <v>17</v>
      </c>
      <c r="D21" t="s">
        <v>910</v>
      </c>
    </row>
    <row r="22" spans="1:4" x14ac:dyDescent="0.2">
      <c r="A22" t="s">
        <v>764</v>
      </c>
      <c r="B22" t="s">
        <v>780</v>
      </c>
      <c r="C22">
        <v>78</v>
      </c>
      <c r="D22" t="s">
        <v>909</v>
      </c>
    </row>
    <row r="23" spans="1:4" x14ac:dyDescent="0.2">
      <c r="A23" t="s">
        <v>764</v>
      </c>
      <c r="B23" t="s">
        <v>780</v>
      </c>
      <c r="C23">
        <v>15</v>
      </c>
      <c r="D23" t="s">
        <v>910</v>
      </c>
    </row>
    <row r="24" spans="1:4" x14ac:dyDescent="0.2">
      <c r="A24" t="s">
        <v>765</v>
      </c>
      <c r="B24" t="s">
        <v>782</v>
      </c>
      <c r="C24">
        <v>42</v>
      </c>
      <c r="D24" t="s">
        <v>909</v>
      </c>
    </row>
    <row r="25" spans="1:4" x14ac:dyDescent="0.2">
      <c r="A25" t="s">
        <v>765</v>
      </c>
      <c r="B25" t="s">
        <v>782</v>
      </c>
      <c r="C25">
        <v>8</v>
      </c>
      <c r="D25" t="s">
        <v>910</v>
      </c>
    </row>
    <row r="26" spans="1:4" x14ac:dyDescent="0.2">
      <c r="A26" t="s">
        <v>766</v>
      </c>
      <c r="B26" t="s">
        <v>724</v>
      </c>
      <c r="C26">
        <v>62</v>
      </c>
      <c r="D26" t="s">
        <v>909</v>
      </c>
    </row>
    <row r="27" spans="1:4" x14ac:dyDescent="0.2">
      <c r="A27" t="s">
        <v>766</v>
      </c>
      <c r="B27" t="s">
        <v>724</v>
      </c>
      <c r="C27">
        <v>12</v>
      </c>
      <c r="D27" t="s">
        <v>910</v>
      </c>
    </row>
    <row r="28" spans="1:4" x14ac:dyDescent="0.2">
      <c r="A28" t="s">
        <v>767</v>
      </c>
      <c r="B28" t="s">
        <v>784</v>
      </c>
      <c r="C28">
        <v>39</v>
      </c>
      <c r="D28" t="s">
        <v>909</v>
      </c>
    </row>
    <row r="29" spans="1:4" x14ac:dyDescent="0.2">
      <c r="A29" t="s">
        <v>767</v>
      </c>
      <c r="B29" t="s">
        <v>784</v>
      </c>
      <c r="C29">
        <v>7</v>
      </c>
      <c r="D29" t="s">
        <v>910</v>
      </c>
    </row>
    <row r="30" spans="1:4" x14ac:dyDescent="0.2">
      <c r="A30" t="s">
        <v>768</v>
      </c>
      <c r="B30" t="s">
        <v>786</v>
      </c>
      <c r="C30">
        <v>22</v>
      </c>
      <c r="D30" t="s">
        <v>909</v>
      </c>
    </row>
    <row r="31" spans="1:4" x14ac:dyDescent="0.2">
      <c r="A31" t="s">
        <v>768</v>
      </c>
      <c r="B31" t="s">
        <v>786</v>
      </c>
      <c r="C31">
        <v>4</v>
      </c>
      <c r="D31" t="s">
        <v>910</v>
      </c>
    </row>
    <row r="32" spans="1:4" x14ac:dyDescent="0.2">
      <c r="A32" t="s">
        <v>769</v>
      </c>
      <c r="B32" t="s">
        <v>788</v>
      </c>
      <c r="C32">
        <v>56</v>
      </c>
      <c r="D32" t="s">
        <v>909</v>
      </c>
    </row>
    <row r="33" spans="1:4" x14ac:dyDescent="0.2">
      <c r="A33" t="s">
        <v>769</v>
      </c>
      <c r="B33" t="s">
        <v>788</v>
      </c>
      <c r="C33">
        <v>11</v>
      </c>
      <c r="D33" t="s">
        <v>910</v>
      </c>
    </row>
    <row r="34" spans="1:4" x14ac:dyDescent="0.2">
      <c r="A34" t="s">
        <v>770</v>
      </c>
      <c r="B34" t="s">
        <v>790</v>
      </c>
      <c r="C34">
        <v>35</v>
      </c>
      <c r="D34" t="s">
        <v>909</v>
      </c>
    </row>
    <row r="35" spans="1:4" x14ac:dyDescent="0.2">
      <c r="A35" t="s">
        <v>770</v>
      </c>
      <c r="B35" t="s">
        <v>790</v>
      </c>
      <c r="C35">
        <v>7</v>
      </c>
      <c r="D35" t="s">
        <v>910</v>
      </c>
    </row>
    <row r="36" spans="1:4" x14ac:dyDescent="0.2">
      <c r="A36" t="s">
        <v>771</v>
      </c>
      <c r="B36" t="s">
        <v>792</v>
      </c>
      <c r="C36">
        <v>77</v>
      </c>
      <c r="D36" t="s">
        <v>909</v>
      </c>
    </row>
    <row r="37" spans="1:4" x14ac:dyDescent="0.2">
      <c r="A37" t="s">
        <v>771</v>
      </c>
      <c r="B37" t="s">
        <v>792</v>
      </c>
      <c r="C37">
        <v>15</v>
      </c>
      <c r="D37" t="s">
        <v>910</v>
      </c>
    </row>
    <row r="38" spans="1:4" x14ac:dyDescent="0.2">
      <c r="A38" t="s">
        <v>772</v>
      </c>
      <c r="B38" t="s">
        <v>794</v>
      </c>
      <c r="C38">
        <v>33</v>
      </c>
      <c r="D38" t="s">
        <v>909</v>
      </c>
    </row>
    <row r="39" spans="1:4" x14ac:dyDescent="0.2">
      <c r="A39" t="s">
        <v>772</v>
      </c>
      <c r="B39" t="s">
        <v>794</v>
      </c>
      <c r="C39">
        <v>6</v>
      </c>
      <c r="D39" t="s">
        <v>910</v>
      </c>
    </row>
    <row r="40" spans="1:4" x14ac:dyDescent="0.2">
      <c r="A40" t="s">
        <v>773</v>
      </c>
      <c r="B40" t="s">
        <v>796</v>
      </c>
      <c r="C40">
        <v>3</v>
      </c>
      <c r="D40" t="s">
        <v>909</v>
      </c>
    </row>
    <row r="41" spans="1:4" x14ac:dyDescent="0.2">
      <c r="A41" t="s">
        <v>773</v>
      </c>
      <c r="B41" t="s">
        <v>796</v>
      </c>
      <c r="C41">
        <v>0</v>
      </c>
      <c r="D41" t="s">
        <v>910</v>
      </c>
    </row>
    <row r="42" spans="1:4" x14ac:dyDescent="0.2">
      <c r="A42" t="s">
        <v>774</v>
      </c>
      <c r="B42" t="s">
        <v>798</v>
      </c>
      <c r="C42">
        <v>11</v>
      </c>
      <c r="D42" t="s">
        <v>909</v>
      </c>
    </row>
    <row r="43" spans="1:4" x14ac:dyDescent="0.2">
      <c r="A43" t="s">
        <v>774</v>
      </c>
      <c r="B43" t="s">
        <v>798</v>
      </c>
      <c r="C43">
        <v>2</v>
      </c>
      <c r="D43" t="s">
        <v>910</v>
      </c>
    </row>
    <row r="44" spans="1:4" x14ac:dyDescent="0.2">
      <c r="A44" t="s">
        <v>775</v>
      </c>
      <c r="B44" t="s">
        <v>800</v>
      </c>
      <c r="C44">
        <v>74</v>
      </c>
      <c r="D44" t="s">
        <v>909</v>
      </c>
    </row>
    <row r="45" spans="1:4" x14ac:dyDescent="0.2">
      <c r="A45" t="s">
        <v>775</v>
      </c>
      <c r="B45" t="s">
        <v>800</v>
      </c>
      <c r="C45">
        <v>14</v>
      </c>
      <c r="D45" t="s">
        <v>910</v>
      </c>
    </row>
    <row r="46" spans="1:4" x14ac:dyDescent="0.2">
      <c r="A46" t="s">
        <v>776</v>
      </c>
      <c r="B46" t="s">
        <v>802</v>
      </c>
      <c r="C46">
        <v>30</v>
      </c>
      <c r="D46" t="s">
        <v>909</v>
      </c>
    </row>
    <row r="47" spans="1:4" x14ac:dyDescent="0.2">
      <c r="A47" t="s">
        <v>776</v>
      </c>
      <c r="B47" t="s">
        <v>802</v>
      </c>
      <c r="C47">
        <v>6</v>
      </c>
      <c r="D47" t="s">
        <v>910</v>
      </c>
    </row>
    <row r="48" spans="1:4" x14ac:dyDescent="0.2">
      <c r="A48" t="s">
        <v>777</v>
      </c>
      <c r="B48" t="s">
        <v>804</v>
      </c>
      <c r="C48">
        <v>54</v>
      </c>
      <c r="D48" t="s">
        <v>909</v>
      </c>
    </row>
    <row r="49" spans="1:4" x14ac:dyDescent="0.2">
      <c r="A49" t="s">
        <v>777</v>
      </c>
      <c r="B49" t="s">
        <v>804</v>
      </c>
      <c r="C49">
        <v>10</v>
      </c>
      <c r="D49" t="s">
        <v>910</v>
      </c>
    </row>
    <row r="50" spans="1:4" x14ac:dyDescent="0.2">
      <c r="A50" t="s">
        <v>778</v>
      </c>
      <c r="B50" t="s">
        <v>814</v>
      </c>
      <c r="C50">
        <v>51</v>
      </c>
      <c r="D50" t="s">
        <v>909</v>
      </c>
    </row>
    <row r="51" spans="1:4" x14ac:dyDescent="0.2">
      <c r="A51" t="s">
        <v>778</v>
      </c>
      <c r="B51" t="s">
        <v>814</v>
      </c>
      <c r="C51">
        <v>10</v>
      </c>
      <c r="D51" t="s">
        <v>910</v>
      </c>
    </row>
    <row r="52" spans="1:4" x14ac:dyDescent="0.2">
      <c r="A52" t="s">
        <v>779</v>
      </c>
      <c r="B52" t="s">
        <v>816</v>
      </c>
      <c r="C52">
        <v>78</v>
      </c>
      <c r="D52" t="s">
        <v>909</v>
      </c>
    </row>
    <row r="53" spans="1:4" x14ac:dyDescent="0.2">
      <c r="A53" t="s">
        <v>779</v>
      </c>
      <c r="B53" t="s">
        <v>816</v>
      </c>
      <c r="C53">
        <v>15</v>
      </c>
      <c r="D53" t="s">
        <v>910</v>
      </c>
    </row>
    <row r="54" spans="1:4" x14ac:dyDescent="0.2">
      <c r="A54" t="s">
        <v>781</v>
      </c>
      <c r="B54" t="s">
        <v>822</v>
      </c>
      <c r="C54">
        <v>92</v>
      </c>
      <c r="D54" t="s">
        <v>909</v>
      </c>
    </row>
    <row r="55" spans="1:4" x14ac:dyDescent="0.2">
      <c r="A55" t="s">
        <v>781</v>
      </c>
      <c r="B55" t="s">
        <v>822</v>
      </c>
      <c r="C55">
        <v>18</v>
      </c>
      <c r="D55" t="s">
        <v>910</v>
      </c>
    </row>
    <row r="56" spans="1:4" x14ac:dyDescent="0.2">
      <c r="A56" t="s">
        <v>723</v>
      </c>
      <c r="B56" t="s">
        <v>1</v>
      </c>
      <c r="C56">
        <v>86</v>
      </c>
      <c r="D56" t="s">
        <v>909</v>
      </c>
    </row>
    <row r="57" spans="1:4" x14ac:dyDescent="0.2">
      <c r="A57" t="s">
        <v>723</v>
      </c>
      <c r="B57" t="s">
        <v>1</v>
      </c>
      <c r="C57">
        <v>17</v>
      </c>
      <c r="D57" t="s">
        <v>910</v>
      </c>
    </row>
    <row r="58" spans="1:4" x14ac:dyDescent="0.2">
      <c r="A58" t="s">
        <v>783</v>
      </c>
      <c r="B58" t="s">
        <v>824</v>
      </c>
      <c r="C58">
        <v>18</v>
      </c>
      <c r="D58" t="s">
        <v>909</v>
      </c>
    </row>
    <row r="59" spans="1:4" x14ac:dyDescent="0.2">
      <c r="A59" t="s">
        <v>783</v>
      </c>
      <c r="B59" t="s">
        <v>824</v>
      </c>
      <c r="C59">
        <v>3</v>
      </c>
      <c r="D59" t="s">
        <v>910</v>
      </c>
    </row>
    <row r="60" spans="1:4" x14ac:dyDescent="0.2">
      <c r="A60" t="s">
        <v>785</v>
      </c>
      <c r="B60" t="s">
        <v>826</v>
      </c>
      <c r="C60">
        <v>45</v>
      </c>
      <c r="D60" t="s">
        <v>909</v>
      </c>
    </row>
    <row r="61" spans="1:4" x14ac:dyDescent="0.2">
      <c r="A61" t="s">
        <v>785</v>
      </c>
      <c r="B61" t="s">
        <v>826</v>
      </c>
      <c r="C61">
        <v>9</v>
      </c>
      <c r="D61" t="s">
        <v>910</v>
      </c>
    </row>
    <row r="62" spans="1:4" x14ac:dyDescent="0.2">
      <c r="A62" t="s">
        <v>787</v>
      </c>
      <c r="B62" t="s">
        <v>830</v>
      </c>
      <c r="C62">
        <v>0</v>
      </c>
      <c r="D62" t="s">
        <v>909</v>
      </c>
    </row>
    <row r="63" spans="1:4" x14ac:dyDescent="0.2">
      <c r="A63" t="s">
        <v>787</v>
      </c>
      <c r="B63" t="s">
        <v>830</v>
      </c>
      <c r="C63">
        <v>0</v>
      </c>
      <c r="D63" t="s">
        <v>910</v>
      </c>
    </row>
    <row r="64" spans="1:4" x14ac:dyDescent="0.2">
      <c r="A64" t="s">
        <v>789</v>
      </c>
      <c r="B64" t="s">
        <v>832</v>
      </c>
      <c r="C64">
        <v>2</v>
      </c>
      <c r="D64" t="s">
        <v>909</v>
      </c>
    </row>
    <row r="65" spans="1:4" x14ac:dyDescent="0.2">
      <c r="A65" t="s">
        <v>789</v>
      </c>
      <c r="B65" t="s">
        <v>832</v>
      </c>
      <c r="C65">
        <v>0</v>
      </c>
      <c r="D65" t="s">
        <v>910</v>
      </c>
    </row>
    <row r="66" spans="1:4" x14ac:dyDescent="0.2">
      <c r="A66" t="s">
        <v>791</v>
      </c>
      <c r="B66" t="s">
        <v>834</v>
      </c>
      <c r="C66">
        <v>32</v>
      </c>
      <c r="D66" t="s">
        <v>909</v>
      </c>
    </row>
    <row r="67" spans="1:4" x14ac:dyDescent="0.2">
      <c r="A67" t="s">
        <v>791</v>
      </c>
      <c r="B67" t="s">
        <v>834</v>
      </c>
      <c r="C67">
        <v>6</v>
      </c>
      <c r="D67" t="s">
        <v>910</v>
      </c>
    </row>
    <row r="68" spans="1:4" x14ac:dyDescent="0.2">
      <c r="A68" t="s">
        <v>793</v>
      </c>
      <c r="B68" t="s">
        <v>836</v>
      </c>
      <c r="C68">
        <v>1</v>
      </c>
      <c r="D68" t="s">
        <v>909</v>
      </c>
    </row>
    <row r="69" spans="1:4" x14ac:dyDescent="0.2">
      <c r="A69" t="s">
        <v>793</v>
      </c>
      <c r="B69" t="s">
        <v>836</v>
      </c>
      <c r="C69">
        <v>0</v>
      </c>
      <c r="D69" t="s">
        <v>910</v>
      </c>
    </row>
    <row r="70" spans="1:4" x14ac:dyDescent="0.2">
      <c r="A70" t="s">
        <v>795</v>
      </c>
      <c r="B70" t="s">
        <v>838</v>
      </c>
      <c r="C70">
        <v>87</v>
      </c>
      <c r="D70" t="s">
        <v>909</v>
      </c>
    </row>
    <row r="71" spans="1:4" x14ac:dyDescent="0.2">
      <c r="A71" t="s">
        <v>795</v>
      </c>
      <c r="B71" t="s">
        <v>838</v>
      </c>
      <c r="C71">
        <v>17</v>
      </c>
      <c r="D71" t="s">
        <v>910</v>
      </c>
    </row>
    <row r="72" spans="1:4" x14ac:dyDescent="0.2">
      <c r="A72" t="s">
        <v>797</v>
      </c>
      <c r="B72" t="s">
        <v>840</v>
      </c>
      <c r="C72">
        <v>92</v>
      </c>
      <c r="D72" t="s">
        <v>909</v>
      </c>
    </row>
    <row r="73" spans="1:4" x14ac:dyDescent="0.2">
      <c r="A73" t="s">
        <v>797</v>
      </c>
      <c r="B73" t="s">
        <v>840</v>
      </c>
      <c r="C73">
        <v>18</v>
      </c>
      <c r="D73" t="s">
        <v>910</v>
      </c>
    </row>
    <row r="74" spans="1:4" x14ac:dyDescent="0.2">
      <c r="A74" t="s">
        <v>799</v>
      </c>
      <c r="B74" t="s">
        <v>842</v>
      </c>
      <c r="C74">
        <v>72</v>
      </c>
      <c r="D74" t="s">
        <v>909</v>
      </c>
    </row>
    <row r="75" spans="1:4" x14ac:dyDescent="0.2">
      <c r="A75" t="s">
        <v>799</v>
      </c>
      <c r="B75" t="s">
        <v>842</v>
      </c>
      <c r="C75">
        <v>14</v>
      </c>
      <c r="D75" t="s">
        <v>910</v>
      </c>
    </row>
    <row r="76" spans="1:4" x14ac:dyDescent="0.2">
      <c r="A76" t="s">
        <v>801</v>
      </c>
      <c r="B76" t="s">
        <v>844</v>
      </c>
      <c r="C76">
        <v>29</v>
      </c>
      <c r="D76" t="s">
        <v>909</v>
      </c>
    </row>
    <row r="77" spans="1:4" x14ac:dyDescent="0.2">
      <c r="A77" t="s">
        <v>801</v>
      </c>
      <c r="B77" t="s">
        <v>844</v>
      </c>
      <c r="C77">
        <v>5</v>
      </c>
      <c r="D77" t="s">
        <v>910</v>
      </c>
    </row>
    <row r="78" spans="1:4" x14ac:dyDescent="0.2">
      <c r="A78" t="s">
        <v>803</v>
      </c>
      <c r="B78" t="s">
        <v>846</v>
      </c>
      <c r="C78">
        <v>43</v>
      </c>
      <c r="D78" t="s">
        <v>909</v>
      </c>
    </row>
    <row r="79" spans="1:4" x14ac:dyDescent="0.2">
      <c r="A79" t="s">
        <v>803</v>
      </c>
      <c r="B79" t="s">
        <v>846</v>
      </c>
      <c r="C79">
        <v>8</v>
      </c>
      <c r="D79" t="s">
        <v>910</v>
      </c>
    </row>
    <row r="80" spans="1:4" x14ac:dyDescent="0.2">
      <c r="A80" t="s">
        <v>805</v>
      </c>
      <c r="B80" t="s">
        <v>848</v>
      </c>
      <c r="C80">
        <v>2</v>
      </c>
      <c r="D80" t="s">
        <v>909</v>
      </c>
    </row>
    <row r="81" spans="1:4" x14ac:dyDescent="0.2">
      <c r="A81" t="s">
        <v>805</v>
      </c>
      <c r="B81" t="s">
        <v>848</v>
      </c>
      <c r="C81">
        <v>0</v>
      </c>
      <c r="D81" t="s">
        <v>910</v>
      </c>
    </row>
    <row r="82" spans="1:4" x14ac:dyDescent="0.2">
      <c r="A82" t="s">
        <v>806</v>
      </c>
      <c r="B82" t="s">
        <v>850</v>
      </c>
      <c r="C82">
        <v>5</v>
      </c>
      <c r="D82" t="s">
        <v>909</v>
      </c>
    </row>
    <row r="83" spans="1:4" x14ac:dyDescent="0.2">
      <c r="A83" t="s">
        <v>806</v>
      </c>
      <c r="B83" t="s">
        <v>850</v>
      </c>
      <c r="C83">
        <v>1</v>
      </c>
      <c r="D83" t="s">
        <v>910</v>
      </c>
    </row>
    <row r="84" spans="1:4" x14ac:dyDescent="0.2">
      <c r="A84" t="s">
        <v>807</v>
      </c>
      <c r="B84" t="s">
        <v>852</v>
      </c>
      <c r="C84">
        <v>95</v>
      </c>
      <c r="D84" t="s">
        <v>909</v>
      </c>
    </row>
    <row r="85" spans="1:4" x14ac:dyDescent="0.2">
      <c r="A85" t="s">
        <v>807</v>
      </c>
      <c r="B85" t="s">
        <v>852</v>
      </c>
      <c r="C85">
        <v>19</v>
      </c>
      <c r="D85" t="s">
        <v>910</v>
      </c>
    </row>
    <row r="86" spans="1:4" x14ac:dyDescent="0.2">
      <c r="A86" t="s">
        <v>808</v>
      </c>
      <c r="B86" t="s">
        <v>854</v>
      </c>
      <c r="C86">
        <v>6</v>
      </c>
      <c r="D86" t="s">
        <v>909</v>
      </c>
    </row>
    <row r="87" spans="1:4" x14ac:dyDescent="0.2">
      <c r="A87" t="s">
        <v>808</v>
      </c>
      <c r="B87" t="s">
        <v>854</v>
      </c>
      <c r="C87">
        <v>1</v>
      </c>
      <c r="D87" t="s">
        <v>910</v>
      </c>
    </row>
    <row r="88" spans="1:4" x14ac:dyDescent="0.2">
      <c r="A88" t="s">
        <v>809</v>
      </c>
      <c r="B88" t="s">
        <v>856</v>
      </c>
      <c r="C88">
        <v>57</v>
      </c>
      <c r="D88" t="s">
        <v>909</v>
      </c>
    </row>
    <row r="89" spans="1:4" x14ac:dyDescent="0.2">
      <c r="A89" t="s">
        <v>809</v>
      </c>
      <c r="B89" t="s">
        <v>856</v>
      </c>
      <c r="C89">
        <v>11</v>
      </c>
      <c r="D89" t="s">
        <v>910</v>
      </c>
    </row>
    <row r="90" spans="1:4" x14ac:dyDescent="0.2">
      <c r="A90" t="s">
        <v>810</v>
      </c>
      <c r="B90" t="s">
        <v>858</v>
      </c>
      <c r="C90">
        <v>2</v>
      </c>
      <c r="D90" t="s">
        <v>909</v>
      </c>
    </row>
    <row r="91" spans="1:4" x14ac:dyDescent="0.2">
      <c r="A91" t="s">
        <v>810</v>
      </c>
      <c r="B91" t="s">
        <v>858</v>
      </c>
      <c r="C91">
        <v>0</v>
      </c>
      <c r="D91" t="s">
        <v>910</v>
      </c>
    </row>
    <row r="92" spans="1:4" x14ac:dyDescent="0.2">
      <c r="A92" t="s">
        <v>811</v>
      </c>
      <c r="B92" t="s">
        <v>860</v>
      </c>
      <c r="C92">
        <v>44</v>
      </c>
      <c r="D92" t="s">
        <v>909</v>
      </c>
    </row>
    <row r="93" spans="1:4" x14ac:dyDescent="0.2">
      <c r="A93" t="s">
        <v>811</v>
      </c>
      <c r="B93" t="s">
        <v>860</v>
      </c>
      <c r="C93">
        <v>8</v>
      </c>
      <c r="D93" t="s">
        <v>910</v>
      </c>
    </row>
    <row r="94" spans="1:4" x14ac:dyDescent="0.2">
      <c r="A94" t="s">
        <v>812</v>
      </c>
      <c r="B94" t="s">
        <v>862</v>
      </c>
      <c r="C94">
        <v>30</v>
      </c>
      <c r="D94" t="s">
        <v>909</v>
      </c>
    </row>
    <row r="95" spans="1:4" x14ac:dyDescent="0.2">
      <c r="A95" t="s">
        <v>812</v>
      </c>
      <c r="B95" t="s">
        <v>862</v>
      </c>
      <c r="C95">
        <v>6</v>
      </c>
      <c r="D95" t="s">
        <v>910</v>
      </c>
    </row>
    <row r="96" spans="1:4" x14ac:dyDescent="0.2">
      <c r="A96" t="s">
        <v>813</v>
      </c>
      <c r="B96" t="s">
        <v>864</v>
      </c>
      <c r="C96">
        <v>60</v>
      </c>
      <c r="D96" t="s">
        <v>909</v>
      </c>
    </row>
    <row r="97" spans="1:4" x14ac:dyDescent="0.2">
      <c r="A97" t="s">
        <v>813</v>
      </c>
      <c r="B97" t="s">
        <v>864</v>
      </c>
      <c r="C97">
        <v>12</v>
      </c>
      <c r="D97" t="s">
        <v>910</v>
      </c>
    </row>
    <row r="98" spans="1:4" x14ac:dyDescent="0.2">
      <c r="A98" t="s">
        <v>815</v>
      </c>
      <c r="B98" t="s">
        <v>866</v>
      </c>
      <c r="C98">
        <v>72</v>
      </c>
      <c r="D98" t="s">
        <v>909</v>
      </c>
    </row>
    <row r="99" spans="1:4" x14ac:dyDescent="0.2">
      <c r="A99" t="s">
        <v>815</v>
      </c>
      <c r="B99" t="s">
        <v>866</v>
      </c>
      <c r="C99">
        <v>14</v>
      </c>
      <c r="D99" t="s">
        <v>910</v>
      </c>
    </row>
    <row r="100" spans="1:4" x14ac:dyDescent="0.2">
      <c r="A100" t="s">
        <v>817</v>
      </c>
      <c r="B100" t="s">
        <v>867</v>
      </c>
      <c r="C100">
        <v>8</v>
      </c>
      <c r="D100" t="s">
        <v>909</v>
      </c>
    </row>
    <row r="101" spans="1:4" x14ac:dyDescent="0.2">
      <c r="A101" t="s">
        <v>817</v>
      </c>
      <c r="B101" t="s">
        <v>867</v>
      </c>
      <c r="C101">
        <v>1</v>
      </c>
      <c r="D101" t="s">
        <v>910</v>
      </c>
    </row>
    <row r="102" spans="1:4" x14ac:dyDescent="0.2">
      <c r="A102" t="s">
        <v>818</v>
      </c>
      <c r="B102" t="s">
        <v>868</v>
      </c>
      <c r="C102">
        <v>80</v>
      </c>
      <c r="D102" t="s">
        <v>909</v>
      </c>
    </row>
    <row r="103" spans="1:4" x14ac:dyDescent="0.2">
      <c r="A103" t="s">
        <v>818</v>
      </c>
      <c r="B103" t="s">
        <v>868</v>
      </c>
      <c r="C103">
        <v>16</v>
      </c>
      <c r="D103" t="s">
        <v>910</v>
      </c>
    </row>
    <row r="104" spans="1:4" x14ac:dyDescent="0.2">
      <c r="A104" t="s">
        <v>819</v>
      </c>
      <c r="B104" t="s">
        <v>869</v>
      </c>
      <c r="C104">
        <v>85</v>
      </c>
      <c r="D104" t="s">
        <v>909</v>
      </c>
    </row>
    <row r="105" spans="1:4" x14ac:dyDescent="0.2">
      <c r="A105" t="s">
        <v>819</v>
      </c>
      <c r="B105" t="s">
        <v>869</v>
      </c>
      <c r="C105">
        <v>17</v>
      </c>
      <c r="D105" t="s">
        <v>910</v>
      </c>
    </row>
    <row r="106" spans="1:4" x14ac:dyDescent="0.2">
      <c r="A106" t="s">
        <v>820</v>
      </c>
      <c r="B106" t="s">
        <v>870</v>
      </c>
      <c r="C106">
        <v>91</v>
      </c>
      <c r="D106" t="s">
        <v>909</v>
      </c>
    </row>
    <row r="107" spans="1:4" x14ac:dyDescent="0.2">
      <c r="A107" t="s">
        <v>820</v>
      </c>
      <c r="B107" t="s">
        <v>870</v>
      </c>
      <c r="C107">
        <v>18</v>
      </c>
      <c r="D107" t="s">
        <v>910</v>
      </c>
    </row>
    <row r="108" spans="1:4" x14ac:dyDescent="0.2">
      <c r="A108" t="s">
        <v>821</v>
      </c>
      <c r="B108" t="s">
        <v>871</v>
      </c>
      <c r="C108">
        <v>96</v>
      </c>
      <c r="D108" t="s">
        <v>909</v>
      </c>
    </row>
    <row r="109" spans="1:4" x14ac:dyDescent="0.2">
      <c r="A109" t="s">
        <v>821</v>
      </c>
      <c r="B109" t="s">
        <v>871</v>
      </c>
      <c r="C109">
        <v>19</v>
      </c>
      <c r="D109" t="s">
        <v>910</v>
      </c>
    </row>
    <row r="110" spans="1:4" x14ac:dyDescent="0.2">
      <c r="A110" t="s">
        <v>720</v>
      </c>
      <c r="B110" t="s">
        <v>872</v>
      </c>
      <c r="C110">
        <v>30</v>
      </c>
      <c r="D110" t="s">
        <v>909</v>
      </c>
    </row>
    <row r="111" spans="1:4" x14ac:dyDescent="0.2">
      <c r="A111" t="s">
        <v>720</v>
      </c>
      <c r="B111" t="s">
        <v>872</v>
      </c>
      <c r="C111">
        <v>6</v>
      </c>
      <c r="D111" t="s">
        <v>910</v>
      </c>
    </row>
    <row r="112" spans="1:4" x14ac:dyDescent="0.2">
      <c r="A112" t="s">
        <v>823</v>
      </c>
      <c r="B112" t="s">
        <v>873</v>
      </c>
      <c r="C112">
        <v>88</v>
      </c>
      <c r="D112" t="s">
        <v>909</v>
      </c>
    </row>
    <row r="113" spans="1:4" x14ac:dyDescent="0.2">
      <c r="A113" t="s">
        <v>823</v>
      </c>
      <c r="B113" t="s">
        <v>873</v>
      </c>
      <c r="C113">
        <v>17</v>
      </c>
      <c r="D113" t="s">
        <v>910</v>
      </c>
    </row>
    <row r="114" spans="1:4" x14ac:dyDescent="0.2">
      <c r="A114" t="s">
        <v>825</v>
      </c>
      <c r="B114" t="s">
        <v>874</v>
      </c>
      <c r="C114">
        <v>42</v>
      </c>
      <c r="D114" t="s">
        <v>909</v>
      </c>
    </row>
    <row r="115" spans="1:4" x14ac:dyDescent="0.2">
      <c r="A115" t="s">
        <v>825</v>
      </c>
      <c r="B115" t="s">
        <v>874</v>
      </c>
      <c r="C115">
        <v>8</v>
      </c>
      <c r="D115" t="s">
        <v>910</v>
      </c>
    </row>
    <row r="116" spans="1:4" x14ac:dyDescent="0.2">
      <c r="A116" t="s">
        <v>827</v>
      </c>
      <c r="B116" t="s">
        <v>875</v>
      </c>
      <c r="C116">
        <v>73</v>
      </c>
      <c r="D116" t="s">
        <v>909</v>
      </c>
    </row>
    <row r="117" spans="1:4" x14ac:dyDescent="0.2">
      <c r="A117" t="s">
        <v>827</v>
      </c>
      <c r="B117" t="s">
        <v>875</v>
      </c>
      <c r="C117">
        <v>14</v>
      </c>
      <c r="D117" t="s">
        <v>910</v>
      </c>
    </row>
    <row r="118" spans="1:4" x14ac:dyDescent="0.2">
      <c r="A118" t="s">
        <v>828</v>
      </c>
      <c r="B118" t="s">
        <v>876</v>
      </c>
      <c r="C118">
        <v>4</v>
      </c>
      <c r="D118" t="s">
        <v>909</v>
      </c>
    </row>
    <row r="119" spans="1:4" x14ac:dyDescent="0.2">
      <c r="A119" t="s">
        <v>828</v>
      </c>
      <c r="B119" t="s">
        <v>876</v>
      </c>
      <c r="C119">
        <v>0</v>
      </c>
      <c r="D119" t="s">
        <v>910</v>
      </c>
    </row>
    <row r="120" spans="1:4" x14ac:dyDescent="0.2">
      <c r="A120" t="s">
        <v>829</v>
      </c>
      <c r="B120" t="s">
        <v>877</v>
      </c>
      <c r="C120">
        <v>65</v>
      </c>
      <c r="D120" t="s">
        <v>909</v>
      </c>
    </row>
    <row r="121" spans="1:4" x14ac:dyDescent="0.2">
      <c r="A121" t="s">
        <v>829</v>
      </c>
      <c r="B121" t="s">
        <v>877</v>
      </c>
      <c r="C121">
        <v>13</v>
      </c>
      <c r="D121" t="s">
        <v>910</v>
      </c>
    </row>
    <row r="122" spans="1:4" x14ac:dyDescent="0.2">
      <c r="A122" t="s">
        <v>831</v>
      </c>
      <c r="B122" t="s">
        <v>878</v>
      </c>
      <c r="C122">
        <v>40</v>
      </c>
      <c r="D122" t="s">
        <v>909</v>
      </c>
    </row>
    <row r="123" spans="1:4" x14ac:dyDescent="0.2">
      <c r="A123" t="s">
        <v>831</v>
      </c>
      <c r="B123" t="s">
        <v>878</v>
      </c>
      <c r="C123">
        <v>8</v>
      </c>
      <c r="D123" t="s">
        <v>910</v>
      </c>
    </row>
    <row r="124" spans="1:4" x14ac:dyDescent="0.2">
      <c r="A124" t="s">
        <v>833</v>
      </c>
      <c r="B124" t="s">
        <v>879</v>
      </c>
      <c r="C124">
        <v>35</v>
      </c>
      <c r="D124" t="s">
        <v>909</v>
      </c>
    </row>
    <row r="125" spans="1:4" x14ac:dyDescent="0.2">
      <c r="A125" t="s">
        <v>833</v>
      </c>
      <c r="B125" t="s">
        <v>879</v>
      </c>
      <c r="C125">
        <v>7</v>
      </c>
      <c r="D125" t="s">
        <v>910</v>
      </c>
    </row>
    <row r="126" spans="1:4" x14ac:dyDescent="0.2">
      <c r="A126" t="s">
        <v>835</v>
      </c>
      <c r="B126" t="s">
        <v>880</v>
      </c>
      <c r="C126">
        <v>90</v>
      </c>
      <c r="D126" t="s">
        <v>909</v>
      </c>
    </row>
    <row r="127" spans="1:4" x14ac:dyDescent="0.2">
      <c r="A127" t="s">
        <v>835</v>
      </c>
      <c r="B127" t="s">
        <v>880</v>
      </c>
      <c r="C127">
        <v>18</v>
      </c>
      <c r="D127" t="s">
        <v>910</v>
      </c>
    </row>
    <row r="128" spans="1:4" x14ac:dyDescent="0.2">
      <c r="A128" t="s">
        <v>837</v>
      </c>
      <c r="B128" t="s">
        <v>881</v>
      </c>
      <c r="C128">
        <v>77</v>
      </c>
      <c r="D128" t="s">
        <v>909</v>
      </c>
    </row>
    <row r="129" spans="1:4" x14ac:dyDescent="0.2">
      <c r="A129" t="s">
        <v>837</v>
      </c>
      <c r="B129" t="s">
        <v>881</v>
      </c>
      <c r="C129">
        <v>15</v>
      </c>
      <c r="D129" t="s">
        <v>910</v>
      </c>
    </row>
    <row r="130" spans="1:4" x14ac:dyDescent="0.2">
      <c r="A130" t="s">
        <v>839</v>
      </c>
      <c r="B130" t="s">
        <v>722</v>
      </c>
      <c r="C130">
        <v>34</v>
      </c>
      <c r="D130" t="s">
        <v>909</v>
      </c>
    </row>
    <row r="131" spans="1:4" x14ac:dyDescent="0.2">
      <c r="A131" t="s">
        <v>839</v>
      </c>
      <c r="B131" t="s">
        <v>722</v>
      </c>
      <c r="C131">
        <v>6</v>
      </c>
      <c r="D131" t="s">
        <v>910</v>
      </c>
    </row>
    <row r="132" spans="1:4" x14ac:dyDescent="0.2">
      <c r="A132" t="s">
        <v>841</v>
      </c>
      <c r="B132" t="s">
        <v>882</v>
      </c>
      <c r="C132">
        <v>68</v>
      </c>
      <c r="D132" t="s">
        <v>909</v>
      </c>
    </row>
    <row r="133" spans="1:4" x14ac:dyDescent="0.2">
      <c r="A133" t="s">
        <v>841</v>
      </c>
      <c r="B133" t="s">
        <v>882</v>
      </c>
      <c r="C133">
        <v>13</v>
      </c>
      <c r="D133" t="s">
        <v>910</v>
      </c>
    </row>
    <row r="134" spans="1:4" x14ac:dyDescent="0.2">
      <c r="A134" t="s">
        <v>843</v>
      </c>
      <c r="B134" t="s">
        <v>883</v>
      </c>
      <c r="C134">
        <v>4</v>
      </c>
      <c r="D134" t="s">
        <v>909</v>
      </c>
    </row>
    <row r="135" spans="1:4" x14ac:dyDescent="0.2">
      <c r="A135" t="s">
        <v>843</v>
      </c>
      <c r="B135" t="s">
        <v>883</v>
      </c>
      <c r="C135">
        <v>0</v>
      </c>
      <c r="D135" t="s">
        <v>910</v>
      </c>
    </row>
    <row r="136" spans="1:4" x14ac:dyDescent="0.2">
      <c r="A136" t="s">
        <v>845</v>
      </c>
      <c r="B136" t="s">
        <v>884</v>
      </c>
      <c r="C136">
        <v>27</v>
      </c>
      <c r="D136" t="s">
        <v>909</v>
      </c>
    </row>
    <row r="137" spans="1:4" x14ac:dyDescent="0.2">
      <c r="A137" t="s">
        <v>845</v>
      </c>
      <c r="B137" t="s">
        <v>884</v>
      </c>
      <c r="C137">
        <v>5</v>
      </c>
      <c r="D137" t="s">
        <v>910</v>
      </c>
    </row>
    <row r="138" spans="1:4" x14ac:dyDescent="0.2">
      <c r="A138" t="s">
        <v>847</v>
      </c>
      <c r="B138" t="s">
        <v>885</v>
      </c>
      <c r="C138">
        <v>4</v>
      </c>
      <c r="D138" t="s">
        <v>909</v>
      </c>
    </row>
    <row r="139" spans="1:4" x14ac:dyDescent="0.2">
      <c r="A139" t="s">
        <v>847</v>
      </c>
      <c r="B139" t="s">
        <v>885</v>
      </c>
      <c r="C139">
        <v>0</v>
      </c>
      <c r="D139" t="s">
        <v>910</v>
      </c>
    </row>
    <row r="140" spans="1:4" x14ac:dyDescent="0.2">
      <c r="A140" t="s">
        <v>849</v>
      </c>
      <c r="B140" t="s">
        <v>886</v>
      </c>
      <c r="C140">
        <v>76</v>
      </c>
      <c r="D140" t="s">
        <v>909</v>
      </c>
    </row>
    <row r="141" spans="1:4" x14ac:dyDescent="0.2">
      <c r="A141" t="s">
        <v>849</v>
      </c>
      <c r="B141" t="s">
        <v>886</v>
      </c>
      <c r="C141">
        <v>15</v>
      </c>
      <c r="D141" t="s">
        <v>910</v>
      </c>
    </row>
    <row r="142" spans="1:4" x14ac:dyDescent="0.2">
      <c r="A142" t="s">
        <v>851</v>
      </c>
      <c r="B142" t="s">
        <v>887</v>
      </c>
      <c r="C142">
        <v>95</v>
      </c>
      <c r="D142" t="s">
        <v>909</v>
      </c>
    </row>
    <row r="143" spans="1:4" x14ac:dyDescent="0.2">
      <c r="A143" t="s">
        <v>851</v>
      </c>
      <c r="B143" t="s">
        <v>887</v>
      </c>
      <c r="C143">
        <v>19</v>
      </c>
      <c r="D143" t="s">
        <v>910</v>
      </c>
    </row>
    <row r="144" spans="1:4" x14ac:dyDescent="0.2">
      <c r="A144" t="s">
        <v>853</v>
      </c>
      <c r="B144" t="s">
        <v>888</v>
      </c>
      <c r="C144">
        <v>1</v>
      </c>
      <c r="D144" t="s">
        <v>909</v>
      </c>
    </row>
    <row r="145" spans="1:4" x14ac:dyDescent="0.2">
      <c r="A145" t="s">
        <v>853</v>
      </c>
      <c r="B145" t="s">
        <v>888</v>
      </c>
      <c r="C145">
        <v>0</v>
      </c>
      <c r="D145" t="s">
        <v>910</v>
      </c>
    </row>
    <row r="146" spans="1:4" x14ac:dyDescent="0.2">
      <c r="A146" t="s">
        <v>855</v>
      </c>
      <c r="B146" t="s">
        <v>889</v>
      </c>
      <c r="C146">
        <v>56</v>
      </c>
      <c r="D146" t="s">
        <v>909</v>
      </c>
    </row>
    <row r="147" spans="1:4" x14ac:dyDescent="0.2">
      <c r="A147" t="s">
        <v>855</v>
      </c>
      <c r="B147" t="s">
        <v>889</v>
      </c>
      <c r="C147">
        <v>11</v>
      </c>
      <c r="D147" t="s">
        <v>910</v>
      </c>
    </row>
    <row r="148" spans="1:4" x14ac:dyDescent="0.2">
      <c r="A148" t="s">
        <v>857</v>
      </c>
      <c r="B148" t="s">
        <v>890</v>
      </c>
      <c r="C148">
        <v>7</v>
      </c>
      <c r="D148" t="s">
        <v>909</v>
      </c>
    </row>
    <row r="149" spans="1:4" x14ac:dyDescent="0.2">
      <c r="A149" t="s">
        <v>857</v>
      </c>
      <c r="B149" t="s">
        <v>890</v>
      </c>
      <c r="C149">
        <v>1</v>
      </c>
      <c r="D149" t="s">
        <v>910</v>
      </c>
    </row>
    <row r="150" spans="1:4" x14ac:dyDescent="0.2">
      <c r="A150" t="s">
        <v>859</v>
      </c>
      <c r="B150" t="s">
        <v>891</v>
      </c>
      <c r="C150">
        <v>10</v>
      </c>
      <c r="D150" t="s">
        <v>909</v>
      </c>
    </row>
    <row r="151" spans="1:4" x14ac:dyDescent="0.2">
      <c r="A151" t="s">
        <v>859</v>
      </c>
      <c r="B151" t="s">
        <v>891</v>
      </c>
      <c r="C151">
        <v>2</v>
      </c>
      <c r="D151" t="s">
        <v>910</v>
      </c>
    </row>
    <row r="152" spans="1:4" x14ac:dyDescent="0.2">
      <c r="A152" t="s">
        <v>861</v>
      </c>
      <c r="B152" t="s">
        <v>970</v>
      </c>
      <c r="C152">
        <v>8</v>
      </c>
      <c r="D152" t="s">
        <v>909</v>
      </c>
    </row>
    <row r="153" spans="1:4" x14ac:dyDescent="0.2">
      <c r="A153" t="s">
        <v>861</v>
      </c>
      <c r="B153" t="s">
        <v>970</v>
      </c>
      <c r="C153">
        <v>1</v>
      </c>
      <c r="D153" t="s">
        <v>910</v>
      </c>
    </row>
    <row r="154" spans="1:4" x14ac:dyDescent="0.2">
      <c r="A154" t="s">
        <v>863</v>
      </c>
      <c r="B154" t="s">
        <v>971</v>
      </c>
      <c r="C154">
        <v>21</v>
      </c>
      <c r="D154" t="s">
        <v>909</v>
      </c>
    </row>
    <row r="155" spans="1:4" x14ac:dyDescent="0.2">
      <c r="A155" t="s">
        <v>863</v>
      </c>
      <c r="B155" t="s">
        <v>971</v>
      </c>
      <c r="C155">
        <v>4</v>
      </c>
      <c r="D155" t="s">
        <v>910</v>
      </c>
    </row>
    <row r="156" spans="1:4" x14ac:dyDescent="0.2">
      <c r="A156" t="s">
        <v>865</v>
      </c>
      <c r="B156" t="s">
        <v>972</v>
      </c>
      <c r="C156">
        <v>84</v>
      </c>
      <c r="D156" t="s">
        <v>909</v>
      </c>
    </row>
    <row r="157" spans="1:4" x14ac:dyDescent="0.2">
      <c r="A157" t="s">
        <v>865</v>
      </c>
      <c r="B157" t="s">
        <v>972</v>
      </c>
      <c r="C157">
        <v>16</v>
      </c>
      <c r="D157" t="s">
        <v>910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H32" sqref="H32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333"/>
  <sheetViews>
    <sheetView zoomScaleNormal="100" workbookViewId="0">
      <selection activeCell="A3" sqref="A3"/>
    </sheetView>
  </sheetViews>
  <sheetFormatPr defaultRowHeight="12.75" x14ac:dyDescent="0.2"/>
  <cols>
    <col min="1" max="1" width="12.7109375" bestFit="1" customWidth="1"/>
    <col min="2" max="2" width="45.7109375" bestFit="1" customWidth="1"/>
    <col min="3" max="3" width="9.85546875" bestFit="1" customWidth="1"/>
    <col min="4" max="4" width="10.28515625" bestFit="1" customWidth="1"/>
    <col min="5" max="5" width="13.5703125" bestFit="1" customWidth="1"/>
  </cols>
  <sheetData>
    <row r="1" spans="1:5" x14ac:dyDescent="0.2">
      <c r="A1" t="s">
        <v>280</v>
      </c>
      <c r="B1" t="s">
        <v>278</v>
      </c>
      <c r="C1" t="s">
        <v>282</v>
      </c>
      <c r="D1" t="s">
        <v>283</v>
      </c>
      <c r="E1" t="s">
        <v>284</v>
      </c>
    </row>
    <row r="2" spans="1:5" x14ac:dyDescent="0.2">
      <c r="A2" s="58" t="s">
        <v>326</v>
      </c>
      <c r="B2" s="58" t="s">
        <v>913</v>
      </c>
      <c r="C2" s="58" t="s">
        <v>11</v>
      </c>
      <c r="D2" s="58" t="s">
        <v>327</v>
      </c>
      <c r="E2" s="58" t="s">
        <v>286</v>
      </c>
    </row>
    <row r="3" spans="1:5" x14ac:dyDescent="0.2">
      <c r="A3" s="58" t="s">
        <v>328</v>
      </c>
      <c r="B3" s="58" t="s">
        <v>914</v>
      </c>
      <c r="C3" s="58" t="s">
        <v>11</v>
      </c>
      <c r="D3" s="58" t="s">
        <v>327</v>
      </c>
      <c r="E3" s="58" t="s">
        <v>286</v>
      </c>
    </row>
    <row r="4" spans="1:5" x14ac:dyDescent="0.2">
      <c r="A4" s="58" t="s">
        <v>329</v>
      </c>
      <c r="B4" s="58" t="s">
        <v>12</v>
      </c>
      <c r="C4" s="58" t="s">
        <v>11</v>
      </c>
      <c r="D4" s="58" t="s">
        <v>327</v>
      </c>
      <c r="E4" s="58" t="s">
        <v>286</v>
      </c>
    </row>
    <row r="5" spans="1:5" x14ac:dyDescent="0.2">
      <c r="A5" s="58" t="s">
        <v>330</v>
      </c>
      <c r="B5" s="58" t="s">
        <v>225</v>
      </c>
      <c r="C5" s="58" t="s">
        <v>11</v>
      </c>
      <c r="D5" s="58" t="s">
        <v>327</v>
      </c>
      <c r="E5" s="58" t="s">
        <v>286</v>
      </c>
    </row>
    <row r="6" spans="1:5" x14ac:dyDescent="0.2">
      <c r="A6" s="58" t="s">
        <v>331</v>
      </c>
      <c r="B6" s="58" t="s">
        <v>226</v>
      </c>
      <c r="C6" s="58" t="s">
        <v>11</v>
      </c>
      <c r="D6" s="58" t="s">
        <v>327</v>
      </c>
      <c r="E6" s="58" t="s">
        <v>286</v>
      </c>
    </row>
    <row r="7" spans="1:5" x14ac:dyDescent="0.2">
      <c r="A7" s="58" t="s">
        <v>332</v>
      </c>
      <c r="B7" s="58" t="s">
        <v>333</v>
      </c>
      <c r="C7" s="58" t="s">
        <v>11</v>
      </c>
      <c r="D7" s="58" t="s">
        <v>327</v>
      </c>
      <c r="E7" s="58" t="s">
        <v>286</v>
      </c>
    </row>
    <row r="8" spans="1:5" x14ac:dyDescent="0.2">
      <c r="A8" s="58" t="s">
        <v>334</v>
      </c>
      <c r="B8" s="58" t="s">
        <v>335</v>
      </c>
      <c r="C8" s="58" t="s">
        <v>11</v>
      </c>
      <c r="D8" s="58" t="s">
        <v>327</v>
      </c>
      <c r="E8" s="58" t="s">
        <v>286</v>
      </c>
    </row>
    <row r="9" spans="1:5" x14ac:dyDescent="0.2">
      <c r="A9" s="58" t="s">
        <v>336</v>
      </c>
      <c r="B9" s="58" t="s">
        <v>227</v>
      </c>
      <c r="C9" s="58" t="s">
        <v>11</v>
      </c>
      <c r="D9" s="58" t="s">
        <v>327</v>
      </c>
      <c r="E9" s="58" t="s">
        <v>286</v>
      </c>
    </row>
    <row r="10" spans="1:5" x14ac:dyDescent="0.2">
      <c r="A10" s="58" t="s">
        <v>337</v>
      </c>
      <c r="B10" s="58" t="s">
        <v>228</v>
      </c>
      <c r="C10" s="58" t="s">
        <v>11</v>
      </c>
      <c r="D10" s="58" t="s">
        <v>327</v>
      </c>
      <c r="E10" s="58" t="s">
        <v>286</v>
      </c>
    </row>
    <row r="11" spans="1:5" x14ac:dyDescent="0.2">
      <c r="A11" s="58" t="s">
        <v>338</v>
      </c>
      <c r="B11" s="58" t="s">
        <v>229</v>
      </c>
      <c r="C11" s="58" t="s">
        <v>11</v>
      </c>
      <c r="D11" s="58" t="s">
        <v>327</v>
      </c>
      <c r="E11" s="58" t="s">
        <v>286</v>
      </c>
    </row>
    <row r="12" spans="1:5" x14ac:dyDescent="0.2">
      <c r="A12" s="58" t="s">
        <v>339</v>
      </c>
      <c r="B12" s="58" t="s">
        <v>230</v>
      </c>
      <c r="C12" s="58" t="s">
        <v>11</v>
      </c>
      <c r="D12" s="58" t="s">
        <v>327</v>
      </c>
      <c r="E12" s="58" t="s">
        <v>286</v>
      </c>
    </row>
    <row r="13" spans="1:5" x14ac:dyDescent="0.2">
      <c r="A13" s="58" t="s">
        <v>340</v>
      </c>
      <c r="B13" s="58" t="s">
        <v>231</v>
      </c>
      <c r="C13" s="58" t="s">
        <v>11</v>
      </c>
      <c r="D13" s="58" t="s">
        <v>327</v>
      </c>
      <c r="E13" s="58" t="s">
        <v>286</v>
      </c>
    </row>
    <row r="14" spans="1:5" x14ac:dyDescent="0.2">
      <c r="A14" s="58" t="s">
        <v>341</v>
      </c>
      <c r="B14" s="58" t="s">
        <v>232</v>
      </c>
      <c r="C14" s="58" t="s">
        <v>11</v>
      </c>
      <c r="D14" s="58" t="s">
        <v>327</v>
      </c>
      <c r="E14" s="58" t="s">
        <v>286</v>
      </c>
    </row>
    <row r="15" spans="1:5" x14ac:dyDescent="0.2">
      <c r="A15" s="58" t="s">
        <v>342</v>
      </c>
      <c r="B15" s="58" t="s">
        <v>233</v>
      </c>
      <c r="C15" s="58" t="s">
        <v>11</v>
      </c>
      <c r="D15" s="58" t="s">
        <v>327</v>
      </c>
      <c r="E15" s="58" t="s">
        <v>286</v>
      </c>
    </row>
    <row r="16" spans="1:5" x14ac:dyDescent="0.2">
      <c r="A16" s="58" t="s">
        <v>343</v>
      </c>
      <c r="B16" s="58" t="s">
        <v>234</v>
      </c>
      <c r="C16" s="58" t="s">
        <v>11</v>
      </c>
      <c r="D16" s="58" t="s">
        <v>327</v>
      </c>
      <c r="E16" s="58" t="s">
        <v>286</v>
      </c>
    </row>
    <row r="17" spans="1:5" x14ac:dyDescent="0.2">
      <c r="A17" s="58" t="s">
        <v>344</v>
      </c>
      <c r="B17" s="58" t="s">
        <v>235</v>
      </c>
      <c r="C17" s="58" t="s">
        <v>11</v>
      </c>
      <c r="D17" s="58" t="s">
        <v>327</v>
      </c>
      <c r="E17" s="58" t="s">
        <v>286</v>
      </c>
    </row>
    <row r="18" spans="1:5" x14ac:dyDescent="0.2">
      <c r="A18" s="58" t="s">
        <v>345</v>
      </c>
      <c r="B18" s="58" t="s">
        <v>236</v>
      </c>
      <c r="C18" s="58" t="s">
        <v>11</v>
      </c>
      <c r="D18" s="58" t="s">
        <v>327</v>
      </c>
      <c r="E18" s="58" t="s">
        <v>286</v>
      </c>
    </row>
    <row r="19" spans="1:5" x14ac:dyDescent="0.2">
      <c r="A19" s="58" t="s">
        <v>346</v>
      </c>
      <c r="B19" s="58" t="s">
        <v>237</v>
      </c>
      <c r="C19" s="58" t="s">
        <v>11</v>
      </c>
      <c r="D19" s="58" t="s">
        <v>327</v>
      </c>
      <c r="E19" s="58" t="s">
        <v>286</v>
      </c>
    </row>
    <row r="20" spans="1:5" x14ac:dyDescent="0.2">
      <c r="A20" s="58" t="s">
        <v>347</v>
      </c>
      <c r="B20" s="58" t="s">
        <v>238</v>
      </c>
      <c r="C20" s="58" t="s">
        <v>11</v>
      </c>
      <c r="D20" s="58" t="s">
        <v>327</v>
      </c>
      <c r="E20" s="58" t="s">
        <v>286</v>
      </c>
    </row>
    <row r="21" spans="1:5" x14ac:dyDescent="0.2">
      <c r="A21" s="58" t="s">
        <v>348</v>
      </c>
      <c r="B21" s="58" t="s">
        <v>239</v>
      </c>
      <c r="C21" s="58" t="s">
        <v>11</v>
      </c>
      <c r="D21" s="58" t="s">
        <v>327</v>
      </c>
      <c r="E21" s="58" t="s">
        <v>286</v>
      </c>
    </row>
    <row r="22" spans="1:5" x14ac:dyDescent="0.2">
      <c r="A22" s="58" t="s">
        <v>349</v>
      </c>
      <c r="B22" s="58" t="s">
        <v>915</v>
      </c>
      <c r="C22" s="58" t="s">
        <v>11</v>
      </c>
      <c r="D22" s="58" t="s">
        <v>327</v>
      </c>
      <c r="E22" s="58" t="s">
        <v>286</v>
      </c>
    </row>
    <row r="23" spans="1:5" x14ac:dyDescent="0.2">
      <c r="A23" s="58" t="s">
        <v>916</v>
      </c>
      <c r="B23" s="58" t="s">
        <v>240</v>
      </c>
      <c r="C23" s="58" t="s">
        <v>11</v>
      </c>
      <c r="D23" s="58" t="s">
        <v>327</v>
      </c>
      <c r="E23" s="58" t="s">
        <v>286</v>
      </c>
    </row>
    <row r="24" spans="1:5" x14ac:dyDescent="0.2">
      <c r="A24" s="58" t="s">
        <v>917</v>
      </c>
      <c r="B24" s="58" t="s">
        <v>918</v>
      </c>
      <c r="C24" s="58" t="s">
        <v>11</v>
      </c>
      <c r="D24" s="58" t="s">
        <v>327</v>
      </c>
      <c r="E24" s="58" t="s">
        <v>286</v>
      </c>
    </row>
    <row r="25" spans="1:5" x14ac:dyDescent="0.2">
      <c r="A25" s="58" t="s">
        <v>919</v>
      </c>
      <c r="B25" s="58" t="s">
        <v>920</v>
      </c>
      <c r="C25" s="58" t="s">
        <v>11</v>
      </c>
      <c r="D25" s="58" t="s">
        <v>327</v>
      </c>
      <c r="E25" s="58" t="s">
        <v>286</v>
      </c>
    </row>
    <row r="26" spans="1:5" x14ac:dyDescent="0.2">
      <c r="A26" s="58" t="s">
        <v>350</v>
      </c>
      <c r="B26" s="58" t="s">
        <v>130</v>
      </c>
      <c r="C26" s="58" t="s">
        <v>361</v>
      </c>
      <c r="D26" s="58" t="s">
        <v>351</v>
      </c>
      <c r="E26" s="58" t="s">
        <v>285</v>
      </c>
    </row>
    <row r="27" spans="1:5" x14ac:dyDescent="0.2">
      <c r="A27" s="58" t="s">
        <v>352</v>
      </c>
      <c r="B27" s="58" t="s">
        <v>131</v>
      </c>
      <c r="C27" s="58" t="s">
        <v>361</v>
      </c>
      <c r="D27" s="58" t="s">
        <v>351</v>
      </c>
      <c r="E27" s="58" t="s">
        <v>285</v>
      </c>
    </row>
    <row r="28" spans="1:5" x14ac:dyDescent="0.2">
      <c r="A28" s="58" t="s">
        <v>353</v>
      </c>
      <c r="B28" s="58" t="s">
        <v>132</v>
      </c>
      <c r="C28" s="58" t="s">
        <v>361</v>
      </c>
      <c r="D28" s="58" t="s">
        <v>351</v>
      </c>
      <c r="E28" s="58" t="s">
        <v>285</v>
      </c>
    </row>
    <row r="29" spans="1:5" x14ac:dyDescent="0.2">
      <c r="A29" s="58" t="s">
        <v>354</v>
      </c>
      <c r="B29" s="58" t="s">
        <v>133</v>
      </c>
      <c r="C29" s="58" t="s">
        <v>361</v>
      </c>
      <c r="D29" s="58" t="s">
        <v>351</v>
      </c>
      <c r="E29" s="58" t="s">
        <v>285</v>
      </c>
    </row>
    <row r="30" spans="1:5" x14ac:dyDescent="0.2">
      <c r="A30" s="58" t="s">
        <v>355</v>
      </c>
      <c r="B30" s="58" t="s">
        <v>134</v>
      </c>
      <c r="C30" s="58" t="s">
        <v>361</v>
      </c>
      <c r="D30" s="58" t="s">
        <v>351</v>
      </c>
      <c r="E30" s="58" t="s">
        <v>285</v>
      </c>
    </row>
    <row r="31" spans="1:5" x14ac:dyDescent="0.2">
      <c r="A31" s="58" t="s">
        <v>356</v>
      </c>
      <c r="B31" s="58" t="s">
        <v>135</v>
      </c>
      <c r="C31" s="58" t="s">
        <v>361</v>
      </c>
      <c r="D31" s="58" t="s">
        <v>351</v>
      </c>
      <c r="E31" s="58" t="s">
        <v>285</v>
      </c>
    </row>
    <row r="32" spans="1:5" x14ac:dyDescent="0.2">
      <c r="A32" s="58" t="s">
        <v>357</v>
      </c>
      <c r="B32" s="58" t="s">
        <v>136</v>
      </c>
      <c r="C32" s="58" t="s">
        <v>361</v>
      </c>
      <c r="D32" s="58" t="s">
        <v>351</v>
      </c>
      <c r="E32" s="58" t="s">
        <v>285</v>
      </c>
    </row>
    <row r="33" spans="1:5" x14ac:dyDescent="0.2">
      <c r="A33" s="58" t="s">
        <v>358</v>
      </c>
      <c r="B33" s="58" t="s">
        <v>19</v>
      </c>
      <c r="C33" s="58" t="s">
        <v>361</v>
      </c>
      <c r="D33" s="58" t="s">
        <v>351</v>
      </c>
      <c r="E33" s="58" t="s">
        <v>285</v>
      </c>
    </row>
    <row r="34" spans="1:5" x14ac:dyDescent="0.2">
      <c r="A34" s="58" t="s">
        <v>359</v>
      </c>
      <c r="B34" s="58" t="s">
        <v>137</v>
      </c>
      <c r="C34" s="58" t="s">
        <v>361</v>
      </c>
      <c r="D34" s="58" t="s">
        <v>351</v>
      </c>
      <c r="E34" s="58" t="s">
        <v>285</v>
      </c>
    </row>
    <row r="35" spans="1:5" x14ac:dyDescent="0.2">
      <c r="A35" s="58" t="s">
        <v>360</v>
      </c>
      <c r="B35" s="58" t="s">
        <v>141</v>
      </c>
      <c r="C35" s="58" t="s">
        <v>361</v>
      </c>
      <c r="D35" s="58" t="s">
        <v>351</v>
      </c>
      <c r="E35" s="58" t="s">
        <v>362</v>
      </c>
    </row>
    <row r="36" spans="1:5" x14ac:dyDescent="0.2">
      <c r="A36" s="58" t="s">
        <v>363</v>
      </c>
      <c r="B36" s="58" t="s">
        <v>142</v>
      </c>
      <c r="C36" s="58" t="s">
        <v>361</v>
      </c>
      <c r="D36" s="58" t="s">
        <v>351</v>
      </c>
      <c r="E36" s="58" t="s">
        <v>362</v>
      </c>
    </row>
    <row r="37" spans="1:5" x14ac:dyDescent="0.2">
      <c r="A37" s="58" t="s">
        <v>364</v>
      </c>
      <c r="B37" s="58" t="s">
        <v>143</v>
      </c>
      <c r="C37" s="58" t="s">
        <v>361</v>
      </c>
      <c r="D37" s="58" t="s">
        <v>351</v>
      </c>
      <c r="E37" s="58" t="s">
        <v>365</v>
      </c>
    </row>
    <row r="38" spans="1:5" x14ac:dyDescent="0.2">
      <c r="A38" s="58" t="s">
        <v>366</v>
      </c>
      <c r="B38" s="58" t="s">
        <v>144</v>
      </c>
      <c r="C38" s="58" t="s">
        <v>361</v>
      </c>
      <c r="D38" s="58" t="s">
        <v>351</v>
      </c>
      <c r="E38" s="58" t="s">
        <v>365</v>
      </c>
    </row>
    <row r="39" spans="1:5" x14ac:dyDescent="0.2">
      <c r="A39" s="58" t="s">
        <v>367</v>
      </c>
      <c r="B39" s="58" t="s">
        <v>145</v>
      </c>
      <c r="C39" s="58" t="s">
        <v>361</v>
      </c>
      <c r="D39" s="58" t="s">
        <v>351</v>
      </c>
      <c r="E39" s="58" t="s">
        <v>365</v>
      </c>
    </row>
    <row r="40" spans="1:5" x14ac:dyDescent="0.2">
      <c r="A40" s="58" t="s">
        <v>368</v>
      </c>
      <c r="B40" s="58" t="s">
        <v>921</v>
      </c>
      <c r="C40" s="58" t="s">
        <v>361</v>
      </c>
      <c r="D40" s="58" t="s">
        <v>351</v>
      </c>
      <c r="E40" s="58" t="s">
        <v>365</v>
      </c>
    </row>
    <row r="41" spans="1:5" x14ac:dyDescent="0.2">
      <c r="A41" s="58" t="s">
        <v>370</v>
      </c>
      <c r="B41" s="58" t="s">
        <v>146</v>
      </c>
      <c r="C41" s="58" t="s">
        <v>361</v>
      </c>
      <c r="D41" s="58" t="s">
        <v>351</v>
      </c>
      <c r="E41" s="58" t="s">
        <v>365</v>
      </c>
    </row>
    <row r="42" spans="1:5" x14ac:dyDescent="0.2">
      <c r="A42" s="58" t="s">
        <v>371</v>
      </c>
      <c r="B42" s="58" t="s">
        <v>147</v>
      </c>
      <c r="C42" s="58" t="s">
        <v>361</v>
      </c>
      <c r="D42" s="58" t="s">
        <v>351</v>
      </c>
      <c r="E42" s="58" t="s">
        <v>365</v>
      </c>
    </row>
    <row r="43" spans="1:5" x14ac:dyDescent="0.2">
      <c r="A43" s="58" t="s">
        <v>372</v>
      </c>
      <c r="B43" s="58" t="s">
        <v>727</v>
      </c>
      <c r="C43" s="58" t="s">
        <v>361</v>
      </c>
      <c r="D43" s="58" t="s">
        <v>351</v>
      </c>
      <c r="E43" s="58" t="s">
        <v>365</v>
      </c>
    </row>
    <row r="44" spans="1:5" x14ac:dyDescent="0.2">
      <c r="A44" s="58" t="s">
        <v>373</v>
      </c>
      <c r="B44" s="58" t="s">
        <v>148</v>
      </c>
      <c r="C44" s="58" t="s">
        <v>361</v>
      </c>
      <c r="D44" s="58" t="s">
        <v>351</v>
      </c>
      <c r="E44" s="58" t="s">
        <v>365</v>
      </c>
    </row>
    <row r="45" spans="1:5" x14ac:dyDescent="0.2">
      <c r="A45" s="58" t="s">
        <v>374</v>
      </c>
      <c r="B45" s="58" t="s">
        <v>149</v>
      </c>
      <c r="C45" s="58" t="s">
        <v>361</v>
      </c>
      <c r="D45" s="58" t="s">
        <v>351</v>
      </c>
      <c r="E45" s="58" t="s">
        <v>365</v>
      </c>
    </row>
    <row r="46" spans="1:5" x14ac:dyDescent="0.2">
      <c r="A46" s="58" t="s">
        <v>375</v>
      </c>
      <c r="B46" s="58" t="s">
        <v>150</v>
      </c>
      <c r="C46" s="58" t="s">
        <v>361</v>
      </c>
      <c r="D46" s="58" t="s">
        <v>351</v>
      </c>
      <c r="E46" s="58" t="s">
        <v>365</v>
      </c>
    </row>
    <row r="47" spans="1:5" x14ac:dyDescent="0.2">
      <c r="A47" s="58" t="s">
        <v>377</v>
      </c>
      <c r="B47" s="58" t="s">
        <v>376</v>
      </c>
      <c r="C47" s="58" t="s">
        <v>361</v>
      </c>
      <c r="D47" s="58" t="s">
        <v>351</v>
      </c>
      <c r="E47" s="58" t="s">
        <v>365</v>
      </c>
    </row>
    <row r="48" spans="1:5" x14ac:dyDescent="0.2">
      <c r="A48" s="58" t="s">
        <v>379</v>
      </c>
      <c r="B48" s="58" t="s">
        <v>378</v>
      </c>
      <c r="C48" s="58" t="s">
        <v>361</v>
      </c>
      <c r="D48" s="58" t="s">
        <v>351</v>
      </c>
      <c r="E48" s="58" t="s">
        <v>365</v>
      </c>
    </row>
    <row r="49" spans="1:5" x14ac:dyDescent="0.2">
      <c r="A49" s="58" t="s">
        <v>380</v>
      </c>
      <c r="B49" s="58" t="s">
        <v>151</v>
      </c>
      <c r="C49" s="58" t="s">
        <v>361</v>
      </c>
      <c r="D49" s="58" t="s">
        <v>351</v>
      </c>
      <c r="E49" s="58" t="s">
        <v>365</v>
      </c>
    </row>
    <row r="50" spans="1:5" x14ac:dyDescent="0.2">
      <c r="A50" s="58" t="s">
        <v>381</v>
      </c>
      <c r="B50" s="58" t="s">
        <v>152</v>
      </c>
      <c r="C50" s="58" t="s">
        <v>361</v>
      </c>
      <c r="D50" s="58" t="s">
        <v>351</v>
      </c>
      <c r="E50" s="58" t="s">
        <v>365</v>
      </c>
    </row>
    <row r="51" spans="1:5" x14ac:dyDescent="0.2">
      <c r="A51" s="58" t="s">
        <v>382</v>
      </c>
      <c r="B51" s="58" t="s">
        <v>728</v>
      </c>
      <c r="C51" s="58" t="s">
        <v>361</v>
      </c>
      <c r="D51" s="58" t="s">
        <v>351</v>
      </c>
      <c r="E51" s="58" t="s">
        <v>365</v>
      </c>
    </row>
    <row r="52" spans="1:5" x14ac:dyDescent="0.2">
      <c r="A52" s="58" t="s">
        <v>383</v>
      </c>
      <c r="B52" s="58" t="s">
        <v>729</v>
      </c>
      <c r="C52" s="58" t="s">
        <v>361</v>
      </c>
      <c r="D52" s="58" t="s">
        <v>351</v>
      </c>
      <c r="E52" s="58" t="s">
        <v>365</v>
      </c>
    </row>
    <row r="53" spans="1:5" x14ac:dyDescent="0.2">
      <c r="A53" s="58" t="s">
        <v>384</v>
      </c>
      <c r="B53" s="58" t="s">
        <v>153</v>
      </c>
      <c r="C53" s="58" t="s">
        <v>361</v>
      </c>
      <c r="D53" s="58" t="s">
        <v>351</v>
      </c>
      <c r="E53" s="58" t="s">
        <v>365</v>
      </c>
    </row>
    <row r="54" spans="1:5" x14ac:dyDescent="0.2">
      <c r="A54" s="58" t="s">
        <v>385</v>
      </c>
      <c r="B54" s="58" t="s">
        <v>154</v>
      </c>
      <c r="C54" s="58" t="s">
        <v>361</v>
      </c>
      <c r="D54" s="58" t="s">
        <v>351</v>
      </c>
      <c r="E54" s="58" t="s">
        <v>365</v>
      </c>
    </row>
    <row r="55" spans="1:5" x14ac:dyDescent="0.2">
      <c r="A55" s="58" t="s">
        <v>386</v>
      </c>
      <c r="B55" s="58" t="s">
        <v>155</v>
      </c>
      <c r="C55" s="58" t="s">
        <v>361</v>
      </c>
      <c r="D55" s="58" t="s">
        <v>351</v>
      </c>
      <c r="E55" s="58" t="s">
        <v>365</v>
      </c>
    </row>
    <row r="56" spans="1:5" x14ac:dyDescent="0.2">
      <c r="A56" s="58" t="s">
        <v>387</v>
      </c>
      <c r="B56" s="58" t="s">
        <v>156</v>
      </c>
      <c r="C56" s="58" t="s">
        <v>361</v>
      </c>
      <c r="D56" s="58" t="s">
        <v>351</v>
      </c>
      <c r="E56" s="58" t="s">
        <v>365</v>
      </c>
    </row>
    <row r="57" spans="1:5" x14ac:dyDescent="0.2">
      <c r="A57" s="58" t="s">
        <v>389</v>
      </c>
      <c r="B57" s="58" t="s">
        <v>157</v>
      </c>
      <c r="C57" s="58" t="s">
        <v>361</v>
      </c>
      <c r="D57" s="58" t="s">
        <v>351</v>
      </c>
      <c r="E57" s="58" t="s">
        <v>365</v>
      </c>
    </row>
    <row r="58" spans="1:5" x14ac:dyDescent="0.2">
      <c r="A58" s="58" t="s">
        <v>391</v>
      </c>
      <c r="B58" s="58" t="s">
        <v>158</v>
      </c>
      <c r="C58" s="58" t="s">
        <v>361</v>
      </c>
      <c r="D58" s="58" t="s">
        <v>351</v>
      </c>
      <c r="E58" s="58" t="s">
        <v>365</v>
      </c>
    </row>
    <row r="59" spans="1:5" x14ac:dyDescent="0.2">
      <c r="A59" s="58" t="s">
        <v>393</v>
      </c>
      <c r="B59" s="58" t="s">
        <v>388</v>
      </c>
      <c r="C59" s="58" t="s">
        <v>361</v>
      </c>
      <c r="D59" s="58" t="s">
        <v>351</v>
      </c>
      <c r="E59" s="58" t="s">
        <v>365</v>
      </c>
    </row>
    <row r="60" spans="1:5" x14ac:dyDescent="0.2">
      <c r="A60" s="58" t="s">
        <v>394</v>
      </c>
      <c r="B60" s="58" t="s">
        <v>390</v>
      </c>
      <c r="C60" s="58" t="s">
        <v>361</v>
      </c>
      <c r="D60" s="58" t="s">
        <v>351</v>
      </c>
      <c r="E60" s="58" t="s">
        <v>365</v>
      </c>
    </row>
    <row r="61" spans="1:5" x14ac:dyDescent="0.2">
      <c r="A61" s="58" t="s">
        <v>395</v>
      </c>
      <c r="B61" s="58" t="s">
        <v>159</v>
      </c>
      <c r="C61" s="58" t="s">
        <v>361</v>
      </c>
      <c r="D61" s="58" t="s">
        <v>351</v>
      </c>
      <c r="E61" s="58" t="s">
        <v>392</v>
      </c>
    </row>
    <row r="62" spans="1:5" x14ac:dyDescent="0.2">
      <c r="A62" s="58" t="s">
        <v>396</v>
      </c>
      <c r="B62" s="58" t="s">
        <v>160</v>
      </c>
      <c r="C62" s="58" t="s">
        <v>361</v>
      </c>
      <c r="D62" s="58" t="s">
        <v>351</v>
      </c>
      <c r="E62" s="58" t="s">
        <v>392</v>
      </c>
    </row>
    <row r="63" spans="1:5" x14ac:dyDescent="0.2">
      <c r="A63" s="58" t="s">
        <v>398</v>
      </c>
      <c r="B63" s="58" t="s">
        <v>161</v>
      </c>
      <c r="C63" s="58" t="s">
        <v>361</v>
      </c>
      <c r="D63" s="58" t="s">
        <v>351</v>
      </c>
      <c r="E63" s="58" t="s">
        <v>392</v>
      </c>
    </row>
    <row r="64" spans="1:5" x14ac:dyDescent="0.2">
      <c r="A64" s="58" t="s">
        <v>399</v>
      </c>
      <c r="B64" s="58" t="s">
        <v>162</v>
      </c>
      <c r="C64" s="58" t="s">
        <v>361</v>
      </c>
      <c r="D64" s="58" t="s">
        <v>351</v>
      </c>
      <c r="E64" s="58" t="s">
        <v>392</v>
      </c>
    </row>
    <row r="65" spans="1:5" x14ac:dyDescent="0.2">
      <c r="A65" s="58" t="s">
        <v>401</v>
      </c>
      <c r="B65" s="58" t="s">
        <v>730</v>
      </c>
      <c r="C65" s="58" t="s">
        <v>361</v>
      </c>
      <c r="D65" s="58" t="s">
        <v>351</v>
      </c>
      <c r="E65" s="58" t="s">
        <v>392</v>
      </c>
    </row>
    <row r="66" spans="1:5" x14ac:dyDescent="0.2">
      <c r="A66" s="58" t="s">
        <v>403</v>
      </c>
      <c r="B66" s="58" t="s">
        <v>163</v>
      </c>
      <c r="C66" s="58" t="s">
        <v>361</v>
      </c>
      <c r="D66" s="58" t="s">
        <v>351</v>
      </c>
      <c r="E66" s="58" t="s">
        <v>397</v>
      </c>
    </row>
    <row r="67" spans="1:5" x14ac:dyDescent="0.2">
      <c r="A67" s="58" t="s">
        <v>404</v>
      </c>
      <c r="B67" s="58" t="s">
        <v>164</v>
      </c>
      <c r="C67" s="58" t="s">
        <v>361</v>
      </c>
      <c r="D67" s="58" t="s">
        <v>351</v>
      </c>
      <c r="E67" s="58" t="s">
        <v>397</v>
      </c>
    </row>
    <row r="68" spans="1:5" x14ac:dyDescent="0.2">
      <c r="A68" s="58" t="s">
        <v>405</v>
      </c>
      <c r="B68" s="58" t="s">
        <v>400</v>
      </c>
      <c r="C68" s="58" t="s">
        <v>361</v>
      </c>
      <c r="D68" s="58" t="s">
        <v>351</v>
      </c>
      <c r="E68" s="58" t="s">
        <v>397</v>
      </c>
    </row>
    <row r="69" spans="1:5" x14ac:dyDescent="0.2">
      <c r="A69" s="58" t="s">
        <v>406</v>
      </c>
      <c r="B69" s="58" t="s">
        <v>402</v>
      </c>
      <c r="C69" s="58" t="s">
        <v>361</v>
      </c>
      <c r="D69" s="58" t="s">
        <v>351</v>
      </c>
      <c r="E69" s="58" t="s">
        <v>397</v>
      </c>
    </row>
    <row r="70" spans="1:5" x14ac:dyDescent="0.2">
      <c r="A70" s="58" t="s">
        <v>407</v>
      </c>
      <c r="B70" s="58" t="s">
        <v>175</v>
      </c>
      <c r="C70" s="58" t="s">
        <v>361</v>
      </c>
      <c r="D70" s="58" t="s">
        <v>351</v>
      </c>
      <c r="E70" s="58" t="s">
        <v>397</v>
      </c>
    </row>
    <row r="71" spans="1:5" x14ac:dyDescent="0.2">
      <c r="A71" s="58" t="s">
        <v>408</v>
      </c>
      <c r="B71" s="58" t="s">
        <v>165</v>
      </c>
      <c r="C71" s="58" t="s">
        <v>361</v>
      </c>
      <c r="D71" s="58" t="s">
        <v>351</v>
      </c>
      <c r="E71" s="58" t="s">
        <v>397</v>
      </c>
    </row>
    <row r="72" spans="1:5" x14ac:dyDescent="0.2">
      <c r="A72" s="58" t="s">
        <v>409</v>
      </c>
      <c r="B72" s="58" t="s">
        <v>166</v>
      </c>
      <c r="C72" s="58" t="s">
        <v>361</v>
      </c>
      <c r="D72" s="58" t="s">
        <v>351</v>
      </c>
      <c r="E72" s="58" t="s">
        <v>397</v>
      </c>
    </row>
    <row r="73" spans="1:5" x14ac:dyDescent="0.2">
      <c r="A73" s="58" t="s">
        <v>410</v>
      </c>
      <c r="B73" s="58" t="s">
        <v>167</v>
      </c>
      <c r="C73" s="58" t="s">
        <v>361</v>
      </c>
      <c r="D73" s="58" t="s">
        <v>351</v>
      </c>
      <c r="E73" s="58" t="s">
        <v>397</v>
      </c>
    </row>
    <row r="74" spans="1:5" x14ac:dyDescent="0.2">
      <c r="A74" s="58" t="s">
        <v>411</v>
      </c>
      <c r="B74" s="58" t="s">
        <v>168</v>
      </c>
      <c r="C74" s="58" t="s">
        <v>361</v>
      </c>
      <c r="D74" s="58" t="s">
        <v>351</v>
      </c>
      <c r="E74" s="58" t="s">
        <v>397</v>
      </c>
    </row>
    <row r="75" spans="1:5" x14ac:dyDescent="0.2">
      <c r="A75" s="58" t="s">
        <v>412</v>
      </c>
      <c r="B75" s="58" t="s">
        <v>169</v>
      </c>
      <c r="C75" s="58" t="s">
        <v>361</v>
      </c>
      <c r="D75" s="58" t="s">
        <v>351</v>
      </c>
      <c r="E75" s="58" t="s">
        <v>397</v>
      </c>
    </row>
    <row r="76" spans="1:5" x14ac:dyDescent="0.2">
      <c r="A76" s="58" t="s">
        <v>413</v>
      </c>
      <c r="B76" s="58" t="s">
        <v>170</v>
      </c>
      <c r="C76" s="58" t="s">
        <v>361</v>
      </c>
      <c r="D76" s="58" t="s">
        <v>351</v>
      </c>
      <c r="E76" s="58" t="s">
        <v>397</v>
      </c>
    </row>
    <row r="77" spans="1:5" x14ac:dyDescent="0.2">
      <c r="A77" s="58" t="s">
        <v>414</v>
      </c>
      <c r="B77" s="58" t="s">
        <v>171</v>
      </c>
      <c r="C77" s="58" t="s">
        <v>361</v>
      </c>
      <c r="D77" s="58" t="s">
        <v>351</v>
      </c>
      <c r="E77" s="58" t="s">
        <v>397</v>
      </c>
    </row>
    <row r="78" spans="1:5" x14ac:dyDescent="0.2">
      <c r="A78" s="58" t="s">
        <v>415</v>
      </c>
      <c r="B78" s="58" t="s">
        <v>172</v>
      </c>
      <c r="C78" s="58" t="s">
        <v>361</v>
      </c>
      <c r="D78" s="58" t="s">
        <v>351</v>
      </c>
      <c r="E78" s="58" t="s">
        <v>397</v>
      </c>
    </row>
    <row r="79" spans="1:5" x14ac:dyDescent="0.2">
      <c r="A79" s="58" t="s">
        <v>416</v>
      </c>
      <c r="B79" s="58" t="s">
        <v>173</v>
      </c>
      <c r="C79" s="58" t="s">
        <v>361</v>
      </c>
      <c r="D79" s="58" t="s">
        <v>351</v>
      </c>
      <c r="E79" s="58" t="s">
        <v>397</v>
      </c>
    </row>
    <row r="80" spans="1:5" x14ac:dyDescent="0.2">
      <c r="A80" s="58" t="s">
        <v>417</v>
      </c>
      <c r="B80" s="58" t="s">
        <v>174</v>
      </c>
      <c r="C80" s="58" t="s">
        <v>361</v>
      </c>
      <c r="D80" s="58" t="s">
        <v>351</v>
      </c>
      <c r="E80" s="58" t="s">
        <v>397</v>
      </c>
    </row>
    <row r="81" spans="1:5" x14ac:dyDescent="0.2">
      <c r="A81" s="58" t="s">
        <v>418</v>
      </c>
      <c r="B81" s="58" t="s">
        <v>176</v>
      </c>
      <c r="C81" s="58" t="s">
        <v>361</v>
      </c>
      <c r="D81" s="58" t="s">
        <v>351</v>
      </c>
      <c r="E81" s="58" t="s">
        <v>397</v>
      </c>
    </row>
    <row r="82" spans="1:5" x14ac:dyDescent="0.2">
      <c r="A82" s="58" t="s">
        <v>419</v>
      </c>
      <c r="B82" s="58" t="s">
        <v>177</v>
      </c>
      <c r="C82" s="58" t="s">
        <v>361</v>
      </c>
      <c r="D82" s="58" t="s">
        <v>351</v>
      </c>
      <c r="E82" s="58" t="s">
        <v>397</v>
      </c>
    </row>
    <row r="83" spans="1:5" x14ac:dyDescent="0.2">
      <c r="A83" s="58" t="s">
        <v>420</v>
      </c>
      <c r="B83" s="58" t="s">
        <v>178</v>
      </c>
      <c r="C83" s="58" t="s">
        <v>361</v>
      </c>
      <c r="D83" s="58" t="s">
        <v>351</v>
      </c>
      <c r="E83" s="58" t="s">
        <v>397</v>
      </c>
    </row>
    <row r="84" spans="1:5" x14ac:dyDescent="0.2">
      <c r="A84" s="58" t="s">
        <v>421</v>
      </c>
      <c r="B84" s="58" t="s">
        <v>179</v>
      </c>
      <c r="C84" s="58" t="s">
        <v>361</v>
      </c>
      <c r="D84" s="58" t="s">
        <v>351</v>
      </c>
      <c r="E84" s="58" t="s">
        <v>397</v>
      </c>
    </row>
    <row r="85" spans="1:5" x14ac:dyDescent="0.2">
      <c r="A85" s="58" t="s">
        <v>422</v>
      </c>
      <c r="B85" s="58" t="s">
        <v>180</v>
      </c>
      <c r="C85" s="58" t="s">
        <v>361</v>
      </c>
      <c r="D85" s="58" t="s">
        <v>351</v>
      </c>
      <c r="E85" s="58" t="s">
        <v>397</v>
      </c>
    </row>
    <row r="86" spans="1:5" x14ac:dyDescent="0.2">
      <c r="A86" s="58" t="s">
        <v>423</v>
      </c>
      <c r="B86" s="58" t="s">
        <v>181</v>
      </c>
      <c r="C86" s="58" t="s">
        <v>361</v>
      </c>
      <c r="D86" s="58" t="s">
        <v>351</v>
      </c>
      <c r="E86" s="58" t="s">
        <v>397</v>
      </c>
    </row>
    <row r="87" spans="1:5" x14ac:dyDescent="0.2">
      <c r="A87" s="58" t="s">
        <v>424</v>
      </c>
      <c r="B87" s="58" t="s">
        <v>182</v>
      </c>
      <c r="C87" s="58" t="s">
        <v>361</v>
      </c>
      <c r="D87" s="58" t="s">
        <v>351</v>
      </c>
      <c r="E87" s="58" t="s">
        <v>397</v>
      </c>
    </row>
    <row r="88" spans="1:5" x14ac:dyDescent="0.2">
      <c r="A88" s="58" t="s">
        <v>425</v>
      </c>
      <c r="B88" s="58" t="s">
        <v>183</v>
      </c>
      <c r="C88" s="58" t="s">
        <v>361</v>
      </c>
      <c r="D88" s="58" t="s">
        <v>351</v>
      </c>
      <c r="E88" s="58" t="s">
        <v>397</v>
      </c>
    </row>
    <row r="89" spans="1:5" x14ac:dyDescent="0.2">
      <c r="A89" s="58" t="s">
        <v>426</v>
      </c>
      <c r="B89" s="58" t="s">
        <v>184</v>
      </c>
      <c r="C89" s="58" t="s">
        <v>361</v>
      </c>
      <c r="D89" s="58" t="s">
        <v>351</v>
      </c>
      <c r="E89" s="58" t="s">
        <v>397</v>
      </c>
    </row>
    <row r="90" spans="1:5" x14ac:dyDescent="0.2">
      <c r="A90" s="58" t="s">
        <v>427</v>
      </c>
      <c r="B90" s="58" t="s">
        <v>185</v>
      </c>
      <c r="C90" s="58" t="s">
        <v>361</v>
      </c>
      <c r="D90" s="58" t="s">
        <v>351</v>
      </c>
      <c r="E90" s="58" t="s">
        <v>397</v>
      </c>
    </row>
    <row r="91" spans="1:5" x14ac:dyDescent="0.2">
      <c r="A91" s="58" t="s">
        <v>428</v>
      </c>
      <c r="B91" s="58" t="s">
        <v>186</v>
      </c>
      <c r="C91" s="58" t="s">
        <v>361</v>
      </c>
      <c r="D91" s="58" t="s">
        <v>351</v>
      </c>
      <c r="E91" s="58" t="s">
        <v>397</v>
      </c>
    </row>
    <row r="92" spans="1:5" x14ac:dyDescent="0.2">
      <c r="A92" s="58" t="s">
        <v>429</v>
      </c>
      <c r="B92" s="58" t="s">
        <v>187</v>
      </c>
      <c r="C92" s="58" t="s">
        <v>361</v>
      </c>
      <c r="D92" s="58" t="s">
        <v>351</v>
      </c>
      <c r="E92" s="58" t="s">
        <v>397</v>
      </c>
    </row>
    <row r="93" spans="1:5" x14ac:dyDescent="0.2">
      <c r="A93" s="58" t="s">
        <v>430</v>
      </c>
      <c r="B93" s="58" t="s">
        <v>188</v>
      </c>
      <c r="C93" s="58" t="s">
        <v>361</v>
      </c>
      <c r="D93" s="58" t="s">
        <v>351</v>
      </c>
      <c r="E93" s="58" t="s">
        <v>397</v>
      </c>
    </row>
    <row r="94" spans="1:5" x14ac:dyDescent="0.2">
      <c r="A94" s="58" t="s">
        <v>431</v>
      </c>
      <c r="B94" s="58" t="s">
        <v>189</v>
      </c>
      <c r="C94" s="58" t="s">
        <v>361</v>
      </c>
      <c r="D94" s="58" t="s">
        <v>351</v>
      </c>
      <c r="E94" s="58" t="s">
        <v>397</v>
      </c>
    </row>
    <row r="95" spans="1:5" x14ac:dyDescent="0.2">
      <c r="A95" s="58" t="s">
        <v>432</v>
      </c>
      <c r="B95" s="58" t="s">
        <v>190</v>
      </c>
      <c r="C95" s="58" t="s">
        <v>361</v>
      </c>
      <c r="D95" s="58" t="s">
        <v>351</v>
      </c>
      <c r="E95" s="58" t="s">
        <v>397</v>
      </c>
    </row>
    <row r="96" spans="1:5" x14ac:dyDescent="0.2">
      <c r="A96" s="58" t="s">
        <v>433</v>
      </c>
      <c r="B96" s="58" t="s">
        <v>191</v>
      </c>
      <c r="C96" s="58" t="s">
        <v>361</v>
      </c>
      <c r="D96" s="58" t="s">
        <v>351</v>
      </c>
      <c r="E96" s="58" t="s">
        <v>397</v>
      </c>
    </row>
    <row r="97" spans="1:5" x14ac:dyDescent="0.2">
      <c r="A97" s="58" t="s">
        <v>434</v>
      </c>
      <c r="B97" s="58" t="s">
        <v>192</v>
      </c>
      <c r="C97" s="58" t="s">
        <v>361</v>
      </c>
      <c r="D97" s="58" t="s">
        <v>351</v>
      </c>
      <c r="E97" s="58" t="s">
        <v>397</v>
      </c>
    </row>
    <row r="98" spans="1:5" x14ac:dyDescent="0.2">
      <c r="A98" s="58" t="s">
        <v>435</v>
      </c>
      <c r="B98" s="58" t="s">
        <v>193</v>
      </c>
      <c r="C98" s="58" t="s">
        <v>361</v>
      </c>
      <c r="D98" s="58" t="s">
        <v>351</v>
      </c>
      <c r="E98" s="58" t="s">
        <v>397</v>
      </c>
    </row>
    <row r="99" spans="1:5" x14ac:dyDescent="0.2">
      <c r="A99" s="58" t="s">
        <v>437</v>
      </c>
      <c r="B99" s="58" t="s">
        <v>194</v>
      </c>
      <c r="C99" s="58" t="s">
        <v>361</v>
      </c>
      <c r="D99" s="58" t="s">
        <v>351</v>
      </c>
      <c r="E99" s="58" t="s">
        <v>397</v>
      </c>
    </row>
    <row r="100" spans="1:5" x14ac:dyDescent="0.2">
      <c r="A100" s="58" t="s">
        <v>438</v>
      </c>
      <c r="B100" s="58" t="s">
        <v>195</v>
      </c>
      <c r="C100" s="58" t="s">
        <v>361</v>
      </c>
      <c r="D100" s="58" t="s">
        <v>351</v>
      </c>
      <c r="E100" s="58" t="s">
        <v>397</v>
      </c>
    </row>
    <row r="101" spans="1:5" x14ac:dyDescent="0.2">
      <c r="A101" s="58" t="s">
        <v>439</v>
      </c>
      <c r="B101" s="58" t="s">
        <v>922</v>
      </c>
      <c r="C101" s="58" t="s">
        <v>361</v>
      </c>
      <c r="D101" s="58" t="s">
        <v>351</v>
      </c>
      <c r="E101" s="58" t="s">
        <v>397</v>
      </c>
    </row>
    <row r="102" spans="1:5" x14ac:dyDescent="0.2">
      <c r="A102" s="58" t="s">
        <v>440</v>
      </c>
      <c r="B102" s="58" t="s">
        <v>436</v>
      </c>
      <c r="C102" s="58" t="s">
        <v>361</v>
      </c>
      <c r="D102" s="58" t="s">
        <v>351</v>
      </c>
      <c r="E102" s="58" t="s">
        <v>397</v>
      </c>
    </row>
    <row r="103" spans="1:5" x14ac:dyDescent="0.2">
      <c r="A103" s="58" t="s">
        <v>441</v>
      </c>
      <c r="B103" s="58" t="s">
        <v>196</v>
      </c>
      <c r="C103" s="58" t="s">
        <v>361</v>
      </c>
      <c r="D103" s="58" t="s">
        <v>351</v>
      </c>
      <c r="E103" s="58" t="s">
        <v>397</v>
      </c>
    </row>
    <row r="104" spans="1:5" x14ac:dyDescent="0.2">
      <c r="A104" s="58" t="s">
        <v>442</v>
      </c>
      <c r="B104" s="58" t="s">
        <v>197</v>
      </c>
      <c r="C104" s="58" t="s">
        <v>361</v>
      </c>
      <c r="D104" s="58" t="s">
        <v>351</v>
      </c>
      <c r="E104" s="58" t="s">
        <v>397</v>
      </c>
    </row>
    <row r="105" spans="1:5" x14ac:dyDescent="0.2">
      <c r="A105" s="58" t="s">
        <v>443</v>
      </c>
      <c r="B105" s="58" t="s">
        <v>198</v>
      </c>
      <c r="C105" s="58" t="s">
        <v>361</v>
      </c>
      <c r="D105" s="58" t="s">
        <v>351</v>
      </c>
      <c r="E105" s="58" t="s">
        <v>397</v>
      </c>
    </row>
    <row r="106" spans="1:5" x14ac:dyDescent="0.2">
      <c r="A106" s="58" t="s">
        <v>444</v>
      </c>
      <c r="B106" s="58" t="s">
        <v>199</v>
      </c>
      <c r="C106" s="58" t="s">
        <v>361</v>
      </c>
      <c r="D106" s="58" t="s">
        <v>351</v>
      </c>
      <c r="E106" s="58" t="s">
        <v>397</v>
      </c>
    </row>
    <row r="107" spans="1:5" x14ac:dyDescent="0.2">
      <c r="A107" s="58" t="s">
        <v>445</v>
      </c>
      <c r="B107" s="58" t="s">
        <v>200</v>
      </c>
      <c r="C107" s="58" t="s">
        <v>361</v>
      </c>
      <c r="D107" s="58" t="s">
        <v>351</v>
      </c>
      <c r="E107" s="58" t="s">
        <v>397</v>
      </c>
    </row>
    <row r="108" spans="1:5" x14ac:dyDescent="0.2">
      <c r="A108" s="58" t="s">
        <v>447</v>
      </c>
      <c r="B108" s="58" t="s">
        <v>201</v>
      </c>
      <c r="C108" s="58" t="s">
        <v>361</v>
      </c>
      <c r="D108" s="58" t="s">
        <v>351</v>
      </c>
      <c r="E108" s="58" t="s">
        <v>397</v>
      </c>
    </row>
    <row r="109" spans="1:5" x14ac:dyDescent="0.2">
      <c r="A109" s="58" t="s">
        <v>448</v>
      </c>
      <c r="B109" s="58" t="s">
        <v>202</v>
      </c>
      <c r="C109" s="58" t="s">
        <v>361</v>
      </c>
      <c r="D109" s="58" t="s">
        <v>351</v>
      </c>
      <c r="E109" s="58" t="s">
        <v>397</v>
      </c>
    </row>
    <row r="110" spans="1:5" x14ac:dyDescent="0.2">
      <c r="A110" s="58" t="s">
        <v>449</v>
      </c>
      <c r="B110" s="58" t="s">
        <v>203</v>
      </c>
      <c r="C110" s="58" t="s">
        <v>361</v>
      </c>
      <c r="D110" s="58" t="s">
        <v>351</v>
      </c>
      <c r="E110" s="58" t="s">
        <v>397</v>
      </c>
    </row>
    <row r="111" spans="1:5" x14ac:dyDescent="0.2">
      <c r="A111" s="58" t="s">
        <v>450</v>
      </c>
      <c r="B111" s="58" t="s">
        <v>204</v>
      </c>
      <c r="C111" s="58" t="s">
        <v>361</v>
      </c>
      <c r="D111" s="58" t="s">
        <v>351</v>
      </c>
      <c r="E111" s="58" t="s">
        <v>446</v>
      </c>
    </row>
    <row r="112" spans="1:5" x14ac:dyDescent="0.2">
      <c r="A112" s="58" t="s">
        <v>451</v>
      </c>
      <c r="B112" s="58" t="s">
        <v>205</v>
      </c>
      <c r="C112" s="58" t="s">
        <v>361</v>
      </c>
      <c r="D112" s="58" t="s">
        <v>351</v>
      </c>
      <c r="E112" s="58" t="s">
        <v>446</v>
      </c>
    </row>
    <row r="113" spans="1:5" x14ac:dyDescent="0.2">
      <c r="A113" s="58" t="s">
        <v>452</v>
      </c>
      <c r="B113" s="58" t="s">
        <v>206</v>
      </c>
      <c r="C113" s="58" t="s">
        <v>361</v>
      </c>
      <c r="D113" s="58" t="s">
        <v>351</v>
      </c>
      <c r="E113" s="58" t="s">
        <v>446</v>
      </c>
    </row>
    <row r="114" spans="1:5" x14ac:dyDescent="0.2">
      <c r="A114" s="58" t="s">
        <v>453</v>
      </c>
      <c r="B114" s="58" t="s">
        <v>207</v>
      </c>
      <c r="C114" s="58" t="s">
        <v>361</v>
      </c>
      <c r="D114" s="58" t="s">
        <v>351</v>
      </c>
      <c r="E114" s="58" t="s">
        <v>446</v>
      </c>
    </row>
    <row r="115" spans="1:5" x14ac:dyDescent="0.2">
      <c r="A115" s="58" t="s">
        <v>454</v>
      </c>
      <c r="B115" s="58" t="s">
        <v>208</v>
      </c>
      <c r="C115" s="58" t="s">
        <v>361</v>
      </c>
      <c r="D115" s="58" t="s">
        <v>351</v>
      </c>
      <c r="E115" s="58" t="s">
        <v>446</v>
      </c>
    </row>
    <row r="116" spans="1:5" x14ac:dyDescent="0.2">
      <c r="A116" s="58" t="s">
        <v>455</v>
      </c>
      <c r="B116" s="58" t="s">
        <v>209</v>
      </c>
      <c r="C116" s="58" t="s">
        <v>361</v>
      </c>
      <c r="D116" s="58" t="s">
        <v>351</v>
      </c>
      <c r="E116" s="58" t="s">
        <v>446</v>
      </c>
    </row>
    <row r="117" spans="1:5" x14ac:dyDescent="0.2">
      <c r="A117" s="58" t="s">
        <v>456</v>
      </c>
      <c r="B117" s="58" t="s">
        <v>210</v>
      </c>
      <c r="C117" s="58" t="s">
        <v>361</v>
      </c>
      <c r="D117" s="58" t="s">
        <v>351</v>
      </c>
      <c r="E117" s="58" t="s">
        <v>446</v>
      </c>
    </row>
    <row r="118" spans="1:5" x14ac:dyDescent="0.2">
      <c r="A118" s="58" t="s">
        <v>457</v>
      </c>
      <c r="B118" s="58" t="s">
        <v>211</v>
      </c>
      <c r="C118" s="58" t="s">
        <v>361</v>
      </c>
      <c r="D118" s="58" t="s">
        <v>351</v>
      </c>
      <c r="E118" s="58" t="s">
        <v>446</v>
      </c>
    </row>
    <row r="119" spans="1:5" x14ac:dyDescent="0.2">
      <c r="A119" s="58" t="s">
        <v>459</v>
      </c>
      <c r="B119" s="58" t="s">
        <v>731</v>
      </c>
      <c r="C119" s="58" t="s">
        <v>361</v>
      </c>
      <c r="D119" s="58" t="s">
        <v>351</v>
      </c>
      <c r="E119" s="58" t="s">
        <v>446</v>
      </c>
    </row>
    <row r="120" spans="1:5" x14ac:dyDescent="0.2">
      <c r="A120" s="58" t="s">
        <v>460</v>
      </c>
      <c r="B120" s="58" t="s">
        <v>732</v>
      </c>
      <c r="C120" s="58" t="s">
        <v>361</v>
      </c>
      <c r="D120" s="58" t="s">
        <v>351</v>
      </c>
      <c r="E120" s="58" t="s">
        <v>446</v>
      </c>
    </row>
    <row r="121" spans="1:5" x14ac:dyDescent="0.2">
      <c r="A121" s="58" t="s">
        <v>461</v>
      </c>
      <c r="B121" s="58" t="s">
        <v>733</v>
      </c>
      <c r="C121" s="58" t="s">
        <v>361</v>
      </c>
      <c r="D121" s="58" t="s">
        <v>351</v>
      </c>
      <c r="E121" s="58" t="s">
        <v>446</v>
      </c>
    </row>
    <row r="122" spans="1:5" x14ac:dyDescent="0.2">
      <c r="A122" s="58" t="s">
        <v>462</v>
      </c>
      <c r="B122" s="58" t="s">
        <v>734</v>
      </c>
      <c r="C122" s="58" t="s">
        <v>11</v>
      </c>
      <c r="D122" s="58" t="s">
        <v>351</v>
      </c>
      <c r="E122" s="58" t="s">
        <v>446</v>
      </c>
    </row>
    <row r="123" spans="1:5" x14ac:dyDescent="0.2">
      <c r="A123" s="58" t="s">
        <v>463</v>
      </c>
      <c r="B123" s="58" t="s">
        <v>212</v>
      </c>
      <c r="C123" s="58" t="s">
        <v>361</v>
      </c>
      <c r="D123" s="58" t="s">
        <v>351</v>
      </c>
      <c r="E123" s="58" t="s">
        <v>287</v>
      </c>
    </row>
    <row r="124" spans="1:5" x14ac:dyDescent="0.2">
      <c r="A124" s="58" t="s">
        <v>464</v>
      </c>
      <c r="B124" s="58" t="s">
        <v>213</v>
      </c>
      <c r="C124" s="58" t="s">
        <v>361</v>
      </c>
      <c r="D124" s="58" t="s">
        <v>351</v>
      </c>
      <c r="E124" s="58" t="s">
        <v>287</v>
      </c>
    </row>
    <row r="125" spans="1:5" x14ac:dyDescent="0.2">
      <c r="A125" s="58" t="s">
        <v>465</v>
      </c>
      <c r="B125" s="58" t="s">
        <v>214</v>
      </c>
      <c r="C125" s="58" t="s">
        <v>361</v>
      </c>
      <c r="D125" s="58" t="s">
        <v>351</v>
      </c>
      <c r="E125" s="58" t="s">
        <v>458</v>
      </c>
    </row>
    <row r="126" spans="1:5" x14ac:dyDescent="0.2">
      <c r="A126" s="58" t="s">
        <v>466</v>
      </c>
      <c r="B126" s="58" t="s">
        <v>22</v>
      </c>
      <c r="C126" s="58" t="s">
        <v>361</v>
      </c>
      <c r="D126" s="58" t="s">
        <v>351</v>
      </c>
      <c r="E126" s="58" t="s">
        <v>458</v>
      </c>
    </row>
    <row r="127" spans="1:5" x14ac:dyDescent="0.2">
      <c r="A127" s="58" t="s">
        <v>467</v>
      </c>
      <c r="B127" s="58" t="s">
        <v>215</v>
      </c>
      <c r="C127" s="58" t="s">
        <v>361</v>
      </c>
      <c r="D127" s="58" t="s">
        <v>351</v>
      </c>
      <c r="E127" s="58" t="s">
        <v>458</v>
      </c>
    </row>
    <row r="128" spans="1:5" x14ac:dyDescent="0.2">
      <c r="A128" s="58" t="s">
        <v>469</v>
      </c>
      <c r="B128" s="58" t="s">
        <v>216</v>
      </c>
      <c r="C128" s="58" t="s">
        <v>361</v>
      </c>
      <c r="D128" s="58" t="s">
        <v>351</v>
      </c>
      <c r="E128" s="58" t="s">
        <v>458</v>
      </c>
    </row>
    <row r="129" spans="1:5" x14ac:dyDescent="0.2">
      <c r="A129" s="58" t="s">
        <v>470</v>
      </c>
      <c r="B129" s="58" t="s">
        <v>217</v>
      </c>
      <c r="C129" s="58" t="s">
        <v>361</v>
      </c>
      <c r="D129" s="58" t="s">
        <v>351</v>
      </c>
      <c r="E129" s="58" t="s">
        <v>458</v>
      </c>
    </row>
    <row r="130" spans="1:5" x14ac:dyDescent="0.2">
      <c r="A130" s="58" t="s">
        <v>471</v>
      </c>
      <c r="B130" s="58" t="s">
        <v>218</v>
      </c>
      <c r="C130" s="58" t="s">
        <v>361</v>
      </c>
      <c r="D130" s="58" t="s">
        <v>351</v>
      </c>
      <c r="E130" s="58" t="s">
        <v>458</v>
      </c>
    </row>
    <row r="131" spans="1:5" x14ac:dyDescent="0.2">
      <c r="A131" s="58" t="s">
        <v>472</v>
      </c>
      <c r="B131" s="58" t="s">
        <v>219</v>
      </c>
      <c r="C131" s="58" t="s">
        <v>361</v>
      </c>
      <c r="D131" s="58" t="s">
        <v>351</v>
      </c>
      <c r="E131" s="58" t="s">
        <v>458</v>
      </c>
    </row>
    <row r="132" spans="1:5" x14ac:dyDescent="0.2">
      <c r="A132" s="58" t="s">
        <v>474</v>
      </c>
      <c r="B132" s="58" t="s">
        <v>220</v>
      </c>
      <c r="C132" s="58" t="s">
        <v>361</v>
      </c>
      <c r="D132" s="58" t="s">
        <v>351</v>
      </c>
      <c r="E132" s="58" t="s">
        <v>458</v>
      </c>
    </row>
    <row r="133" spans="1:5" x14ac:dyDescent="0.2">
      <c r="A133" s="58" t="s">
        <v>735</v>
      </c>
      <c r="B133" s="58" t="s">
        <v>221</v>
      </c>
      <c r="C133" s="58" t="s">
        <v>361</v>
      </c>
      <c r="D133" s="58" t="s">
        <v>351</v>
      </c>
      <c r="E133" s="58" t="s">
        <v>458</v>
      </c>
    </row>
    <row r="134" spans="1:5" x14ac:dyDescent="0.2">
      <c r="A134" s="58" t="s">
        <v>736</v>
      </c>
      <c r="B134" s="58" t="s">
        <v>468</v>
      </c>
      <c r="C134" s="58" t="s">
        <v>361</v>
      </c>
      <c r="D134" s="58" t="s">
        <v>351</v>
      </c>
      <c r="E134" s="58" t="s">
        <v>458</v>
      </c>
    </row>
    <row r="135" spans="1:5" x14ac:dyDescent="0.2">
      <c r="A135" s="58" t="s">
        <v>737</v>
      </c>
      <c r="B135" s="58" t="s">
        <v>222</v>
      </c>
      <c r="C135" s="58" t="s">
        <v>361</v>
      </c>
      <c r="D135" s="58" t="s">
        <v>351</v>
      </c>
      <c r="E135" s="58" t="s">
        <v>458</v>
      </c>
    </row>
    <row r="136" spans="1:5" x14ac:dyDescent="0.2">
      <c r="A136" s="58" t="s">
        <v>738</v>
      </c>
      <c r="B136" s="58" t="s">
        <v>223</v>
      </c>
      <c r="C136" s="58" t="s">
        <v>361</v>
      </c>
      <c r="D136" s="58" t="s">
        <v>351</v>
      </c>
      <c r="E136" s="58" t="s">
        <v>458</v>
      </c>
    </row>
    <row r="137" spans="1:5" x14ac:dyDescent="0.2">
      <c r="A137" s="58" t="s">
        <v>739</v>
      </c>
      <c r="B137" s="58" t="s">
        <v>224</v>
      </c>
      <c r="C137" s="58" t="s">
        <v>361</v>
      </c>
      <c r="D137" s="58" t="s">
        <v>351</v>
      </c>
      <c r="E137" s="58" t="s">
        <v>458</v>
      </c>
    </row>
    <row r="138" spans="1:5" x14ac:dyDescent="0.2">
      <c r="A138" s="58" t="s">
        <v>740</v>
      </c>
      <c r="B138" s="58" t="s">
        <v>473</v>
      </c>
      <c r="C138" s="58" t="s">
        <v>361</v>
      </c>
      <c r="D138" s="58" t="s">
        <v>351</v>
      </c>
      <c r="E138" s="58" t="s">
        <v>458</v>
      </c>
    </row>
    <row r="139" spans="1:5" x14ac:dyDescent="0.2">
      <c r="A139" s="58" t="s">
        <v>726</v>
      </c>
      <c r="B139" s="58" t="s">
        <v>21</v>
      </c>
      <c r="C139" s="58" t="s">
        <v>361</v>
      </c>
      <c r="D139" s="58" t="s">
        <v>351</v>
      </c>
      <c r="E139" s="58" t="s">
        <v>475</v>
      </c>
    </row>
    <row r="140" spans="1:5" x14ac:dyDescent="0.2">
      <c r="A140" s="58" t="s">
        <v>476</v>
      </c>
      <c r="B140" s="58" t="s">
        <v>20</v>
      </c>
      <c r="C140" s="58" t="s">
        <v>361</v>
      </c>
      <c r="D140" s="58" t="s">
        <v>477</v>
      </c>
      <c r="E140" s="58" t="s">
        <v>286</v>
      </c>
    </row>
    <row r="141" spans="1:5" x14ac:dyDescent="0.2">
      <c r="A141" s="58" t="s">
        <v>478</v>
      </c>
      <c r="B141" s="58" t="s">
        <v>138</v>
      </c>
      <c r="C141" s="58" t="s">
        <v>361</v>
      </c>
      <c r="D141" s="58" t="s">
        <v>477</v>
      </c>
      <c r="E141" s="58" t="s">
        <v>286</v>
      </c>
    </row>
    <row r="142" spans="1:5" x14ac:dyDescent="0.2">
      <c r="A142" s="58" t="s">
        <v>479</v>
      </c>
      <c r="B142" s="58" t="s">
        <v>139</v>
      </c>
      <c r="C142" s="58" t="s">
        <v>361</v>
      </c>
      <c r="D142" s="58" t="s">
        <v>477</v>
      </c>
      <c r="E142" s="58" t="s">
        <v>286</v>
      </c>
    </row>
    <row r="143" spans="1:5" x14ac:dyDescent="0.2">
      <c r="A143" s="58" t="s">
        <v>480</v>
      </c>
      <c r="B143" s="58" t="s">
        <v>140</v>
      </c>
      <c r="C143" s="58" t="s">
        <v>361</v>
      </c>
      <c r="D143" s="58" t="s">
        <v>477</v>
      </c>
      <c r="E143" s="58" t="s">
        <v>286</v>
      </c>
    </row>
    <row r="144" spans="1:5" x14ac:dyDescent="0.2">
      <c r="A144" s="58" t="s">
        <v>481</v>
      </c>
      <c r="B144" s="58" t="s">
        <v>58</v>
      </c>
      <c r="C144" s="58" t="s">
        <v>11</v>
      </c>
      <c r="D144" s="58" t="s">
        <v>482</v>
      </c>
      <c r="E144" s="58" t="s">
        <v>286</v>
      </c>
    </row>
    <row r="145" spans="1:5" x14ac:dyDescent="0.2">
      <c r="A145" s="58" t="s">
        <v>483</v>
      </c>
      <c r="B145" s="58" t="s">
        <v>59</v>
      </c>
      <c r="C145" s="58" t="s">
        <v>11</v>
      </c>
      <c r="D145" s="58" t="s">
        <v>482</v>
      </c>
      <c r="E145" s="58" t="s">
        <v>286</v>
      </c>
    </row>
    <row r="146" spans="1:5" x14ac:dyDescent="0.2">
      <c r="A146" s="58" t="s">
        <v>484</v>
      </c>
      <c r="B146" s="58" t="s">
        <v>60</v>
      </c>
      <c r="C146" s="58" t="s">
        <v>11</v>
      </c>
      <c r="D146" s="58" t="s">
        <v>482</v>
      </c>
      <c r="E146" s="58" t="s">
        <v>286</v>
      </c>
    </row>
    <row r="147" spans="1:5" x14ac:dyDescent="0.2">
      <c r="A147" s="58" t="s">
        <v>485</v>
      </c>
      <c r="B147" s="58" t="s">
        <v>61</v>
      </c>
      <c r="C147" s="58" t="s">
        <v>11</v>
      </c>
      <c r="D147" s="58" t="s">
        <v>482</v>
      </c>
      <c r="E147" s="58" t="s">
        <v>286</v>
      </c>
    </row>
    <row r="148" spans="1:5" x14ac:dyDescent="0.2">
      <c r="A148" s="58" t="s">
        <v>486</v>
      </c>
      <c r="B148" s="58" t="s">
        <v>13</v>
      </c>
      <c r="C148" s="58" t="s">
        <v>11</v>
      </c>
      <c r="D148" s="58" t="s">
        <v>482</v>
      </c>
      <c r="E148" s="58" t="s">
        <v>286</v>
      </c>
    </row>
    <row r="149" spans="1:5" x14ac:dyDescent="0.2">
      <c r="A149" s="58" t="s">
        <v>487</v>
      </c>
      <c r="B149" s="58" t="s">
        <v>15</v>
      </c>
      <c r="C149" s="58" t="s">
        <v>11</v>
      </c>
      <c r="D149" s="58" t="s">
        <v>482</v>
      </c>
      <c r="E149" s="58" t="s">
        <v>286</v>
      </c>
    </row>
    <row r="150" spans="1:5" x14ac:dyDescent="0.2">
      <c r="A150" s="58" t="s">
        <v>488</v>
      </c>
      <c r="B150" s="58" t="s">
        <v>62</v>
      </c>
      <c r="C150" s="58" t="s">
        <v>11</v>
      </c>
      <c r="D150" s="58" t="s">
        <v>482</v>
      </c>
      <c r="E150" s="58" t="s">
        <v>286</v>
      </c>
    </row>
    <row r="151" spans="1:5" x14ac:dyDescent="0.2">
      <c r="A151" s="58" t="s">
        <v>489</v>
      </c>
      <c r="B151" s="58" t="s">
        <v>63</v>
      </c>
      <c r="C151" s="58" t="s">
        <v>11</v>
      </c>
      <c r="D151" s="58" t="s">
        <v>482</v>
      </c>
      <c r="E151" s="58" t="s">
        <v>286</v>
      </c>
    </row>
    <row r="152" spans="1:5" x14ac:dyDescent="0.2">
      <c r="A152" s="58" t="s">
        <v>490</v>
      </c>
      <c r="B152" s="58" t="s">
        <v>64</v>
      </c>
      <c r="C152" s="58" t="s">
        <v>11</v>
      </c>
      <c r="D152" s="58" t="s">
        <v>482</v>
      </c>
      <c r="E152" s="58" t="s">
        <v>286</v>
      </c>
    </row>
    <row r="153" spans="1:5" x14ac:dyDescent="0.2">
      <c r="A153" s="58" t="s">
        <v>491</v>
      </c>
      <c r="B153" s="58" t="s">
        <v>16</v>
      </c>
      <c r="C153" s="58" t="s">
        <v>11</v>
      </c>
      <c r="D153" s="58" t="s">
        <v>482</v>
      </c>
      <c r="E153" s="58" t="s">
        <v>286</v>
      </c>
    </row>
    <row r="154" spans="1:5" x14ac:dyDescent="0.2">
      <c r="A154" s="58" t="s">
        <v>492</v>
      </c>
      <c r="B154" s="58" t="s">
        <v>65</v>
      </c>
      <c r="C154" s="58" t="s">
        <v>11</v>
      </c>
      <c r="D154" s="58" t="s">
        <v>482</v>
      </c>
      <c r="E154" s="58" t="s">
        <v>286</v>
      </c>
    </row>
    <row r="155" spans="1:5" x14ac:dyDescent="0.2">
      <c r="A155" s="58" t="s">
        <v>493</v>
      </c>
      <c r="B155" s="58" t="s">
        <v>66</v>
      </c>
      <c r="C155" s="58" t="s">
        <v>11</v>
      </c>
      <c r="D155" s="58" t="s">
        <v>482</v>
      </c>
      <c r="E155" s="58" t="s">
        <v>286</v>
      </c>
    </row>
    <row r="156" spans="1:5" x14ac:dyDescent="0.2">
      <c r="A156" s="58" t="s">
        <v>494</v>
      </c>
      <c r="B156" s="58" t="s">
        <v>67</v>
      </c>
      <c r="C156" s="58" t="s">
        <v>11</v>
      </c>
      <c r="D156" s="58" t="s">
        <v>482</v>
      </c>
      <c r="E156" s="58" t="s">
        <v>286</v>
      </c>
    </row>
    <row r="157" spans="1:5" x14ac:dyDescent="0.2">
      <c r="A157" s="58" t="s">
        <v>495</v>
      </c>
      <c r="B157" s="58" t="s">
        <v>68</v>
      </c>
      <c r="C157" s="58" t="s">
        <v>11</v>
      </c>
      <c r="D157" s="58" t="s">
        <v>482</v>
      </c>
      <c r="E157" s="58" t="s">
        <v>286</v>
      </c>
    </row>
    <row r="158" spans="1:5" x14ac:dyDescent="0.2">
      <c r="A158" s="58" t="s">
        <v>496</v>
      </c>
      <c r="B158" s="58" t="s">
        <v>69</v>
      </c>
      <c r="C158" s="58" t="s">
        <v>11</v>
      </c>
      <c r="D158" s="58" t="s">
        <v>482</v>
      </c>
      <c r="E158" s="58" t="s">
        <v>286</v>
      </c>
    </row>
    <row r="159" spans="1:5" x14ac:dyDescent="0.2">
      <c r="A159" s="58" t="s">
        <v>497</v>
      </c>
      <c r="B159" s="58" t="s">
        <v>70</v>
      </c>
      <c r="C159" s="58" t="s">
        <v>7</v>
      </c>
      <c r="D159" s="58" t="s">
        <v>482</v>
      </c>
      <c r="E159" s="58" t="s">
        <v>286</v>
      </c>
    </row>
    <row r="160" spans="1:5" x14ac:dyDescent="0.2">
      <c r="A160" s="58" t="s">
        <v>498</v>
      </c>
      <c r="B160" s="58" t="s">
        <v>71</v>
      </c>
      <c r="C160" s="58" t="s">
        <v>7</v>
      </c>
      <c r="D160" s="58" t="s">
        <v>482</v>
      </c>
      <c r="E160" s="58" t="s">
        <v>286</v>
      </c>
    </row>
    <row r="161" spans="1:5" x14ac:dyDescent="0.2">
      <c r="A161" s="58" t="s">
        <v>499</v>
      </c>
      <c r="B161" s="58" t="s">
        <v>17</v>
      </c>
      <c r="C161" s="58" t="s">
        <v>7</v>
      </c>
      <c r="D161" s="58" t="s">
        <v>482</v>
      </c>
      <c r="E161" s="58" t="s">
        <v>286</v>
      </c>
    </row>
    <row r="162" spans="1:5" x14ac:dyDescent="0.2">
      <c r="A162" s="58" t="s">
        <v>500</v>
      </c>
      <c r="B162" s="58" t="s">
        <v>18</v>
      </c>
      <c r="C162" s="58" t="s">
        <v>11</v>
      </c>
      <c r="D162" s="58" t="s">
        <v>482</v>
      </c>
      <c r="E162" s="58" t="s">
        <v>286</v>
      </c>
    </row>
    <row r="163" spans="1:5" x14ac:dyDescent="0.2">
      <c r="A163" s="58" t="s">
        <v>501</v>
      </c>
      <c r="B163" s="58" t="s">
        <v>72</v>
      </c>
      <c r="C163" s="58" t="s">
        <v>11</v>
      </c>
      <c r="D163" s="58" t="s">
        <v>482</v>
      </c>
      <c r="E163" s="58" t="s">
        <v>286</v>
      </c>
    </row>
    <row r="164" spans="1:5" x14ac:dyDescent="0.2">
      <c r="A164" s="58" t="s">
        <v>502</v>
      </c>
      <c r="B164" s="58" t="s">
        <v>73</v>
      </c>
      <c r="C164" s="58" t="s">
        <v>11</v>
      </c>
      <c r="D164" s="58" t="s">
        <v>482</v>
      </c>
      <c r="E164" s="58" t="s">
        <v>286</v>
      </c>
    </row>
    <row r="165" spans="1:5" x14ac:dyDescent="0.2">
      <c r="A165" s="58" t="s">
        <v>503</v>
      </c>
      <c r="B165" s="58" t="s">
        <v>74</v>
      </c>
      <c r="C165" s="58" t="s">
        <v>11</v>
      </c>
      <c r="D165" s="58" t="s">
        <v>482</v>
      </c>
      <c r="E165" s="58" t="s">
        <v>286</v>
      </c>
    </row>
    <row r="166" spans="1:5" x14ac:dyDescent="0.2">
      <c r="A166" s="58" t="s">
        <v>504</v>
      </c>
      <c r="B166" s="58" t="s">
        <v>75</v>
      </c>
      <c r="C166" s="58" t="s">
        <v>11</v>
      </c>
      <c r="D166" s="58" t="s">
        <v>482</v>
      </c>
      <c r="E166" s="58" t="s">
        <v>286</v>
      </c>
    </row>
    <row r="167" spans="1:5" x14ac:dyDescent="0.2">
      <c r="A167" s="58" t="s">
        <v>505</v>
      </c>
      <c r="B167" s="58" t="s">
        <v>76</v>
      </c>
      <c r="C167" s="58" t="s">
        <v>11</v>
      </c>
      <c r="D167" s="58" t="s">
        <v>482</v>
      </c>
      <c r="E167" s="58" t="s">
        <v>286</v>
      </c>
    </row>
    <row r="168" spans="1:5" x14ac:dyDescent="0.2">
      <c r="A168" s="58" t="s">
        <v>506</v>
      </c>
      <c r="B168" s="58" t="s">
        <v>77</v>
      </c>
      <c r="C168" s="58" t="s">
        <v>11</v>
      </c>
      <c r="D168" s="58" t="s">
        <v>482</v>
      </c>
      <c r="E168" s="58" t="s">
        <v>286</v>
      </c>
    </row>
    <row r="169" spans="1:5" x14ac:dyDescent="0.2">
      <c r="A169" s="58" t="s">
        <v>507</v>
      </c>
      <c r="B169" s="58" t="s">
        <v>78</v>
      </c>
      <c r="C169" s="58" t="s">
        <v>11</v>
      </c>
      <c r="D169" s="58" t="s">
        <v>482</v>
      </c>
      <c r="E169" s="58" t="s">
        <v>286</v>
      </c>
    </row>
    <row r="170" spans="1:5" x14ac:dyDescent="0.2">
      <c r="A170" s="58" t="s">
        <v>508</v>
      </c>
      <c r="B170" s="58" t="s">
        <v>79</v>
      </c>
      <c r="C170" s="58" t="s">
        <v>11</v>
      </c>
      <c r="D170" s="58" t="s">
        <v>482</v>
      </c>
      <c r="E170" s="58" t="s">
        <v>286</v>
      </c>
    </row>
    <row r="171" spans="1:5" x14ac:dyDescent="0.2">
      <c r="A171" s="58" t="s">
        <v>509</v>
      </c>
      <c r="B171" s="58" t="s">
        <v>80</v>
      </c>
      <c r="C171" s="58" t="s">
        <v>11</v>
      </c>
      <c r="D171" s="58" t="s">
        <v>482</v>
      </c>
      <c r="E171" s="58" t="s">
        <v>286</v>
      </c>
    </row>
    <row r="172" spans="1:5" x14ac:dyDescent="0.2">
      <c r="A172" s="58" t="s">
        <v>510</v>
      </c>
      <c r="B172" s="58" t="s">
        <v>81</v>
      </c>
      <c r="C172" s="58" t="s">
        <v>11</v>
      </c>
      <c r="D172" s="58" t="s">
        <v>482</v>
      </c>
      <c r="E172" s="58" t="s">
        <v>286</v>
      </c>
    </row>
    <row r="173" spans="1:5" x14ac:dyDescent="0.2">
      <c r="A173" s="58" t="s">
        <v>511</v>
      </c>
      <c r="B173" s="58" t="s">
        <v>82</v>
      </c>
      <c r="C173" s="58" t="s">
        <v>11</v>
      </c>
      <c r="D173" s="58" t="s">
        <v>482</v>
      </c>
      <c r="E173" s="58" t="s">
        <v>286</v>
      </c>
    </row>
    <row r="174" spans="1:5" x14ac:dyDescent="0.2">
      <c r="A174" s="58" t="s">
        <v>512</v>
      </c>
      <c r="B174" s="58" t="s">
        <v>83</v>
      </c>
      <c r="C174" s="58" t="s">
        <v>11</v>
      </c>
      <c r="D174" s="58" t="s">
        <v>482</v>
      </c>
      <c r="E174" s="58" t="s">
        <v>286</v>
      </c>
    </row>
    <row r="175" spans="1:5" x14ac:dyDescent="0.2">
      <c r="A175" s="58" t="s">
        <v>513</v>
      </c>
      <c r="B175" s="58" t="s">
        <v>84</v>
      </c>
      <c r="C175" s="58" t="s">
        <v>11</v>
      </c>
      <c r="D175" s="58" t="s">
        <v>482</v>
      </c>
      <c r="E175" s="58" t="s">
        <v>286</v>
      </c>
    </row>
    <row r="176" spans="1:5" x14ac:dyDescent="0.2">
      <c r="A176" s="58" t="s">
        <v>514</v>
      </c>
      <c r="B176" s="58" t="s">
        <v>85</v>
      </c>
      <c r="C176" s="58" t="s">
        <v>11</v>
      </c>
      <c r="D176" s="58" t="s">
        <v>482</v>
      </c>
      <c r="E176" s="58" t="s">
        <v>286</v>
      </c>
    </row>
    <row r="177" spans="1:5" x14ac:dyDescent="0.2">
      <c r="A177" s="58" t="s">
        <v>515</v>
      </c>
      <c r="B177" s="58" t="s">
        <v>923</v>
      </c>
      <c r="C177" s="58" t="s">
        <v>11</v>
      </c>
      <c r="D177" s="58" t="s">
        <v>482</v>
      </c>
      <c r="E177" s="58" t="s">
        <v>286</v>
      </c>
    </row>
    <row r="178" spans="1:5" x14ac:dyDescent="0.2">
      <c r="A178" s="58" t="s">
        <v>516</v>
      </c>
      <c r="B178" s="58" t="s">
        <v>86</v>
      </c>
      <c r="C178" s="58" t="s">
        <v>7</v>
      </c>
      <c r="D178" s="58" t="s">
        <v>482</v>
      </c>
      <c r="E178" s="58" t="s">
        <v>286</v>
      </c>
    </row>
    <row r="179" spans="1:5" x14ac:dyDescent="0.2">
      <c r="A179" s="58" t="s">
        <v>517</v>
      </c>
      <c r="B179" s="58" t="s">
        <v>924</v>
      </c>
      <c r="C179" s="58" t="s">
        <v>11</v>
      </c>
      <c r="D179" s="58" t="s">
        <v>482</v>
      </c>
      <c r="E179" s="58" t="s">
        <v>286</v>
      </c>
    </row>
    <row r="180" spans="1:5" x14ac:dyDescent="0.2">
      <c r="A180" s="58" t="s">
        <v>518</v>
      </c>
      <c r="B180" s="58" t="s">
        <v>925</v>
      </c>
      <c r="C180" s="58" t="s">
        <v>11</v>
      </c>
      <c r="D180" s="58" t="s">
        <v>482</v>
      </c>
      <c r="E180" s="58" t="s">
        <v>286</v>
      </c>
    </row>
    <row r="181" spans="1:5" x14ac:dyDescent="0.2">
      <c r="A181" s="58" t="s">
        <v>519</v>
      </c>
      <c r="B181" s="58" t="s">
        <v>926</v>
      </c>
      <c r="C181" s="58" t="s">
        <v>11</v>
      </c>
      <c r="D181" s="58" t="s">
        <v>482</v>
      </c>
      <c r="E181" s="58" t="s">
        <v>286</v>
      </c>
    </row>
    <row r="182" spans="1:5" x14ac:dyDescent="0.2">
      <c r="A182" s="58" t="s">
        <v>520</v>
      </c>
      <c r="B182" s="58" t="s">
        <v>87</v>
      </c>
      <c r="C182" s="58" t="s">
        <v>11</v>
      </c>
      <c r="D182" s="58" t="s">
        <v>482</v>
      </c>
      <c r="E182" s="58" t="s">
        <v>286</v>
      </c>
    </row>
    <row r="183" spans="1:5" x14ac:dyDescent="0.2">
      <c r="A183" s="58" t="s">
        <v>521</v>
      </c>
      <c r="B183" s="58" t="s">
        <v>88</v>
      </c>
      <c r="C183" s="58" t="s">
        <v>11</v>
      </c>
      <c r="D183" s="58" t="s">
        <v>482</v>
      </c>
      <c r="E183" s="58" t="s">
        <v>286</v>
      </c>
    </row>
    <row r="184" spans="1:5" x14ac:dyDescent="0.2">
      <c r="A184" s="58" t="s">
        <v>522</v>
      </c>
      <c r="B184" s="58" t="s">
        <v>89</v>
      </c>
      <c r="C184" s="58" t="s">
        <v>11</v>
      </c>
      <c r="D184" s="58" t="s">
        <v>482</v>
      </c>
      <c r="E184" s="58" t="s">
        <v>286</v>
      </c>
    </row>
    <row r="185" spans="1:5" x14ac:dyDescent="0.2">
      <c r="A185" s="58" t="s">
        <v>523</v>
      </c>
      <c r="B185" s="58" t="s">
        <v>90</v>
      </c>
      <c r="C185" s="58" t="s">
        <v>11</v>
      </c>
      <c r="D185" s="58" t="s">
        <v>482</v>
      </c>
      <c r="E185" s="58" t="s">
        <v>286</v>
      </c>
    </row>
    <row r="186" spans="1:5" x14ac:dyDescent="0.2">
      <c r="A186" s="58" t="s">
        <v>524</v>
      </c>
      <c r="B186" s="58" t="s">
        <v>91</v>
      </c>
      <c r="C186" s="58" t="s">
        <v>11</v>
      </c>
      <c r="D186" s="58" t="s">
        <v>482</v>
      </c>
      <c r="E186" s="58" t="s">
        <v>286</v>
      </c>
    </row>
    <row r="187" spans="1:5" x14ac:dyDescent="0.2">
      <c r="A187" s="58" t="s">
        <v>525</v>
      </c>
      <c r="B187" s="58" t="s">
        <v>92</v>
      </c>
      <c r="C187" s="58" t="s">
        <v>11</v>
      </c>
      <c r="D187" s="58" t="s">
        <v>482</v>
      </c>
      <c r="E187" s="58" t="s">
        <v>286</v>
      </c>
    </row>
    <row r="188" spans="1:5" x14ac:dyDescent="0.2">
      <c r="A188" s="58" t="s">
        <v>526</v>
      </c>
      <c r="B188" s="58" t="s">
        <v>93</v>
      </c>
      <c r="C188" s="58" t="s">
        <v>11</v>
      </c>
      <c r="D188" s="58" t="s">
        <v>482</v>
      </c>
      <c r="E188" s="58" t="s">
        <v>286</v>
      </c>
    </row>
    <row r="189" spans="1:5" x14ac:dyDescent="0.2">
      <c r="A189" s="58" t="s">
        <v>527</v>
      </c>
      <c r="B189" s="58" t="s">
        <v>94</v>
      </c>
      <c r="C189" s="58" t="s">
        <v>11</v>
      </c>
      <c r="D189" s="58" t="s">
        <v>482</v>
      </c>
      <c r="E189" s="58" t="s">
        <v>286</v>
      </c>
    </row>
    <row r="190" spans="1:5" x14ac:dyDescent="0.2">
      <c r="A190" s="58" t="s">
        <v>528</v>
      </c>
      <c r="B190" s="58" t="s">
        <v>95</v>
      </c>
      <c r="C190" s="58" t="s">
        <v>11</v>
      </c>
      <c r="D190" s="58" t="s">
        <v>482</v>
      </c>
      <c r="E190" s="58" t="s">
        <v>286</v>
      </c>
    </row>
    <row r="191" spans="1:5" x14ac:dyDescent="0.2">
      <c r="A191" s="58" t="s">
        <v>529</v>
      </c>
      <c r="B191" s="58" t="s">
        <v>96</v>
      </c>
      <c r="C191" s="58" t="s">
        <v>11</v>
      </c>
      <c r="D191" s="58" t="s">
        <v>482</v>
      </c>
      <c r="E191" s="58" t="s">
        <v>286</v>
      </c>
    </row>
    <row r="192" spans="1:5" x14ac:dyDescent="0.2">
      <c r="A192" s="58" t="s">
        <v>530</v>
      </c>
      <c r="B192" s="58" t="s">
        <v>97</v>
      </c>
      <c r="C192" s="58" t="s">
        <v>11</v>
      </c>
      <c r="D192" s="58" t="s">
        <v>482</v>
      </c>
      <c r="E192" s="58" t="s">
        <v>286</v>
      </c>
    </row>
    <row r="193" spans="1:5" x14ac:dyDescent="0.2">
      <c r="A193" s="58" t="s">
        <v>531</v>
      </c>
      <c r="B193" s="58" t="s">
        <v>98</v>
      </c>
      <c r="C193" s="58" t="s">
        <v>11</v>
      </c>
      <c r="D193" s="58" t="s">
        <v>482</v>
      </c>
      <c r="E193" s="58" t="s">
        <v>286</v>
      </c>
    </row>
    <row r="194" spans="1:5" x14ac:dyDescent="0.2">
      <c r="A194" s="58" t="s">
        <v>532</v>
      </c>
      <c r="B194" s="58" t="s">
        <v>99</v>
      </c>
      <c r="C194" s="58" t="s">
        <v>11</v>
      </c>
      <c r="D194" s="58" t="s">
        <v>482</v>
      </c>
      <c r="E194" s="58" t="s">
        <v>286</v>
      </c>
    </row>
    <row r="195" spans="1:5" x14ac:dyDescent="0.2">
      <c r="A195" s="58" t="s">
        <v>533</v>
      </c>
      <c r="B195" s="58" t="s">
        <v>100</v>
      </c>
      <c r="C195" s="58" t="s">
        <v>11</v>
      </c>
      <c r="D195" s="58" t="s">
        <v>482</v>
      </c>
      <c r="E195" s="58" t="s">
        <v>286</v>
      </c>
    </row>
    <row r="196" spans="1:5" x14ac:dyDescent="0.2">
      <c r="A196" s="58" t="s">
        <v>534</v>
      </c>
      <c r="B196" s="58" t="s">
        <v>101</v>
      </c>
      <c r="C196" s="58" t="s">
        <v>11</v>
      </c>
      <c r="D196" s="58" t="s">
        <v>482</v>
      </c>
      <c r="E196" s="58" t="s">
        <v>286</v>
      </c>
    </row>
    <row r="197" spans="1:5" x14ac:dyDescent="0.2">
      <c r="A197" s="58" t="s">
        <v>535</v>
      </c>
      <c r="B197" s="58" t="s">
        <v>102</v>
      </c>
      <c r="C197" s="58" t="s">
        <v>11</v>
      </c>
      <c r="D197" s="58" t="s">
        <v>482</v>
      </c>
      <c r="E197" s="58" t="s">
        <v>286</v>
      </c>
    </row>
    <row r="198" spans="1:5" x14ac:dyDescent="0.2">
      <c r="A198" s="58" t="s">
        <v>537</v>
      </c>
      <c r="B198" s="58" t="s">
        <v>103</v>
      </c>
      <c r="C198" s="58" t="s">
        <v>11</v>
      </c>
      <c r="D198" s="58" t="s">
        <v>482</v>
      </c>
      <c r="E198" s="58" t="s">
        <v>286</v>
      </c>
    </row>
    <row r="199" spans="1:5" x14ac:dyDescent="0.2">
      <c r="A199" s="58" t="s">
        <v>538</v>
      </c>
      <c r="B199" s="58" t="s">
        <v>104</v>
      </c>
      <c r="C199" s="58" t="s">
        <v>11</v>
      </c>
      <c r="D199" s="58" t="s">
        <v>482</v>
      </c>
      <c r="E199" s="58" t="s">
        <v>286</v>
      </c>
    </row>
    <row r="200" spans="1:5" x14ac:dyDescent="0.2">
      <c r="A200" s="58" t="s">
        <v>539</v>
      </c>
      <c r="B200" s="58" t="s">
        <v>536</v>
      </c>
      <c r="C200" s="58" t="s">
        <v>11</v>
      </c>
      <c r="D200" s="58" t="s">
        <v>482</v>
      </c>
      <c r="E200" s="58" t="s">
        <v>286</v>
      </c>
    </row>
    <row r="201" spans="1:5" x14ac:dyDescent="0.2">
      <c r="A201" s="58" t="s">
        <v>540</v>
      </c>
      <c r="B201" s="58" t="s">
        <v>105</v>
      </c>
      <c r="C201" s="58" t="s">
        <v>11</v>
      </c>
      <c r="D201" s="58" t="s">
        <v>482</v>
      </c>
      <c r="E201" s="58" t="s">
        <v>286</v>
      </c>
    </row>
    <row r="202" spans="1:5" x14ac:dyDescent="0.2">
      <c r="A202" s="58" t="s">
        <v>541</v>
      </c>
      <c r="B202" s="58" t="s">
        <v>106</v>
      </c>
      <c r="C202" s="58" t="s">
        <v>11</v>
      </c>
      <c r="D202" s="58" t="s">
        <v>482</v>
      </c>
      <c r="E202" s="58" t="s">
        <v>286</v>
      </c>
    </row>
    <row r="203" spans="1:5" x14ac:dyDescent="0.2">
      <c r="A203" s="58" t="s">
        <v>542</v>
      </c>
      <c r="B203" s="58" t="s">
        <v>107</v>
      </c>
      <c r="C203" s="58" t="s">
        <v>11</v>
      </c>
      <c r="D203" s="58" t="s">
        <v>482</v>
      </c>
      <c r="E203" s="58" t="s">
        <v>286</v>
      </c>
    </row>
    <row r="204" spans="1:5" x14ac:dyDescent="0.2">
      <c r="A204" s="58" t="s">
        <v>543</v>
      </c>
      <c r="B204" s="58" t="s">
        <v>108</v>
      </c>
      <c r="C204" s="58" t="s">
        <v>11</v>
      </c>
      <c r="D204" s="58" t="s">
        <v>482</v>
      </c>
      <c r="E204" s="58" t="s">
        <v>286</v>
      </c>
    </row>
    <row r="205" spans="1:5" x14ac:dyDescent="0.2">
      <c r="A205" s="58" t="s">
        <v>544</v>
      </c>
      <c r="B205" s="58" t="s">
        <v>109</v>
      </c>
      <c r="C205" s="58" t="s">
        <v>11</v>
      </c>
      <c r="D205" s="58" t="s">
        <v>482</v>
      </c>
      <c r="E205" s="58" t="s">
        <v>286</v>
      </c>
    </row>
    <row r="206" spans="1:5" x14ac:dyDescent="0.2">
      <c r="A206" s="58" t="s">
        <v>546</v>
      </c>
      <c r="B206" s="58" t="s">
        <v>110</v>
      </c>
      <c r="C206" s="58" t="s">
        <v>11</v>
      </c>
      <c r="D206" s="58" t="s">
        <v>482</v>
      </c>
      <c r="E206" s="58" t="s">
        <v>286</v>
      </c>
    </row>
    <row r="207" spans="1:5" x14ac:dyDescent="0.2">
      <c r="A207" s="58" t="s">
        <v>548</v>
      </c>
      <c r="B207" s="58" t="s">
        <v>111</v>
      </c>
      <c r="C207" s="58" t="s">
        <v>11</v>
      </c>
      <c r="D207" s="58" t="s">
        <v>482</v>
      </c>
      <c r="E207" s="58" t="s">
        <v>286</v>
      </c>
    </row>
    <row r="208" spans="1:5" x14ac:dyDescent="0.2">
      <c r="A208" s="58" t="s">
        <v>550</v>
      </c>
      <c r="B208" s="58" t="s">
        <v>545</v>
      </c>
      <c r="C208" s="58" t="s">
        <v>11</v>
      </c>
      <c r="D208" s="58" t="s">
        <v>482</v>
      </c>
      <c r="E208" s="58" t="s">
        <v>286</v>
      </c>
    </row>
    <row r="209" spans="1:5" x14ac:dyDescent="0.2">
      <c r="A209" s="58" t="s">
        <v>551</v>
      </c>
      <c r="B209" s="58" t="s">
        <v>547</v>
      </c>
      <c r="C209" s="58" t="s">
        <v>11</v>
      </c>
      <c r="D209" s="58" t="s">
        <v>482</v>
      </c>
      <c r="E209" s="58" t="s">
        <v>286</v>
      </c>
    </row>
    <row r="210" spans="1:5" x14ac:dyDescent="0.2">
      <c r="A210" s="58" t="s">
        <v>552</v>
      </c>
      <c r="B210" s="58" t="s">
        <v>549</v>
      </c>
      <c r="C210" s="58" t="s">
        <v>11</v>
      </c>
      <c r="D210" s="58" t="s">
        <v>482</v>
      </c>
      <c r="E210" s="58" t="s">
        <v>286</v>
      </c>
    </row>
    <row r="211" spans="1:5" x14ac:dyDescent="0.2">
      <c r="A211" s="58" t="s">
        <v>553</v>
      </c>
      <c r="B211" s="58" t="s">
        <v>112</v>
      </c>
      <c r="C211" s="58" t="s">
        <v>11</v>
      </c>
      <c r="D211" s="58" t="s">
        <v>482</v>
      </c>
      <c r="E211" s="58" t="s">
        <v>286</v>
      </c>
    </row>
    <row r="212" spans="1:5" x14ac:dyDescent="0.2">
      <c r="A212" s="58" t="s">
        <v>554</v>
      </c>
      <c r="B212" s="58" t="s">
        <v>113</v>
      </c>
      <c r="C212" s="58" t="s">
        <v>11</v>
      </c>
      <c r="D212" s="58" t="s">
        <v>482</v>
      </c>
      <c r="E212" s="58" t="s">
        <v>286</v>
      </c>
    </row>
    <row r="213" spans="1:5" x14ac:dyDescent="0.2">
      <c r="A213" s="58" t="s">
        <v>555</v>
      </c>
      <c r="B213" s="58" t="s">
        <v>114</v>
      </c>
      <c r="C213" s="58" t="s">
        <v>11</v>
      </c>
      <c r="D213" s="58" t="s">
        <v>482</v>
      </c>
      <c r="E213" s="58" t="s">
        <v>286</v>
      </c>
    </row>
    <row r="214" spans="1:5" x14ac:dyDescent="0.2">
      <c r="A214" s="58" t="s">
        <v>556</v>
      </c>
      <c r="B214" s="58" t="s">
        <v>115</v>
      </c>
      <c r="C214" s="58" t="s">
        <v>11</v>
      </c>
      <c r="D214" s="58" t="s">
        <v>482</v>
      </c>
      <c r="E214" s="58" t="s">
        <v>286</v>
      </c>
    </row>
    <row r="215" spans="1:5" x14ac:dyDescent="0.2">
      <c r="A215" s="58" t="s">
        <v>557</v>
      </c>
      <c r="B215" s="58" t="s">
        <v>116</v>
      </c>
      <c r="C215" s="58" t="s">
        <v>11</v>
      </c>
      <c r="D215" s="58" t="s">
        <v>482</v>
      </c>
      <c r="E215" s="58" t="s">
        <v>286</v>
      </c>
    </row>
    <row r="216" spans="1:5" x14ac:dyDescent="0.2">
      <c r="A216" s="58" t="s">
        <v>558</v>
      </c>
      <c r="B216" s="58" t="s">
        <v>117</v>
      </c>
      <c r="C216" s="58" t="s">
        <v>11</v>
      </c>
      <c r="D216" s="58" t="s">
        <v>482</v>
      </c>
      <c r="E216" s="58" t="s">
        <v>286</v>
      </c>
    </row>
    <row r="217" spans="1:5" x14ac:dyDescent="0.2">
      <c r="A217" s="58" t="s">
        <v>559</v>
      </c>
      <c r="B217" s="58" t="s">
        <v>118</v>
      </c>
      <c r="C217" s="58" t="s">
        <v>11</v>
      </c>
      <c r="D217" s="58" t="s">
        <v>482</v>
      </c>
      <c r="E217" s="58" t="s">
        <v>286</v>
      </c>
    </row>
    <row r="218" spans="1:5" x14ac:dyDescent="0.2">
      <c r="A218" s="58" t="s">
        <v>560</v>
      </c>
      <c r="B218" s="58" t="s">
        <v>119</v>
      </c>
      <c r="C218" s="58" t="s">
        <v>11</v>
      </c>
      <c r="D218" s="58" t="s">
        <v>482</v>
      </c>
      <c r="E218" s="58" t="s">
        <v>286</v>
      </c>
    </row>
    <row r="219" spans="1:5" x14ac:dyDescent="0.2">
      <c r="A219" s="58" t="s">
        <v>562</v>
      </c>
      <c r="B219" s="58" t="s">
        <v>120</v>
      </c>
      <c r="C219" s="58" t="s">
        <v>11</v>
      </c>
      <c r="D219" s="58" t="s">
        <v>482</v>
      </c>
      <c r="E219" s="58" t="s">
        <v>286</v>
      </c>
    </row>
    <row r="220" spans="1:5" x14ac:dyDescent="0.2">
      <c r="A220" s="58" t="s">
        <v>564</v>
      </c>
      <c r="B220" s="58" t="s">
        <v>121</v>
      </c>
      <c r="C220" s="58" t="s">
        <v>11</v>
      </c>
      <c r="D220" s="58" t="s">
        <v>482</v>
      </c>
      <c r="E220" s="58" t="s">
        <v>286</v>
      </c>
    </row>
    <row r="221" spans="1:5" x14ac:dyDescent="0.2">
      <c r="A221" s="58" t="s">
        <v>565</v>
      </c>
      <c r="B221" s="58" t="s">
        <v>561</v>
      </c>
      <c r="C221" s="58" t="s">
        <v>11</v>
      </c>
      <c r="D221" s="58" t="s">
        <v>482</v>
      </c>
      <c r="E221" s="58" t="s">
        <v>286</v>
      </c>
    </row>
    <row r="222" spans="1:5" x14ac:dyDescent="0.2">
      <c r="A222" s="58" t="s">
        <v>566</v>
      </c>
      <c r="B222" s="58" t="s">
        <v>563</v>
      </c>
      <c r="C222" s="58" t="s">
        <v>11</v>
      </c>
      <c r="D222" s="58" t="s">
        <v>482</v>
      </c>
      <c r="E222" s="58" t="s">
        <v>286</v>
      </c>
    </row>
    <row r="223" spans="1:5" x14ac:dyDescent="0.2">
      <c r="A223" s="58" t="s">
        <v>567</v>
      </c>
      <c r="B223" s="58" t="s">
        <v>122</v>
      </c>
      <c r="C223" s="58" t="s">
        <v>11</v>
      </c>
      <c r="D223" s="58" t="s">
        <v>482</v>
      </c>
      <c r="E223" s="58" t="s">
        <v>286</v>
      </c>
    </row>
    <row r="224" spans="1:5" x14ac:dyDescent="0.2">
      <c r="A224" s="58" t="s">
        <v>568</v>
      </c>
      <c r="B224" s="58" t="s">
        <v>123</v>
      </c>
      <c r="C224" s="58" t="s">
        <v>11</v>
      </c>
      <c r="D224" s="58" t="s">
        <v>482</v>
      </c>
      <c r="E224" s="58" t="s">
        <v>286</v>
      </c>
    </row>
    <row r="225" spans="1:5" x14ac:dyDescent="0.2">
      <c r="A225" s="58" t="s">
        <v>569</v>
      </c>
      <c r="B225" s="58" t="s">
        <v>124</v>
      </c>
      <c r="C225" s="58" t="s">
        <v>11</v>
      </c>
      <c r="D225" s="58" t="s">
        <v>482</v>
      </c>
      <c r="E225" s="58" t="s">
        <v>286</v>
      </c>
    </row>
    <row r="226" spans="1:5" x14ac:dyDescent="0.2">
      <c r="A226" s="58" t="s">
        <v>570</v>
      </c>
      <c r="B226" s="58" t="s">
        <v>125</v>
      </c>
      <c r="C226" s="58" t="s">
        <v>11</v>
      </c>
      <c r="D226" s="58" t="s">
        <v>482</v>
      </c>
      <c r="E226" s="58" t="s">
        <v>286</v>
      </c>
    </row>
    <row r="227" spans="1:5" x14ac:dyDescent="0.2">
      <c r="A227" s="58" t="s">
        <v>571</v>
      </c>
      <c r="B227" s="58" t="s">
        <v>126</v>
      </c>
      <c r="C227" s="58" t="s">
        <v>11</v>
      </c>
      <c r="D227" s="58" t="s">
        <v>482</v>
      </c>
      <c r="E227" s="58" t="s">
        <v>286</v>
      </c>
    </row>
    <row r="228" spans="1:5" x14ac:dyDescent="0.2">
      <c r="A228" s="58" t="s">
        <v>573</v>
      </c>
      <c r="B228" s="58" t="s">
        <v>127</v>
      </c>
      <c r="C228" s="58" t="s">
        <v>11</v>
      </c>
      <c r="D228" s="58" t="s">
        <v>482</v>
      </c>
      <c r="E228" s="58" t="s">
        <v>286</v>
      </c>
    </row>
    <row r="229" spans="1:5" x14ac:dyDescent="0.2">
      <c r="A229" s="58" t="s">
        <v>575</v>
      </c>
      <c r="B229" s="58" t="s">
        <v>128</v>
      </c>
      <c r="C229" s="58" t="s">
        <v>11</v>
      </c>
      <c r="D229" s="58" t="s">
        <v>482</v>
      </c>
      <c r="E229" s="58" t="s">
        <v>286</v>
      </c>
    </row>
    <row r="230" spans="1:5" x14ac:dyDescent="0.2">
      <c r="A230" s="58" t="s">
        <v>576</v>
      </c>
      <c r="B230" s="58" t="s">
        <v>572</v>
      </c>
      <c r="C230" s="58" t="s">
        <v>11</v>
      </c>
      <c r="D230" s="58" t="s">
        <v>482</v>
      </c>
      <c r="E230" s="58" t="s">
        <v>286</v>
      </c>
    </row>
    <row r="231" spans="1:5" x14ac:dyDescent="0.2">
      <c r="A231" s="58" t="s">
        <v>578</v>
      </c>
      <c r="B231" s="58" t="s">
        <v>574</v>
      </c>
      <c r="C231" s="58" t="s">
        <v>11</v>
      </c>
      <c r="D231" s="58" t="s">
        <v>482</v>
      </c>
      <c r="E231" s="58" t="s">
        <v>286</v>
      </c>
    </row>
    <row r="232" spans="1:5" x14ac:dyDescent="0.2">
      <c r="A232" s="58" t="s">
        <v>927</v>
      </c>
      <c r="B232" s="58" t="s">
        <v>129</v>
      </c>
      <c r="C232" s="58" t="s">
        <v>11</v>
      </c>
      <c r="D232" s="58" t="s">
        <v>482</v>
      </c>
      <c r="E232" s="58" t="s">
        <v>286</v>
      </c>
    </row>
    <row r="233" spans="1:5" x14ac:dyDescent="0.2">
      <c r="A233" s="58" t="s">
        <v>928</v>
      </c>
      <c r="B233" s="58" t="s">
        <v>577</v>
      </c>
      <c r="C233" s="58" t="s">
        <v>11</v>
      </c>
      <c r="D233" s="58" t="s">
        <v>482</v>
      </c>
      <c r="E233" s="58" t="s">
        <v>286</v>
      </c>
    </row>
    <row r="234" spans="1:5" x14ac:dyDescent="0.2">
      <c r="A234" s="58" t="s">
        <v>929</v>
      </c>
      <c r="B234" s="58" t="s">
        <v>930</v>
      </c>
      <c r="C234" s="58" t="s">
        <v>11</v>
      </c>
      <c r="D234" s="58" t="s">
        <v>482</v>
      </c>
      <c r="E234" s="58" t="s">
        <v>286</v>
      </c>
    </row>
    <row r="235" spans="1:5" x14ac:dyDescent="0.2">
      <c r="A235" s="58" t="s">
        <v>931</v>
      </c>
      <c r="B235" s="58" t="s">
        <v>579</v>
      </c>
      <c r="C235" s="58" t="s">
        <v>11</v>
      </c>
      <c r="D235" s="58" t="s">
        <v>482</v>
      </c>
      <c r="E235" s="58" t="s">
        <v>286</v>
      </c>
    </row>
    <row r="236" spans="1:5" x14ac:dyDescent="0.2">
      <c r="A236" s="58" t="s">
        <v>932</v>
      </c>
      <c r="B236" s="58" t="s">
        <v>933</v>
      </c>
      <c r="C236" s="58" t="s">
        <v>11</v>
      </c>
      <c r="D236" s="58" t="s">
        <v>482</v>
      </c>
      <c r="E236" s="58" t="s">
        <v>286</v>
      </c>
    </row>
    <row r="237" spans="1:5" x14ac:dyDescent="0.2">
      <c r="A237" s="58" t="s">
        <v>580</v>
      </c>
      <c r="B237" s="58" t="s">
        <v>23</v>
      </c>
      <c r="C237" s="58" t="s">
        <v>361</v>
      </c>
      <c r="D237" s="58" t="s">
        <v>581</v>
      </c>
      <c r="E237" s="58" t="s">
        <v>286</v>
      </c>
    </row>
    <row r="238" spans="1:5" x14ac:dyDescent="0.2">
      <c r="A238" s="58" t="s">
        <v>582</v>
      </c>
      <c r="B238" s="58" t="s">
        <v>241</v>
      </c>
      <c r="C238" s="58" t="s">
        <v>361</v>
      </c>
      <c r="D238" s="58" t="s">
        <v>581</v>
      </c>
      <c r="E238" s="58" t="s">
        <v>286</v>
      </c>
    </row>
    <row r="239" spans="1:5" x14ac:dyDescent="0.2">
      <c r="A239" s="58" t="s">
        <v>583</v>
      </c>
      <c r="B239" s="58" t="s">
        <v>584</v>
      </c>
      <c r="C239" s="58" t="s">
        <v>361</v>
      </c>
      <c r="D239" s="58" t="s">
        <v>581</v>
      </c>
      <c r="E239" s="58" t="s">
        <v>286</v>
      </c>
    </row>
    <row r="240" spans="1:5" x14ac:dyDescent="0.2">
      <c r="A240" s="58" t="s">
        <v>585</v>
      </c>
      <c r="B240" s="58" t="s">
        <v>242</v>
      </c>
      <c r="C240" s="58" t="s">
        <v>361</v>
      </c>
      <c r="D240" s="58" t="s">
        <v>581</v>
      </c>
      <c r="E240" s="58" t="s">
        <v>286</v>
      </c>
    </row>
    <row r="241" spans="1:5" x14ac:dyDescent="0.2">
      <c r="A241" s="58" t="s">
        <v>586</v>
      </c>
      <c r="B241" s="58" t="s">
        <v>243</v>
      </c>
      <c r="C241" s="58" t="s">
        <v>361</v>
      </c>
      <c r="D241" s="58" t="s">
        <v>581</v>
      </c>
      <c r="E241" s="58" t="s">
        <v>286</v>
      </c>
    </row>
    <row r="242" spans="1:5" x14ac:dyDescent="0.2">
      <c r="A242" s="58" t="s">
        <v>587</v>
      </c>
      <c r="B242" s="58" t="s">
        <v>244</v>
      </c>
      <c r="C242" s="58" t="s">
        <v>361</v>
      </c>
      <c r="D242" s="58" t="s">
        <v>581</v>
      </c>
      <c r="E242" s="58" t="s">
        <v>286</v>
      </c>
    </row>
    <row r="243" spans="1:5" x14ac:dyDescent="0.2">
      <c r="A243" s="58" t="s">
        <v>588</v>
      </c>
      <c r="B243" s="58" t="s">
        <v>245</v>
      </c>
      <c r="C243" s="58" t="s">
        <v>361</v>
      </c>
      <c r="D243" s="58" t="s">
        <v>581</v>
      </c>
      <c r="E243" s="58" t="s">
        <v>286</v>
      </c>
    </row>
    <row r="244" spans="1:5" x14ac:dyDescent="0.2">
      <c r="A244" s="58" t="s">
        <v>589</v>
      </c>
      <c r="B244" s="58" t="s">
        <v>246</v>
      </c>
      <c r="C244" s="58" t="s">
        <v>361</v>
      </c>
      <c r="D244" s="58" t="s">
        <v>581</v>
      </c>
      <c r="E244" s="58" t="s">
        <v>286</v>
      </c>
    </row>
    <row r="245" spans="1:5" x14ac:dyDescent="0.2">
      <c r="A245" s="58" t="s">
        <v>590</v>
      </c>
      <c r="B245" s="58" t="s">
        <v>247</v>
      </c>
      <c r="C245" s="58" t="s">
        <v>361</v>
      </c>
      <c r="D245" s="58" t="s">
        <v>581</v>
      </c>
      <c r="E245" s="58" t="s">
        <v>286</v>
      </c>
    </row>
    <row r="246" spans="1:5" x14ac:dyDescent="0.2">
      <c r="A246" s="58" t="s">
        <v>591</v>
      </c>
      <c r="B246" s="58" t="s">
        <v>24</v>
      </c>
      <c r="C246" s="58" t="s">
        <v>11</v>
      </c>
      <c r="D246" s="58" t="s">
        <v>592</v>
      </c>
      <c r="E246" s="58" t="s">
        <v>286</v>
      </c>
    </row>
    <row r="247" spans="1:5" x14ac:dyDescent="0.2">
      <c r="A247" s="58" t="s">
        <v>593</v>
      </c>
      <c r="B247" s="58" t="s">
        <v>25</v>
      </c>
      <c r="C247" s="58" t="s">
        <v>11</v>
      </c>
      <c r="D247" s="58" t="s">
        <v>592</v>
      </c>
      <c r="E247" s="58" t="s">
        <v>286</v>
      </c>
    </row>
    <row r="248" spans="1:5" x14ac:dyDescent="0.2">
      <c r="A248" s="58" t="s">
        <v>594</v>
      </c>
      <c r="B248" s="58" t="s">
        <v>26</v>
      </c>
      <c r="C248" s="58" t="s">
        <v>11</v>
      </c>
      <c r="D248" s="58" t="s">
        <v>592</v>
      </c>
      <c r="E248" s="58" t="s">
        <v>286</v>
      </c>
    </row>
    <row r="249" spans="1:5" x14ac:dyDescent="0.2">
      <c r="A249" s="58" t="s">
        <v>595</v>
      </c>
      <c r="B249" s="58" t="s">
        <v>27</v>
      </c>
      <c r="C249" s="58" t="s">
        <v>7</v>
      </c>
      <c r="D249" s="58" t="s">
        <v>592</v>
      </c>
      <c r="E249" s="58" t="s">
        <v>286</v>
      </c>
    </row>
    <row r="250" spans="1:5" x14ac:dyDescent="0.2">
      <c r="A250" s="58" t="s">
        <v>596</v>
      </c>
      <c r="B250" s="58" t="s">
        <v>29</v>
      </c>
      <c r="C250" s="58" t="s">
        <v>11</v>
      </c>
      <c r="D250" s="58" t="s">
        <v>592</v>
      </c>
      <c r="E250" s="58" t="s">
        <v>286</v>
      </c>
    </row>
    <row r="251" spans="1:5" x14ac:dyDescent="0.2">
      <c r="A251" s="58" t="s">
        <v>597</v>
      </c>
      <c r="B251" s="58" t="s">
        <v>28</v>
      </c>
      <c r="C251" s="58" t="s">
        <v>11</v>
      </c>
      <c r="D251" s="58" t="s">
        <v>592</v>
      </c>
      <c r="E251" s="58" t="s">
        <v>286</v>
      </c>
    </row>
    <row r="252" spans="1:5" x14ac:dyDescent="0.2">
      <c r="A252" s="58" t="s">
        <v>598</v>
      </c>
      <c r="B252" s="58" t="s">
        <v>599</v>
      </c>
      <c r="C252" s="58" t="s">
        <v>11</v>
      </c>
      <c r="D252" s="58" t="s">
        <v>592</v>
      </c>
      <c r="E252" s="58" t="s">
        <v>286</v>
      </c>
    </row>
    <row r="253" spans="1:5" x14ac:dyDescent="0.2">
      <c r="A253" s="58" t="s">
        <v>600</v>
      </c>
      <c r="B253" s="58" t="s">
        <v>934</v>
      </c>
      <c r="C253" s="58" t="s">
        <v>7</v>
      </c>
      <c r="D253" s="58" t="s">
        <v>601</v>
      </c>
      <c r="E253" s="58" t="s">
        <v>286</v>
      </c>
    </row>
    <row r="254" spans="1:5" x14ac:dyDescent="0.2">
      <c r="A254" s="58" t="s">
        <v>602</v>
      </c>
      <c r="B254" s="58" t="s">
        <v>31</v>
      </c>
      <c r="C254" s="58" t="s">
        <v>7</v>
      </c>
      <c r="D254" s="58" t="s">
        <v>601</v>
      </c>
      <c r="E254" s="58" t="s">
        <v>286</v>
      </c>
    </row>
    <row r="255" spans="1:5" x14ac:dyDescent="0.2">
      <c r="A255" s="58" t="s">
        <v>603</v>
      </c>
      <c r="B255" s="58" t="s">
        <v>5</v>
      </c>
      <c r="C255" s="58" t="s">
        <v>7</v>
      </c>
      <c r="D255" s="58" t="s">
        <v>601</v>
      </c>
      <c r="E255" s="58" t="s">
        <v>286</v>
      </c>
    </row>
    <row r="256" spans="1:5" x14ac:dyDescent="0.2">
      <c r="A256" s="58" t="s">
        <v>604</v>
      </c>
      <c r="B256" s="58" t="s">
        <v>32</v>
      </c>
      <c r="C256" s="58" t="s">
        <v>7</v>
      </c>
      <c r="D256" s="58" t="s">
        <v>601</v>
      </c>
      <c r="E256" s="58" t="s">
        <v>286</v>
      </c>
    </row>
    <row r="257" spans="1:5" x14ac:dyDescent="0.2">
      <c r="A257" s="58" t="s">
        <v>605</v>
      </c>
      <c r="B257" s="58" t="s">
        <v>33</v>
      </c>
      <c r="C257" s="58" t="s">
        <v>7</v>
      </c>
      <c r="D257" s="58" t="s">
        <v>601</v>
      </c>
      <c r="E257" s="58" t="s">
        <v>286</v>
      </c>
    </row>
    <row r="258" spans="1:5" x14ac:dyDescent="0.2">
      <c r="A258" s="58" t="s">
        <v>606</v>
      </c>
      <c r="B258" s="58" t="s">
        <v>34</v>
      </c>
      <c r="C258" s="58" t="s">
        <v>7</v>
      </c>
      <c r="D258" s="58" t="s">
        <v>601</v>
      </c>
      <c r="E258" s="58" t="s">
        <v>286</v>
      </c>
    </row>
    <row r="259" spans="1:5" x14ac:dyDescent="0.2">
      <c r="A259" s="58" t="s">
        <v>607</v>
      </c>
      <c r="B259" s="58" t="s">
        <v>35</v>
      </c>
      <c r="C259" s="58" t="s">
        <v>7</v>
      </c>
      <c r="D259" s="58" t="s">
        <v>601</v>
      </c>
      <c r="E259" s="58" t="s">
        <v>286</v>
      </c>
    </row>
    <row r="260" spans="1:5" x14ac:dyDescent="0.2">
      <c r="A260" s="58" t="s">
        <v>608</v>
      </c>
      <c r="B260" s="58" t="s">
        <v>609</v>
      </c>
      <c r="C260" s="58" t="s">
        <v>7</v>
      </c>
      <c r="D260" s="58" t="s">
        <v>601</v>
      </c>
      <c r="E260" s="58" t="s">
        <v>286</v>
      </c>
    </row>
    <row r="261" spans="1:5" x14ac:dyDescent="0.2">
      <c r="A261" s="58" t="s">
        <v>610</v>
      </c>
      <c r="B261" s="58" t="s">
        <v>36</v>
      </c>
      <c r="C261" s="58" t="s">
        <v>7</v>
      </c>
      <c r="D261" s="58" t="s">
        <v>601</v>
      </c>
      <c r="E261" s="58" t="s">
        <v>286</v>
      </c>
    </row>
    <row r="262" spans="1:5" x14ac:dyDescent="0.2">
      <c r="A262" s="58" t="s">
        <v>611</v>
      </c>
      <c r="B262" s="58" t="s">
        <v>935</v>
      </c>
      <c r="C262" s="58" t="s">
        <v>7</v>
      </c>
      <c r="D262" s="58" t="s">
        <v>601</v>
      </c>
      <c r="E262" s="58" t="s">
        <v>286</v>
      </c>
    </row>
    <row r="263" spans="1:5" x14ac:dyDescent="0.2">
      <c r="A263" s="58" t="s">
        <v>612</v>
      </c>
      <c r="B263" s="58" t="s">
        <v>936</v>
      </c>
      <c r="C263" s="58" t="s">
        <v>7</v>
      </c>
      <c r="D263" s="58" t="s">
        <v>601</v>
      </c>
      <c r="E263" s="58" t="s">
        <v>286</v>
      </c>
    </row>
    <row r="264" spans="1:5" x14ac:dyDescent="0.2">
      <c r="A264" s="58" t="s">
        <v>613</v>
      </c>
      <c r="B264" s="58" t="s">
        <v>937</v>
      </c>
      <c r="C264" s="58" t="s">
        <v>7</v>
      </c>
      <c r="D264" s="58" t="s">
        <v>601</v>
      </c>
      <c r="E264" s="58" t="s">
        <v>286</v>
      </c>
    </row>
    <row r="265" spans="1:5" x14ac:dyDescent="0.2">
      <c r="A265" s="58" t="s">
        <v>614</v>
      </c>
      <c r="B265" s="58" t="s">
        <v>938</v>
      </c>
      <c r="C265" s="58" t="s">
        <v>7</v>
      </c>
      <c r="D265" s="58" t="s">
        <v>601</v>
      </c>
      <c r="E265" s="58" t="s">
        <v>286</v>
      </c>
    </row>
    <row r="266" spans="1:5" x14ac:dyDescent="0.2">
      <c r="A266" s="58" t="s">
        <v>615</v>
      </c>
      <c r="B266" s="58" t="s">
        <v>939</v>
      </c>
      <c r="C266" s="58" t="s">
        <v>7</v>
      </c>
      <c r="D266" s="58" t="s">
        <v>601</v>
      </c>
      <c r="E266" s="58" t="s">
        <v>286</v>
      </c>
    </row>
    <row r="267" spans="1:5" x14ac:dyDescent="0.2">
      <c r="A267" s="58" t="s">
        <v>616</v>
      </c>
      <c r="B267" s="58" t="s">
        <v>37</v>
      </c>
      <c r="C267" s="58" t="s">
        <v>7</v>
      </c>
      <c r="D267" s="58" t="s">
        <v>601</v>
      </c>
      <c r="E267" s="58" t="s">
        <v>286</v>
      </c>
    </row>
    <row r="268" spans="1:5" x14ac:dyDescent="0.2">
      <c r="A268" s="58" t="s">
        <v>617</v>
      </c>
      <c r="B268" s="58" t="s">
        <v>940</v>
      </c>
      <c r="C268" s="58" t="s">
        <v>7</v>
      </c>
      <c r="D268" s="58" t="s">
        <v>601</v>
      </c>
      <c r="E268" s="58" t="s">
        <v>286</v>
      </c>
    </row>
    <row r="269" spans="1:5" x14ac:dyDescent="0.2">
      <c r="A269" s="58" t="s">
        <v>618</v>
      </c>
      <c r="B269" s="58" t="s">
        <v>941</v>
      </c>
      <c r="C269" s="58" t="s">
        <v>7</v>
      </c>
      <c r="D269" s="58" t="s">
        <v>601</v>
      </c>
      <c r="E269" s="58" t="s">
        <v>286</v>
      </c>
    </row>
    <row r="270" spans="1:5" x14ac:dyDescent="0.2">
      <c r="A270" s="58" t="s">
        <v>619</v>
      </c>
      <c r="B270" s="58" t="s">
        <v>942</v>
      </c>
      <c r="C270" s="58" t="s">
        <v>7</v>
      </c>
      <c r="D270" s="58" t="s">
        <v>601</v>
      </c>
      <c r="E270" s="58" t="s">
        <v>286</v>
      </c>
    </row>
    <row r="271" spans="1:5" x14ac:dyDescent="0.2">
      <c r="A271" s="58" t="s">
        <v>620</v>
      </c>
      <c r="B271" s="58" t="s">
        <v>38</v>
      </c>
      <c r="C271" s="58" t="s">
        <v>7</v>
      </c>
      <c r="D271" s="58" t="s">
        <v>601</v>
      </c>
      <c r="E271" s="58" t="s">
        <v>286</v>
      </c>
    </row>
    <row r="272" spans="1:5" x14ac:dyDescent="0.2">
      <c r="A272" s="58" t="s">
        <v>621</v>
      </c>
      <c r="B272" s="58" t="s">
        <v>943</v>
      </c>
      <c r="C272" s="58" t="s">
        <v>7</v>
      </c>
      <c r="D272" s="58" t="s">
        <v>601</v>
      </c>
      <c r="E272" s="58" t="s">
        <v>286</v>
      </c>
    </row>
    <row r="273" spans="1:5" x14ac:dyDescent="0.2">
      <c r="A273" s="58" t="s">
        <v>622</v>
      </c>
      <c r="B273" s="58" t="s">
        <v>944</v>
      </c>
      <c r="C273" s="58" t="s">
        <v>7</v>
      </c>
      <c r="D273" s="58" t="s">
        <v>601</v>
      </c>
      <c r="E273" s="58" t="s">
        <v>286</v>
      </c>
    </row>
    <row r="274" spans="1:5" x14ac:dyDescent="0.2">
      <c r="A274" s="58" t="s">
        <v>623</v>
      </c>
      <c r="B274" s="58" t="s">
        <v>39</v>
      </c>
      <c r="C274" s="58" t="s">
        <v>7</v>
      </c>
      <c r="D274" s="58" t="s">
        <v>601</v>
      </c>
      <c r="E274" s="58" t="s">
        <v>286</v>
      </c>
    </row>
    <row r="275" spans="1:5" x14ac:dyDescent="0.2">
      <c r="A275" s="58" t="s">
        <v>624</v>
      </c>
      <c r="B275" s="58" t="s">
        <v>40</v>
      </c>
      <c r="C275" s="58" t="s">
        <v>7</v>
      </c>
      <c r="D275" s="58" t="s">
        <v>601</v>
      </c>
      <c r="E275" s="58" t="s">
        <v>286</v>
      </c>
    </row>
    <row r="276" spans="1:5" x14ac:dyDescent="0.2">
      <c r="A276" s="58" t="s">
        <v>625</v>
      </c>
      <c r="B276" s="58" t="s">
        <v>945</v>
      </c>
      <c r="C276" s="58" t="s">
        <v>7</v>
      </c>
      <c r="D276" s="58" t="s">
        <v>601</v>
      </c>
      <c r="E276" s="58" t="s">
        <v>286</v>
      </c>
    </row>
    <row r="277" spans="1:5" x14ac:dyDescent="0.2">
      <c r="A277" s="58" t="s">
        <v>626</v>
      </c>
      <c r="B277" s="58" t="s">
        <v>41</v>
      </c>
      <c r="C277" s="58" t="s">
        <v>7</v>
      </c>
      <c r="D277" s="58" t="s">
        <v>601</v>
      </c>
      <c r="E277" s="58" t="s">
        <v>286</v>
      </c>
    </row>
    <row r="278" spans="1:5" x14ac:dyDescent="0.2">
      <c r="A278" s="58" t="s">
        <v>627</v>
      </c>
      <c r="B278" s="58" t="s">
        <v>946</v>
      </c>
      <c r="C278" s="58" t="s">
        <v>7</v>
      </c>
      <c r="D278" s="58" t="s">
        <v>601</v>
      </c>
      <c r="E278" s="58" t="s">
        <v>286</v>
      </c>
    </row>
    <row r="279" spans="1:5" x14ac:dyDescent="0.2">
      <c r="A279" s="58" t="s">
        <v>628</v>
      </c>
      <c r="B279" s="58" t="s">
        <v>947</v>
      </c>
      <c r="C279" s="58" t="s">
        <v>7</v>
      </c>
      <c r="D279" s="58" t="s">
        <v>601</v>
      </c>
      <c r="E279" s="58" t="s">
        <v>286</v>
      </c>
    </row>
    <row r="280" spans="1:5" x14ac:dyDescent="0.2">
      <c r="A280" s="58" t="s">
        <v>629</v>
      </c>
      <c r="B280" s="58" t="s">
        <v>948</v>
      </c>
      <c r="C280" s="58" t="s">
        <v>7</v>
      </c>
      <c r="D280" s="58" t="s">
        <v>601</v>
      </c>
      <c r="E280" s="58" t="s">
        <v>286</v>
      </c>
    </row>
    <row r="281" spans="1:5" x14ac:dyDescent="0.2">
      <c r="A281" s="58" t="s">
        <v>630</v>
      </c>
      <c r="B281" s="58" t="s">
        <v>949</v>
      </c>
      <c r="C281" s="58" t="s">
        <v>7</v>
      </c>
      <c r="D281" s="58" t="s">
        <v>601</v>
      </c>
      <c r="E281" s="58" t="s">
        <v>286</v>
      </c>
    </row>
    <row r="282" spans="1:5" x14ac:dyDescent="0.2">
      <c r="A282" s="58" t="s">
        <v>631</v>
      </c>
      <c r="B282" s="58" t="s">
        <v>950</v>
      </c>
      <c r="C282" s="58" t="s">
        <v>7</v>
      </c>
      <c r="D282" s="58" t="s">
        <v>601</v>
      </c>
      <c r="E282" s="58" t="s">
        <v>286</v>
      </c>
    </row>
    <row r="283" spans="1:5" x14ac:dyDescent="0.2">
      <c r="A283" s="58" t="s">
        <v>632</v>
      </c>
      <c r="B283" s="58" t="s">
        <v>951</v>
      </c>
      <c r="C283" s="58" t="s">
        <v>7</v>
      </c>
      <c r="D283" s="58" t="s">
        <v>601</v>
      </c>
      <c r="E283" s="58" t="s">
        <v>286</v>
      </c>
    </row>
    <row r="284" spans="1:5" x14ac:dyDescent="0.2">
      <c r="A284" s="58" t="s">
        <v>633</v>
      </c>
      <c r="B284" s="58" t="s">
        <v>952</v>
      </c>
      <c r="C284" s="58" t="s">
        <v>7</v>
      </c>
      <c r="D284" s="58" t="s">
        <v>601</v>
      </c>
      <c r="E284" s="58" t="s">
        <v>286</v>
      </c>
    </row>
    <row r="285" spans="1:5" x14ac:dyDescent="0.2">
      <c r="A285" s="58" t="s">
        <v>634</v>
      </c>
      <c r="B285" s="58" t="s">
        <v>953</v>
      </c>
      <c r="C285" s="58" t="s">
        <v>7</v>
      </c>
      <c r="D285" s="58" t="s">
        <v>601</v>
      </c>
      <c r="E285" s="58" t="s">
        <v>286</v>
      </c>
    </row>
    <row r="286" spans="1:5" x14ac:dyDescent="0.2">
      <c r="A286" s="58" t="s">
        <v>635</v>
      </c>
      <c r="B286" s="58" t="s">
        <v>954</v>
      </c>
      <c r="C286" s="58" t="s">
        <v>7</v>
      </c>
      <c r="D286" s="58" t="s">
        <v>601</v>
      </c>
      <c r="E286" s="58" t="s">
        <v>286</v>
      </c>
    </row>
    <row r="287" spans="1:5" x14ac:dyDescent="0.2">
      <c r="A287" s="58" t="s">
        <v>636</v>
      </c>
      <c r="B287" s="58" t="s">
        <v>955</v>
      </c>
      <c r="C287" s="58" t="s">
        <v>7</v>
      </c>
      <c r="D287" s="58" t="s">
        <v>601</v>
      </c>
      <c r="E287" s="58" t="s">
        <v>286</v>
      </c>
    </row>
    <row r="288" spans="1:5" x14ac:dyDescent="0.2">
      <c r="A288" s="58" t="s">
        <v>637</v>
      </c>
      <c r="B288" s="58" t="s">
        <v>956</v>
      </c>
      <c r="C288" s="58" t="s">
        <v>7</v>
      </c>
      <c r="D288" s="58" t="s">
        <v>601</v>
      </c>
      <c r="E288" s="58" t="s">
        <v>286</v>
      </c>
    </row>
    <row r="289" spans="1:5" x14ac:dyDescent="0.2">
      <c r="A289" s="58" t="s">
        <v>638</v>
      </c>
      <c r="B289" s="58" t="s">
        <v>957</v>
      </c>
      <c r="C289" s="58" t="s">
        <v>7</v>
      </c>
      <c r="D289" s="58" t="s">
        <v>601</v>
      </c>
      <c r="E289" s="58" t="s">
        <v>286</v>
      </c>
    </row>
    <row r="290" spans="1:5" x14ac:dyDescent="0.2">
      <c r="A290" s="58" t="s">
        <v>639</v>
      </c>
      <c r="B290" s="58" t="s">
        <v>958</v>
      </c>
      <c r="C290" s="58" t="s">
        <v>7</v>
      </c>
      <c r="D290" s="58" t="s">
        <v>601</v>
      </c>
      <c r="E290" s="58" t="s">
        <v>286</v>
      </c>
    </row>
    <row r="291" spans="1:5" x14ac:dyDescent="0.2">
      <c r="A291" s="58" t="s">
        <v>640</v>
      </c>
      <c r="B291" s="58" t="s">
        <v>959</v>
      </c>
      <c r="C291" s="58" t="s">
        <v>7</v>
      </c>
      <c r="D291" s="58" t="s">
        <v>601</v>
      </c>
      <c r="E291" s="58" t="s">
        <v>286</v>
      </c>
    </row>
    <row r="292" spans="1:5" x14ac:dyDescent="0.2">
      <c r="A292" s="58" t="s">
        <v>641</v>
      </c>
      <c r="B292" s="58" t="s">
        <v>960</v>
      </c>
      <c r="C292" s="58" t="s">
        <v>7</v>
      </c>
      <c r="D292" s="58" t="s">
        <v>601</v>
      </c>
      <c r="E292" s="58" t="s">
        <v>286</v>
      </c>
    </row>
    <row r="293" spans="1:5" x14ac:dyDescent="0.2">
      <c r="A293" s="58" t="s">
        <v>642</v>
      </c>
      <c r="B293" s="58" t="s">
        <v>961</v>
      </c>
      <c r="C293" s="58" t="s">
        <v>7</v>
      </c>
      <c r="D293" s="58" t="s">
        <v>601</v>
      </c>
      <c r="E293" s="58" t="s">
        <v>286</v>
      </c>
    </row>
    <row r="294" spans="1:5" x14ac:dyDescent="0.2">
      <c r="A294" s="58" t="s">
        <v>644</v>
      </c>
      <c r="B294" s="58" t="s">
        <v>962</v>
      </c>
      <c r="C294" s="58" t="s">
        <v>7</v>
      </c>
      <c r="D294" s="58" t="s">
        <v>601</v>
      </c>
      <c r="E294" s="58" t="s">
        <v>286</v>
      </c>
    </row>
    <row r="295" spans="1:5" x14ac:dyDescent="0.2">
      <c r="A295" s="58" t="s">
        <v>645</v>
      </c>
      <c r="B295" s="58" t="s">
        <v>42</v>
      </c>
      <c r="C295" s="58" t="s">
        <v>7</v>
      </c>
      <c r="D295" s="58" t="s">
        <v>601</v>
      </c>
      <c r="E295" s="58" t="s">
        <v>286</v>
      </c>
    </row>
    <row r="296" spans="1:5" x14ac:dyDescent="0.2">
      <c r="A296" s="58" t="s">
        <v>646</v>
      </c>
      <c r="B296" s="58" t="s">
        <v>43</v>
      </c>
      <c r="C296" s="58" t="s">
        <v>7</v>
      </c>
      <c r="D296" s="58" t="s">
        <v>601</v>
      </c>
      <c r="E296" s="58" t="s">
        <v>286</v>
      </c>
    </row>
    <row r="297" spans="1:5" x14ac:dyDescent="0.2">
      <c r="A297" s="58" t="s">
        <v>647</v>
      </c>
      <c r="B297" s="58" t="s">
        <v>44</v>
      </c>
      <c r="C297" s="58" t="s">
        <v>7</v>
      </c>
      <c r="D297" s="58" t="s">
        <v>601</v>
      </c>
      <c r="E297" s="58" t="s">
        <v>286</v>
      </c>
    </row>
    <row r="298" spans="1:5" x14ac:dyDescent="0.2">
      <c r="A298" s="58" t="s">
        <v>648</v>
      </c>
      <c r="B298" s="58" t="s">
        <v>45</v>
      </c>
      <c r="C298" s="58" t="s">
        <v>7</v>
      </c>
      <c r="D298" s="58" t="s">
        <v>601</v>
      </c>
      <c r="E298" s="58" t="s">
        <v>286</v>
      </c>
    </row>
    <row r="299" spans="1:5" x14ac:dyDescent="0.2">
      <c r="A299" s="58" t="s">
        <v>649</v>
      </c>
      <c r="B299" s="58" t="s">
        <v>643</v>
      </c>
      <c r="C299" s="58" t="s">
        <v>7</v>
      </c>
      <c r="D299" s="58" t="s">
        <v>601</v>
      </c>
      <c r="E299" s="58" t="s">
        <v>286</v>
      </c>
    </row>
    <row r="300" spans="1:5" x14ac:dyDescent="0.2">
      <c r="A300" s="58" t="s">
        <v>650</v>
      </c>
      <c r="B300" s="58" t="s">
        <v>46</v>
      </c>
      <c r="C300" s="58" t="s">
        <v>7</v>
      </c>
      <c r="D300" s="58" t="s">
        <v>601</v>
      </c>
      <c r="E300" s="58" t="s">
        <v>286</v>
      </c>
    </row>
    <row r="301" spans="1:5" x14ac:dyDescent="0.2">
      <c r="A301" s="58" t="s">
        <v>651</v>
      </c>
      <c r="B301" s="58" t="s">
        <v>47</v>
      </c>
      <c r="C301" s="58" t="s">
        <v>7</v>
      </c>
      <c r="D301" s="58" t="s">
        <v>601</v>
      </c>
      <c r="E301" s="58" t="s">
        <v>286</v>
      </c>
    </row>
    <row r="302" spans="1:5" x14ac:dyDescent="0.2">
      <c r="A302" s="58" t="s">
        <v>652</v>
      </c>
      <c r="B302" s="58" t="s">
        <v>48</v>
      </c>
      <c r="C302" s="58" t="s">
        <v>7</v>
      </c>
      <c r="D302" s="58" t="s">
        <v>601</v>
      </c>
      <c r="E302" s="58" t="s">
        <v>286</v>
      </c>
    </row>
    <row r="303" spans="1:5" x14ac:dyDescent="0.2">
      <c r="A303" s="58" t="s">
        <v>653</v>
      </c>
      <c r="B303" s="58" t="s">
        <v>741</v>
      </c>
      <c r="C303" s="58" t="s">
        <v>7</v>
      </c>
      <c r="D303" s="58" t="s">
        <v>601</v>
      </c>
      <c r="E303" s="58" t="s">
        <v>286</v>
      </c>
    </row>
    <row r="304" spans="1:5" x14ac:dyDescent="0.2">
      <c r="A304" s="58" t="s">
        <v>654</v>
      </c>
      <c r="B304" s="58" t="s">
        <v>49</v>
      </c>
      <c r="C304" s="58" t="s">
        <v>7</v>
      </c>
      <c r="D304" s="58" t="s">
        <v>601</v>
      </c>
      <c r="E304" s="58" t="s">
        <v>286</v>
      </c>
    </row>
    <row r="305" spans="1:5" x14ac:dyDescent="0.2">
      <c r="A305" s="58" t="s">
        <v>655</v>
      </c>
      <c r="B305" s="58" t="s">
        <v>50</v>
      </c>
      <c r="C305" s="58" t="s">
        <v>7</v>
      </c>
      <c r="D305" s="58" t="s">
        <v>601</v>
      </c>
      <c r="E305" s="58" t="s">
        <v>286</v>
      </c>
    </row>
    <row r="306" spans="1:5" x14ac:dyDescent="0.2">
      <c r="A306" s="58" t="s">
        <v>656</v>
      </c>
      <c r="B306" s="58" t="s">
        <v>51</v>
      </c>
      <c r="C306" s="58" t="s">
        <v>7</v>
      </c>
      <c r="D306" s="58" t="s">
        <v>601</v>
      </c>
      <c r="E306" s="58" t="s">
        <v>286</v>
      </c>
    </row>
    <row r="307" spans="1:5" x14ac:dyDescent="0.2">
      <c r="A307" s="58" t="s">
        <v>657</v>
      </c>
      <c r="B307" s="58" t="s">
        <v>963</v>
      </c>
      <c r="C307" s="58" t="s">
        <v>7</v>
      </c>
      <c r="D307" s="58" t="s">
        <v>601</v>
      </c>
      <c r="E307" s="58" t="s">
        <v>286</v>
      </c>
    </row>
    <row r="308" spans="1:5" x14ac:dyDescent="0.2">
      <c r="A308" s="58" t="s">
        <v>658</v>
      </c>
      <c r="B308" s="58" t="s">
        <v>52</v>
      </c>
      <c r="C308" s="58" t="s">
        <v>7</v>
      </c>
      <c r="D308" s="58" t="s">
        <v>601</v>
      </c>
      <c r="E308" s="58" t="s">
        <v>286</v>
      </c>
    </row>
    <row r="309" spans="1:5" x14ac:dyDescent="0.2">
      <c r="A309" s="58" t="s">
        <v>660</v>
      </c>
      <c r="B309" s="58" t="s">
        <v>53</v>
      </c>
      <c r="C309" s="58" t="s">
        <v>7</v>
      </c>
      <c r="D309" s="58" t="s">
        <v>601</v>
      </c>
      <c r="E309" s="58" t="s">
        <v>286</v>
      </c>
    </row>
    <row r="310" spans="1:5" x14ac:dyDescent="0.2">
      <c r="A310" s="58" t="s">
        <v>964</v>
      </c>
      <c r="B310" s="58" t="s">
        <v>54</v>
      </c>
      <c r="C310" s="58" t="s">
        <v>7</v>
      </c>
      <c r="D310" s="58" t="s">
        <v>601</v>
      </c>
      <c r="E310" s="58" t="s">
        <v>286</v>
      </c>
    </row>
    <row r="311" spans="1:5" x14ac:dyDescent="0.2">
      <c r="A311" s="58" t="s">
        <v>965</v>
      </c>
      <c r="B311" s="58" t="s">
        <v>55</v>
      </c>
      <c r="C311" s="58" t="s">
        <v>7</v>
      </c>
      <c r="D311" s="58" t="s">
        <v>601</v>
      </c>
      <c r="E311" s="58" t="s">
        <v>286</v>
      </c>
    </row>
    <row r="312" spans="1:5" x14ac:dyDescent="0.2">
      <c r="A312" s="58" t="s">
        <v>966</v>
      </c>
      <c r="B312" s="58" t="s">
        <v>56</v>
      </c>
      <c r="C312" s="58" t="s">
        <v>7</v>
      </c>
      <c r="D312" s="58" t="s">
        <v>601</v>
      </c>
      <c r="E312" s="58" t="s">
        <v>286</v>
      </c>
    </row>
    <row r="313" spans="1:5" x14ac:dyDescent="0.2">
      <c r="A313" s="58" t="s">
        <v>967</v>
      </c>
      <c r="B313" s="58" t="s">
        <v>57</v>
      </c>
      <c r="C313" s="58" t="s">
        <v>7</v>
      </c>
      <c r="D313" s="58" t="s">
        <v>601</v>
      </c>
      <c r="E313" s="58" t="s">
        <v>286</v>
      </c>
    </row>
    <row r="314" spans="1:5" x14ac:dyDescent="0.2">
      <c r="A314" s="58" t="s">
        <v>968</v>
      </c>
      <c r="B314" s="58" t="s">
        <v>659</v>
      </c>
      <c r="C314" s="58" t="s">
        <v>7</v>
      </c>
      <c r="D314" s="58" t="s">
        <v>601</v>
      </c>
      <c r="E314" s="58" t="s">
        <v>286</v>
      </c>
    </row>
    <row r="315" spans="1:5" x14ac:dyDescent="0.2">
      <c r="A315" s="58" t="s">
        <v>969</v>
      </c>
      <c r="B315" s="58" t="s">
        <v>661</v>
      </c>
      <c r="C315" s="58" t="s">
        <v>7</v>
      </c>
      <c r="D315" s="58" t="s">
        <v>601</v>
      </c>
      <c r="E315" s="58" t="s">
        <v>286</v>
      </c>
    </row>
    <row r="316" spans="1:5" x14ac:dyDescent="0.2">
      <c r="A316" s="58" t="s">
        <v>664</v>
      </c>
      <c r="B316" s="58" t="s">
        <v>248</v>
      </c>
      <c r="C316" s="58" t="s">
        <v>7</v>
      </c>
      <c r="D316" s="58" t="s">
        <v>665</v>
      </c>
      <c r="E316" s="58" t="s">
        <v>286</v>
      </c>
    </row>
    <row r="317" spans="1:5" x14ac:dyDescent="0.2">
      <c r="A317" s="58" t="s">
        <v>666</v>
      </c>
      <c r="B317" s="58" t="s">
        <v>249</v>
      </c>
      <c r="C317" s="58" t="s">
        <v>7</v>
      </c>
      <c r="D317" s="58" t="s">
        <v>665</v>
      </c>
      <c r="E317" s="58" t="s">
        <v>286</v>
      </c>
    </row>
    <row r="318" spans="1:5" x14ac:dyDescent="0.2">
      <c r="A318" s="58" t="s">
        <v>667</v>
      </c>
      <c r="B318" s="58" t="s">
        <v>250</v>
      </c>
      <c r="C318" s="58" t="s">
        <v>7</v>
      </c>
      <c r="D318" s="58" t="s">
        <v>665</v>
      </c>
      <c r="E318" s="58" t="s">
        <v>286</v>
      </c>
    </row>
    <row r="319" spans="1:5" x14ac:dyDescent="0.2">
      <c r="A319" s="58" t="s">
        <v>668</v>
      </c>
      <c r="B319" s="58" t="s">
        <v>251</v>
      </c>
      <c r="C319" s="58" t="s">
        <v>7</v>
      </c>
      <c r="D319" s="58" t="s">
        <v>665</v>
      </c>
      <c r="E319" s="58" t="s">
        <v>286</v>
      </c>
    </row>
    <row r="320" spans="1:5" x14ac:dyDescent="0.2">
      <c r="A320" s="58" t="s">
        <v>669</v>
      </c>
      <c r="B320" s="58" t="s">
        <v>252</v>
      </c>
      <c r="C320" s="58" t="s">
        <v>7</v>
      </c>
      <c r="D320" s="58" t="s">
        <v>665</v>
      </c>
      <c r="E320" s="58" t="s">
        <v>286</v>
      </c>
    </row>
    <row r="321" spans="1:5" x14ac:dyDescent="0.2">
      <c r="A321" s="58" t="s">
        <v>670</v>
      </c>
      <c r="B321" s="58" t="s">
        <v>253</v>
      </c>
      <c r="C321" s="58" t="s">
        <v>7</v>
      </c>
      <c r="D321" s="58" t="s">
        <v>665</v>
      </c>
      <c r="E321" s="58" t="s">
        <v>286</v>
      </c>
    </row>
    <row r="322" spans="1:5" x14ac:dyDescent="0.2">
      <c r="A322" s="58" t="s">
        <v>671</v>
      </c>
      <c r="B322" s="58" t="s">
        <v>254</v>
      </c>
      <c r="C322" s="58" t="s">
        <v>7</v>
      </c>
      <c r="D322" s="58" t="s">
        <v>665</v>
      </c>
      <c r="E322" s="58" t="s">
        <v>286</v>
      </c>
    </row>
    <row r="323" spans="1:5" x14ac:dyDescent="0.2">
      <c r="A323" s="58" t="s">
        <v>672</v>
      </c>
      <c r="B323" s="58" t="s">
        <v>255</v>
      </c>
      <c r="C323" s="58" t="s">
        <v>7</v>
      </c>
      <c r="D323" s="58" t="s">
        <v>665</v>
      </c>
      <c r="E323" s="58" t="s">
        <v>286</v>
      </c>
    </row>
    <row r="324" spans="1:5" x14ac:dyDescent="0.2">
      <c r="A324" s="58" t="s">
        <v>673</v>
      </c>
      <c r="B324" s="58" t="s">
        <v>256</v>
      </c>
      <c r="C324" s="58" t="s">
        <v>7</v>
      </c>
      <c r="D324" s="58" t="s">
        <v>665</v>
      </c>
      <c r="E324" s="58" t="s">
        <v>286</v>
      </c>
    </row>
    <row r="325" spans="1:5" x14ac:dyDescent="0.2">
      <c r="A325" s="58" t="s">
        <v>674</v>
      </c>
      <c r="B325" s="58" t="s">
        <v>257</v>
      </c>
      <c r="C325" s="58" t="s">
        <v>7</v>
      </c>
      <c r="D325" s="58" t="s">
        <v>665</v>
      </c>
      <c r="E325" s="58" t="s">
        <v>286</v>
      </c>
    </row>
    <row r="326" spans="1:5" x14ac:dyDescent="0.2">
      <c r="A326" s="58" t="s">
        <v>675</v>
      </c>
      <c r="B326" s="58" t="s">
        <v>258</v>
      </c>
      <c r="C326" s="58" t="s">
        <v>7</v>
      </c>
      <c r="D326" s="58" t="s">
        <v>665</v>
      </c>
      <c r="E326" s="58" t="s">
        <v>286</v>
      </c>
    </row>
    <row r="327" spans="1:5" x14ac:dyDescent="0.2">
      <c r="A327" s="58" t="s">
        <v>676</v>
      </c>
      <c r="B327" s="58" t="s">
        <v>259</v>
      </c>
      <c r="C327" s="58" t="s">
        <v>7</v>
      </c>
      <c r="D327" s="58" t="s">
        <v>665</v>
      </c>
      <c r="E327" s="58" t="s">
        <v>286</v>
      </c>
    </row>
    <row r="328" spans="1:5" x14ac:dyDescent="0.2">
      <c r="A328" s="58" t="s">
        <v>677</v>
      </c>
      <c r="B328" s="58" t="s">
        <v>260</v>
      </c>
      <c r="C328" s="58" t="s">
        <v>7</v>
      </c>
      <c r="D328" s="58" t="s">
        <v>665</v>
      </c>
      <c r="E328" s="58" t="s">
        <v>286</v>
      </c>
    </row>
    <row r="329" spans="1:5" x14ac:dyDescent="0.2">
      <c r="A329" s="58" t="s">
        <v>678</v>
      </c>
      <c r="B329" s="58" t="s">
        <v>261</v>
      </c>
      <c r="C329" s="58" t="s">
        <v>7</v>
      </c>
      <c r="D329" s="58" t="s">
        <v>665</v>
      </c>
      <c r="E329" s="58" t="s">
        <v>286</v>
      </c>
    </row>
    <row r="330" spans="1:5" x14ac:dyDescent="0.2">
      <c r="A330" s="58" t="s">
        <v>679</v>
      </c>
      <c r="B330" s="58" t="s">
        <v>262</v>
      </c>
      <c r="C330" s="58" t="s">
        <v>7</v>
      </c>
      <c r="D330" s="58" t="s">
        <v>665</v>
      </c>
      <c r="E330" s="58" t="s">
        <v>286</v>
      </c>
    </row>
    <row r="331" spans="1:5" x14ac:dyDescent="0.2">
      <c r="A331" s="58" t="s">
        <v>680</v>
      </c>
      <c r="B331" s="58" t="s">
        <v>263</v>
      </c>
      <c r="C331" s="58" t="s">
        <v>7</v>
      </c>
      <c r="D331" s="58" t="s">
        <v>665</v>
      </c>
      <c r="E331" s="58" t="s">
        <v>286</v>
      </c>
    </row>
    <row r="332" spans="1:5" x14ac:dyDescent="0.2">
      <c r="A332" s="58" t="s">
        <v>681</v>
      </c>
      <c r="B332" s="58" t="s">
        <v>264</v>
      </c>
      <c r="C332" s="58" t="s">
        <v>7</v>
      </c>
      <c r="D332" s="58" t="s">
        <v>665</v>
      </c>
      <c r="E332" s="58" t="s">
        <v>286</v>
      </c>
    </row>
    <row r="333" spans="1:5" x14ac:dyDescent="0.2">
      <c r="A333" s="58" t="s">
        <v>682</v>
      </c>
      <c r="B333" s="58" t="s">
        <v>683</v>
      </c>
      <c r="C333" s="58" t="s">
        <v>7</v>
      </c>
      <c r="D333" s="58" t="s">
        <v>665</v>
      </c>
      <c r="E333" s="58" t="s">
        <v>286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72D-F8CD-471C-8BE8-86BAE3151E54}">
  <sheetPr codeName="Sheet6">
    <tabColor theme="4"/>
  </sheetPr>
  <dimension ref="A1:D31"/>
  <sheetViews>
    <sheetView zoomScale="85" zoomScaleNormal="85" workbookViewId="0">
      <selection activeCell="A3" sqref="A3"/>
    </sheetView>
  </sheetViews>
  <sheetFormatPr defaultRowHeight="12.75" x14ac:dyDescent="0.2"/>
  <cols>
    <col min="1" max="1" width="10.28515625" bestFit="1" customWidth="1"/>
    <col min="2" max="2" width="13.42578125" bestFit="1" customWidth="1"/>
    <col min="3" max="3" width="13.5703125" bestFit="1" customWidth="1"/>
    <col min="4" max="4" width="14.28515625" bestFit="1" customWidth="1"/>
  </cols>
  <sheetData>
    <row r="1" spans="1:4" x14ac:dyDescent="0.2">
      <c r="A1" t="s">
        <v>283</v>
      </c>
      <c r="B1" t="s">
        <v>288</v>
      </c>
      <c r="C1" t="s">
        <v>284</v>
      </c>
      <c r="D1" t="s">
        <v>289</v>
      </c>
    </row>
    <row r="2" spans="1:4" x14ac:dyDescent="0.2">
      <c r="A2" t="s">
        <v>327</v>
      </c>
      <c r="B2" t="s">
        <v>10</v>
      </c>
    </row>
    <row r="3" spans="1:4" x14ac:dyDescent="0.2">
      <c r="A3" t="s">
        <v>351</v>
      </c>
      <c r="B3" t="s">
        <v>684</v>
      </c>
      <c r="C3" t="s">
        <v>286</v>
      </c>
      <c r="D3" t="s">
        <v>286</v>
      </c>
    </row>
    <row r="4" spans="1:4" x14ac:dyDescent="0.2">
      <c r="A4" t="s">
        <v>351</v>
      </c>
      <c r="B4" t="s">
        <v>684</v>
      </c>
      <c r="C4" t="s">
        <v>285</v>
      </c>
      <c r="D4" t="s">
        <v>685</v>
      </c>
    </row>
    <row r="5" spans="1:4" x14ac:dyDescent="0.2">
      <c r="A5" t="s">
        <v>351</v>
      </c>
      <c r="B5" t="s">
        <v>684</v>
      </c>
      <c r="C5" t="s">
        <v>397</v>
      </c>
      <c r="D5" t="s">
        <v>291</v>
      </c>
    </row>
    <row r="6" spans="1:4" x14ac:dyDescent="0.2">
      <c r="A6" t="s">
        <v>351</v>
      </c>
      <c r="B6" t="s">
        <v>684</v>
      </c>
      <c r="C6" t="s">
        <v>458</v>
      </c>
      <c r="D6" t="s">
        <v>290</v>
      </c>
    </row>
    <row r="7" spans="1:4" x14ac:dyDescent="0.2">
      <c r="A7" t="s">
        <v>351</v>
      </c>
      <c r="B7" t="s">
        <v>684</v>
      </c>
      <c r="C7" t="s">
        <v>362</v>
      </c>
      <c r="D7" t="s">
        <v>686</v>
      </c>
    </row>
    <row r="8" spans="1:4" x14ac:dyDescent="0.2">
      <c r="A8" t="s">
        <v>351</v>
      </c>
      <c r="B8" t="s">
        <v>684</v>
      </c>
      <c r="C8" t="s">
        <v>475</v>
      </c>
      <c r="D8" t="s">
        <v>292</v>
      </c>
    </row>
    <row r="9" spans="1:4" x14ac:dyDescent="0.2">
      <c r="A9" t="s">
        <v>351</v>
      </c>
      <c r="B9" t="s">
        <v>684</v>
      </c>
      <c r="C9" t="s">
        <v>687</v>
      </c>
      <c r="D9" t="s">
        <v>688</v>
      </c>
    </row>
    <row r="10" spans="1:4" x14ac:dyDescent="0.2">
      <c r="A10" t="s">
        <v>351</v>
      </c>
      <c r="B10" t="s">
        <v>684</v>
      </c>
      <c r="C10" t="s">
        <v>365</v>
      </c>
      <c r="D10" t="s">
        <v>689</v>
      </c>
    </row>
    <row r="11" spans="1:4" x14ac:dyDescent="0.2">
      <c r="A11" t="s">
        <v>351</v>
      </c>
      <c r="B11" t="s">
        <v>684</v>
      </c>
      <c r="C11" t="s">
        <v>392</v>
      </c>
      <c r="D11" t="s">
        <v>690</v>
      </c>
    </row>
    <row r="12" spans="1:4" x14ac:dyDescent="0.2">
      <c r="A12" t="s">
        <v>351</v>
      </c>
      <c r="B12" t="s">
        <v>684</v>
      </c>
      <c r="C12" t="s">
        <v>287</v>
      </c>
      <c r="D12" t="s">
        <v>691</v>
      </c>
    </row>
    <row r="13" spans="1:4" x14ac:dyDescent="0.2">
      <c r="A13" t="s">
        <v>351</v>
      </c>
      <c r="B13" t="s">
        <v>684</v>
      </c>
      <c r="C13" t="s">
        <v>692</v>
      </c>
      <c r="D13" t="s">
        <v>693</v>
      </c>
    </row>
    <row r="14" spans="1:4" x14ac:dyDescent="0.2">
      <c r="A14" t="s">
        <v>351</v>
      </c>
      <c r="B14" t="s">
        <v>684</v>
      </c>
      <c r="C14" t="s">
        <v>694</v>
      </c>
      <c r="D14" t="s">
        <v>695</v>
      </c>
    </row>
    <row r="15" spans="1:4" x14ac:dyDescent="0.2">
      <c r="A15" t="s">
        <v>351</v>
      </c>
      <c r="B15" t="s">
        <v>684</v>
      </c>
      <c r="C15" t="s">
        <v>696</v>
      </c>
      <c r="D15" t="s">
        <v>697</v>
      </c>
    </row>
    <row r="16" spans="1:4" x14ac:dyDescent="0.2">
      <c r="A16" t="s">
        <v>351</v>
      </c>
      <c r="B16" t="s">
        <v>684</v>
      </c>
      <c r="C16" t="s">
        <v>446</v>
      </c>
      <c r="D16" t="s">
        <v>698</v>
      </c>
    </row>
    <row r="17" spans="1:4" x14ac:dyDescent="0.2">
      <c r="A17" t="s">
        <v>477</v>
      </c>
      <c r="B17" t="s">
        <v>707</v>
      </c>
    </row>
    <row r="18" spans="1:4" x14ac:dyDescent="0.2">
      <c r="A18" t="s">
        <v>482</v>
      </c>
      <c r="B18" t="s">
        <v>14</v>
      </c>
    </row>
    <row r="19" spans="1:4" x14ac:dyDescent="0.2">
      <c r="A19" t="s">
        <v>581</v>
      </c>
      <c r="B19" t="s">
        <v>708</v>
      </c>
    </row>
    <row r="20" spans="1:4" x14ac:dyDescent="0.2">
      <c r="A20" t="s">
        <v>592</v>
      </c>
      <c r="B20" t="s">
        <v>709</v>
      </c>
    </row>
    <row r="21" spans="1:4" x14ac:dyDescent="0.2">
      <c r="A21" t="s">
        <v>892</v>
      </c>
      <c r="B21" t="s">
        <v>893</v>
      </c>
      <c r="C21" t="s">
        <v>662</v>
      </c>
      <c r="D21" t="s">
        <v>699</v>
      </c>
    </row>
    <row r="22" spans="1:4" x14ac:dyDescent="0.2">
      <c r="A22" t="s">
        <v>892</v>
      </c>
      <c r="B22" t="s">
        <v>893</v>
      </c>
      <c r="C22" t="s">
        <v>700</v>
      </c>
      <c r="D22" t="s">
        <v>701</v>
      </c>
    </row>
    <row r="23" spans="1:4" x14ac:dyDescent="0.2">
      <c r="A23" t="s">
        <v>892</v>
      </c>
      <c r="B23" t="s">
        <v>893</v>
      </c>
      <c r="C23" t="s">
        <v>663</v>
      </c>
      <c r="D23" t="s">
        <v>702</v>
      </c>
    </row>
    <row r="24" spans="1:4" x14ac:dyDescent="0.2">
      <c r="A24" t="s">
        <v>892</v>
      </c>
      <c r="B24" t="s">
        <v>893</v>
      </c>
      <c r="C24" t="s">
        <v>703</v>
      </c>
      <c r="D24" t="s">
        <v>704</v>
      </c>
    </row>
    <row r="25" spans="1:4" x14ac:dyDescent="0.2">
      <c r="A25" t="s">
        <v>892</v>
      </c>
      <c r="B25" t="s">
        <v>893</v>
      </c>
      <c r="C25" t="s">
        <v>705</v>
      </c>
      <c r="D25" t="s">
        <v>706</v>
      </c>
    </row>
    <row r="26" spans="1:4" x14ac:dyDescent="0.2">
      <c r="A26" t="s">
        <v>892</v>
      </c>
      <c r="B26" t="s">
        <v>893</v>
      </c>
      <c r="C26" t="s">
        <v>895</v>
      </c>
      <c r="D26" t="s">
        <v>894</v>
      </c>
    </row>
    <row r="27" spans="1:4" x14ac:dyDescent="0.2">
      <c r="A27" t="s">
        <v>892</v>
      </c>
      <c r="B27" t="s">
        <v>893</v>
      </c>
      <c r="C27" t="s">
        <v>713</v>
      </c>
      <c r="D27" t="s">
        <v>714</v>
      </c>
    </row>
    <row r="28" spans="1:4" x14ac:dyDescent="0.2">
      <c r="A28" t="s">
        <v>710</v>
      </c>
      <c r="B28" t="s">
        <v>711</v>
      </c>
    </row>
    <row r="29" spans="1:4" x14ac:dyDescent="0.2">
      <c r="A29" t="s">
        <v>601</v>
      </c>
      <c r="B29" t="s">
        <v>6</v>
      </c>
    </row>
    <row r="30" spans="1:4" x14ac:dyDescent="0.2">
      <c r="A30" t="s">
        <v>895</v>
      </c>
      <c r="B30" t="s">
        <v>894</v>
      </c>
    </row>
    <row r="31" spans="1:4" x14ac:dyDescent="0.2">
      <c r="A31" t="s">
        <v>665</v>
      </c>
      <c r="B31" t="s">
        <v>712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89F7-9F2E-4663-B1AA-8A9897660948}">
  <sheetPr codeName="Sheet9">
    <tabColor theme="4"/>
  </sheetPr>
  <dimension ref="A1:B4"/>
  <sheetViews>
    <sheetView zoomScale="85" zoomScaleNormal="85" workbookViewId="0">
      <selection activeCell="A3" sqref="A3"/>
    </sheetView>
  </sheetViews>
  <sheetFormatPr defaultRowHeight="12.75" x14ac:dyDescent="0.2"/>
  <cols>
    <col min="1" max="1" width="9.85546875" bestFit="1" customWidth="1"/>
    <col min="2" max="2" width="12.5703125" bestFit="1" customWidth="1"/>
  </cols>
  <sheetData>
    <row r="1" spans="1:2" x14ac:dyDescent="0.2">
      <c r="A1" t="s">
        <v>282</v>
      </c>
      <c r="B1" t="s">
        <v>293</v>
      </c>
    </row>
    <row r="2" spans="1:2" x14ac:dyDescent="0.2">
      <c r="A2" t="s">
        <v>11</v>
      </c>
      <c r="B2" t="s">
        <v>294</v>
      </c>
    </row>
    <row r="3" spans="1:2" x14ac:dyDescent="0.2">
      <c r="A3" t="s">
        <v>7</v>
      </c>
      <c r="B3" t="s">
        <v>295</v>
      </c>
    </row>
    <row r="4" spans="1:2" x14ac:dyDescent="0.2">
      <c r="A4" t="s">
        <v>361</v>
      </c>
      <c r="B4" t="s">
        <v>715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B7ED-D6C9-4911-9D7B-6ABB29552E0F}">
  <sheetPr codeName="Sheet8">
    <tabColor theme="4"/>
  </sheetPr>
  <dimension ref="A1:B5"/>
  <sheetViews>
    <sheetView zoomScale="85" zoomScaleNormal="85" workbookViewId="0">
      <selection activeCell="A15" sqref="A15"/>
    </sheetView>
  </sheetViews>
  <sheetFormatPr defaultRowHeight="12.75" x14ac:dyDescent="0.2"/>
  <cols>
    <col min="1" max="1" width="13.85546875" bestFit="1" customWidth="1"/>
    <col min="2" max="2" width="14.5703125" bestFit="1" customWidth="1"/>
  </cols>
  <sheetData>
    <row r="1" spans="1:2" x14ac:dyDescent="0.2">
      <c r="A1" t="s">
        <v>277</v>
      </c>
      <c r="B1" t="s">
        <v>316</v>
      </c>
    </row>
    <row r="2" spans="1:2" x14ac:dyDescent="0.2">
      <c r="A2" t="s">
        <v>909</v>
      </c>
      <c r="B2" t="s">
        <v>903</v>
      </c>
    </row>
    <row r="3" spans="1:2" x14ac:dyDescent="0.2">
      <c r="A3" t="s">
        <v>910</v>
      </c>
      <c r="B3" t="s">
        <v>904</v>
      </c>
    </row>
    <row r="4" spans="1:2" x14ac:dyDescent="0.2">
      <c r="A4" t="s">
        <v>911</v>
      </c>
      <c r="B4" t="s">
        <v>905</v>
      </c>
    </row>
    <row r="5" spans="1:2" x14ac:dyDescent="0.2">
      <c r="A5" t="s">
        <v>912</v>
      </c>
      <c r="B5" t="s">
        <v>902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0"/>
  <sheetViews>
    <sheetView topLeftCell="A11" workbookViewId="0">
      <selection activeCell="H30" sqref="H30"/>
    </sheetView>
  </sheetViews>
  <sheetFormatPr defaultColWidth="12.5703125" defaultRowHeight="15.75" customHeight="1" x14ac:dyDescent="0.2"/>
  <cols>
    <col min="1" max="1" width="29.42578125" style="1" customWidth="1"/>
    <col min="2" max="2" width="22.42578125" style="1" bestFit="1" customWidth="1"/>
    <col min="3" max="7" width="12.5703125" style="1"/>
    <col min="8" max="8" width="54" style="1" bestFit="1" customWidth="1"/>
    <col min="9" max="10" width="12.5703125" style="1"/>
    <col min="11" max="11" width="15.5703125" style="1" bestFit="1" customWidth="1"/>
    <col min="12" max="16384" width="12.5703125" style="1"/>
  </cols>
  <sheetData>
    <row r="1" spans="1:12" ht="12.75" x14ac:dyDescent="0.2">
      <c r="A1" s="14" t="s">
        <v>265</v>
      </c>
      <c r="H1" s="14"/>
      <c r="I1" s="4"/>
      <c r="J1" s="4"/>
      <c r="K1" s="32"/>
    </row>
    <row r="2" spans="1:12" ht="12.75" x14ac:dyDescent="0.2">
      <c r="C2" s="4"/>
      <c r="I2" s="4"/>
      <c r="J2" s="4"/>
    </row>
    <row r="3" spans="1:12" ht="12.75" x14ac:dyDescent="0.2">
      <c r="A3" s="1" t="s">
        <v>296</v>
      </c>
      <c r="C3" s="4"/>
      <c r="H3" s="4"/>
      <c r="I3" s="4"/>
      <c r="J3" s="4"/>
      <c r="K3" s="4"/>
    </row>
    <row r="4" spans="1:12" ht="12.75" x14ac:dyDescent="0.2">
      <c r="A4" s="1" t="s">
        <v>304</v>
      </c>
      <c r="B4" s="1" t="s">
        <v>297</v>
      </c>
      <c r="C4" s="4"/>
      <c r="H4" s="4"/>
      <c r="I4" s="4"/>
      <c r="J4" s="4"/>
      <c r="K4" s="4"/>
    </row>
    <row r="5" spans="1:12" ht="12.75" x14ac:dyDescent="0.2">
      <c r="B5" s="1" t="s">
        <v>298</v>
      </c>
      <c r="C5" s="4"/>
      <c r="H5" s="4"/>
      <c r="I5" s="4"/>
      <c r="J5" s="4"/>
    </row>
    <row r="6" spans="1:12" ht="12.75" x14ac:dyDescent="0.2">
      <c r="B6" s="1" t="s">
        <v>301</v>
      </c>
      <c r="J6" s="4"/>
      <c r="K6" s="4"/>
      <c r="L6" s="4"/>
    </row>
    <row r="7" spans="1:12" ht="12.75" x14ac:dyDescent="0.2">
      <c r="A7" s="32"/>
      <c r="B7" s="1" t="s">
        <v>302</v>
      </c>
      <c r="J7" s="4"/>
    </row>
    <row r="8" spans="1:12" ht="12.75" x14ac:dyDescent="0.2">
      <c r="B8" s="1" t="s">
        <v>299</v>
      </c>
      <c r="H8" s="4"/>
      <c r="I8" s="4"/>
      <c r="J8" s="4"/>
    </row>
    <row r="9" spans="1:12" ht="12.75" x14ac:dyDescent="0.2">
      <c r="B9" s="1" t="s">
        <v>300</v>
      </c>
      <c r="G9" s="1" t="s">
        <v>0</v>
      </c>
      <c r="H9" s="4"/>
      <c r="I9" s="4"/>
      <c r="J9" s="4"/>
    </row>
    <row r="10" spans="1:12" ht="12.75" x14ac:dyDescent="0.2">
      <c r="H10"/>
      <c r="I10"/>
      <c r="J10" s="37" t="s">
        <v>325</v>
      </c>
    </row>
    <row r="11" spans="1:12" ht="12.75" x14ac:dyDescent="0.2">
      <c r="H11" s="36"/>
      <c r="I11"/>
      <c r="J11" s="36" t="s">
        <v>324</v>
      </c>
      <c r="L11" s="1" t="s">
        <v>899</v>
      </c>
    </row>
    <row r="12" spans="1:12" ht="12.75" x14ac:dyDescent="0.2">
      <c r="H12"/>
      <c r="I12"/>
      <c r="J12" s="36" t="s">
        <v>323</v>
      </c>
      <c r="L12" s="1" t="s">
        <v>900</v>
      </c>
    </row>
    <row r="13" spans="1:12" ht="12.75" x14ac:dyDescent="0.2">
      <c r="A13" s="4"/>
      <c r="H13"/>
      <c r="I13"/>
      <c r="J13" s="36" t="s">
        <v>322</v>
      </c>
      <c r="L13" s="1" t="s">
        <v>361</v>
      </c>
    </row>
    <row r="14" spans="1:12" ht="12.75" x14ac:dyDescent="0.2">
      <c r="A14" s="4"/>
      <c r="H14" s="4" t="s">
        <v>718</v>
      </c>
      <c r="I14" s="4"/>
      <c r="J14" s="4" t="s">
        <v>719</v>
      </c>
    </row>
    <row r="15" spans="1:12" ht="12.75" x14ac:dyDescent="0.2">
      <c r="A15" s="1" t="s">
        <v>303</v>
      </c>
      <c r="H15" s="4" t="s">
        <v>896</v>
      </c>
      <c r="I15" s="4"/>
    </row>
    <row r="16" spans="1:12" ht="12.75" x14ac:dyDescent="0.2">
      <c r="A16" s="4"/>
      <c r="H16" s="1" t="s">
        <v>897</v>
      </c>
      <c r="I16" s="4"/>
      <c r="J16" s="4"/>
    </row>
    <row r="17" spans="1:15" ht="12.75" x14ac:dyDescent="0.2">
      <c r="A17" s="4"/>
      <c r="H17" s="1" t="s">
        <v>898</v>
      </c>
      <c r="I17" s="4"/>
      <c r="J17" s="4"/>
    </row>
    <row r="18" spans="1:15" ht="12.75" x14ac:dyDescent="0.2">
      <c r="A18" s="1" t="s">
        <v>307</v>
      </c>
      <c r="C18" s="1" t="s">
        <v>281</v>
      </c>
      <c r="H18" s="4"/>
      <c r="I18" s="4"/>
      <c r="J18" s="4"/>
    </row>
    <row r="19" spans="1:15" ht="12.75" x14ac:dyDescent="0.2">
      <c r="A19" s="4" t="s">
        <v>306</v>
      </c>
      <c r="H19" s="4" t="s">
        <v>312</v>
      </c>
      <c r="I19" s="4" t="s">
        <v>317</v>
      </c>
      <c r="J19" s="4"/>
    </row>
    <row r="20" spans="1:15" ht="12.75" x14ac:dyDescent="0.2">
      <c r="A20" s="4"/>
      <c r="H20" s="4" t="s">
        <v>313</v>
      </c>
      <c r="I20" s="4"/>
      <c r="J20" s="4"/>
    </row>
    <row r="21" spans="1:15" ht="12.75" x14ac:dyDescent="0.2">
      <c r="A21" s="1" t="s">
        <v>305</v>
      </c>
      <c r="B21" s="35" t="s">
        <v>275</v>
      </c>
      <c r="H21" s="4"/>
      <c r="I21" s="4"/>
      <c r="J21" s="4"/>
    </row>
    <row r="22" spans="1:15" ht="12.75" x14ac:dyDescent="0.2">
      <c r="A22" s="4"/>
      <c r="B22" s="35" t="s">
        <v>308</v>
      </c>
      <c r="H22" s="1" t="s">
        <v>320</v>
      </c>
      <c r="I22" s="4" t="s">
        <v>317</v>
      </c>
      <c r="J22" s="4"/>
    </row>
    <row r="23" spans="1:15" ht="12.75" x14ac:dyDescent="0.2">
      <c r="A23" s="4"/>
      <c r="B23" s="35" t="s">
        <v>309</v>
      </c>
      <c r="H23" s="1" t="s">
        <v>321</v>
      </c>
      <c r="I23" s="4" t="s">
        <v>317</v>
      </c>
      <c r="J23" s="4"/>
    </row>
    <row r="24" spans="1:15" ht="12.75" x14ac:dyDescent="0.2">
      <c r="A24" s="4"/>
      <c r="B24" s="35" t="s">
        <v>310</v>
      </c>
      <c r="H24" s="1" t="s">
        <v>318</v>
      </c>
      <c r="I24" s="4" t="s">
        <v>317</v>
      </c>
      <c r="J24" s="4"/>
    </row>
    <row r="25" spans="1:15" ht="12.75" x14ac:dyDescent="0.2">
      <c r="B25" s="35" t="s">
        <v>311</v>
      </c>
      <c r="H25" s="1" t="s">
        <v>716</v>
      </c>
      <c r="I25" s="4"/>
      <c r="J25" s="4"/>
    </row>
    <row r="26" spans="1:15" ht="12.75" x14ac:dyDescent="0.2">
      <c r="A26" s="4"/>
      <c r="H26" s="1" t="s">
        <v>717</v>
      </c>
      <c r="I26" s="4"/>
      <c r="J26" s="4"/>
    </row>
    <row r="27" spans="1:15" ht="12.75" x14ac:dyDescent="0.2">
      <c r="A27" s="4"/>
      <c r="H27" s="1" t="s">
        <v>319</v>
      </c>
      <c r="I27" s="4"/>
      <c r="J27" s="4"/>
    </row>
    <row r="28" spans="1:15" ht="12.75" x14ac:dyDescent="0.2">
      <c r="A28" s="4"/>
      <c r="I28" s="4"/>
      <c r="J28" s="4"/>
    </row>
    <row r="29" spans="1:15" ht="12.75" x14ac:dyDescent="0.2">
      <c r="I29" s="4"/>
      <c r="J29" s="4"/>
    </row>
    <row r="30" spans="1:15" ht="12.75" x14ac:dyDescent="0.2">
      <c r="A30" s="4"/>
      <c r="H30" s="4"/>
      <c r="I30" s="4"/>
      <c r="J30" s="4"/>
      <c r="O30" s="1" t="s">
        <v>0</v>
      </c>
    </row>
    <row r="31" spans="1:15" ht="12.75" x14ac:dyDescent="0.2">
      <c r="A31" s="4"/>
      <c r="H31" s="4"/>
      <c r="I31" s="4"/>
      <c r="J31" s="4"/>
    </row>
    <row r="32" spans="1:15" ht="12.75" x14ac:dyDescent="0.2">
      <c r="A32" s="4"/>
      <c r="H32" s="4"/>
      <c r="I32" s="4"/>
      <c r="J32" s="4"/>
    </row>
    <row r="33" spans="1:10" ht="12.75" x14ac:dyDescent="0.2">
      <c r="H33" s="4"/>
      <c r="I33" s="4"/>
      <c r="J33" s="4"/>
    </row>
    <row r="34" spans="1:10" ht="12.75" x14ac:dyDescent="0.2">
      <c r="A34" s="4"/>
      <c r="H34" s="4"/>
      <c r="I34" s="4"/>
      <c r="J34" s="4"/>
    </row>
    <row r="35" spans="1:10" ht="12.75" x14ac:dyDescent="0.2">
      <c r="A35" s="4"/>
      <c r="H35" s="4"/>
      <c r="I35" s="4"/>
      <c r="J35" s="4"/>
    </row>
    <row r="36" spans="1:10" ht="12.75" x14ac:dyDescent="0.2">
      <c r="A36" s="4"/>
      <c r="H36" s="14" t="s">
        <v>314</v>
      </c>
      <c r="I36" s="4"/>
      <c r="J36" s="4"/>
    </row>
    <row r="37" spans="1:10" ht="12.75" x14ac:dyDescent="0.2">
      <c r="H37" s="14" t="s">
        <v>315</v>
      </c>
      <c r="I37" s="4"/>
      <c r="J37" s="4"/>
    </row>
    <row r="38" spans="1:10" ht="12.75" x14ac:dyDescent="0.2">
      <c r="A38" s="4"/>
      <c r="H38" s="4"/>
      <c r="I38" s="4"/>
      <c r="J38" s="4"/>
    </row>
    <row r="39" spans="1:10" ht="12.75" x14ac:dyDescent="0.2">
      <c r="A39" s="4"/>
      <c r="H39" s="4"/>
      <c r="I39" s="4"/>
      <c r="J39" s="4"/>
    </row>
    <row r="40" spans="1:10" ht="12.75" x14ac:dyDescent="0.2">
      <c r="A40" s="4"/>
      <c r="H40" s="1" t="s">
        <v>901</v>
      </c>
    </row>
    <row r="41" spans="1:10" ht="12.75" x14ac:dyDescent="0.2">
      <c r="H41" s="1" t="s">
        <v>908</v>
      </c>
    </row>
    <row r="42" spans="1:10" ht="12.75" x14ac:dyDescent="0.2">
      <c r="H42" s="1" t="s">
        <v>906</v>
      </c>
    </row>
    <row r="43" spans="1:10" ht="12.75" x14ac:dyDescent="0.2">
      <c r="H43" s="1" t="s">
        <v>907</v>
      </c>
    </row>
    <row r="44" spans="1:10" ht="12.75" x14ac:dyDescent="0.2"/>
    <row r="45" spans="1:10" ht="12.75" x14ac:dyDescent="0.2"/>
    <row r="46" spans="1:10" ht="12.75" x14ac:dyDescent="0.2">
      <c r="I46" s="4"/>
      <c r="J46" s="4"/>
    </row>
    <row r="47" spans="1:10" ht="12.75" x14ac:dyDescent="0.2">
      <c r="H47" s="1" t="s">
        <v>973</v>
      </c>
      <c r="I47" s="4"/>
      <c r="J47" s="4"/>
    </row>
    <row r="48" spans="1:10" ht="12.75" x14ac:dyDescent="0.2">
      <c r="I48" s="4"/>
      <c r="J48" s="4"/>
    </row>
    <row r="49" spans="8:10" ht="12.75" x14ac:dyDescent="0.2">
      <c r="H49" s="4"/>
      <c r="I49" s="4"/>
      <c r="J49" s="4"/>
    </row>
    <row r="50" spans="8:10" ht="12.75" x14ac:dyDescent="0.2">
      <c r="H50" s="4"/>
      <c r="I50" s="4"/>
      <c r="J50" s="4"/>
    </row>
    <row r="51" spans="8:10" ht="12.75" x14ac:dyDescent="0.2">
      <c r="H51" s="4"/>
      <c r="I51" s="4"/>
      <c r="J51" s="4"/>
    </row>
    <row r="52" spans="8:10" ht="12.75" x14ac:dyDescent="0.2">
      <c r="H52" s="4"/>
      <c r="I52" s="4"/>
      <c r="J52" s="4"/>
    </row>
    <row r="53" spans="8:10" ht="12.75" x14ac:dyDescent="0.2">
      <c r="H53" s="4"/>
      <c r="I53" s="4"/>
      <c r="J53" s="4"/>
    </row>
    <row r="54" spans="8:10" ht="12.75" x14ac:dyDescent="0.2">
      <c r="H54" s="4"/>
      <c r="I54" s="4"/>
      <c r="J54" s="4"/>
    </row>
    <row r="55" spans="8:10" ht="12.75" x14ac:dyDescent="0.2">
      <c r="H55" s="4"/>
      <c r="I55" s="4"/>
      <c r="J55" s="4"/>
    </row>
    <row r="56" spans="8:10" ht="12.75" x14ac:dyDescent="0.2">
      <c r="H56" s="4"/>
      <c r="I56" s="4"/>
      <c r="J56" s="4"/>
    </row>
    <row r="57" spans="8:10" ht="12.75" x14ac:dyDescent="0.2">
      <c r="H57" s="4"/>
      <c r="I57" s="4"/>
      <c r="J57" s="4"/>
    </row>
    <row r="58" spans="8:10" ht="12.75" x14ac:dyDescent="0.2">
      <c r="H58" s="4"/>
      <c r="I58" s="4"/>
      <c r="J58" s="4"/>
    </row>
    <row r="59" spans="8:10" ht="12.75" x14ac:dyDescent="0.2">
      <c r="H59" s="4"/>
      <c r="I59" s="4"/>
      <c r="J59" s="4"/>
    </row>
    <row r="60" spans="8:10" ht="12.75" x14ac:dyDescent="0.2">
      <c r="H60" s="4"/>
      <c r="I60" s="4"/>
      <c r="J60" s="4"/>
    </row>
    <row r="61" spans="8:10" ht="12.75" x14ac:dyDescent="0.2">
      <c r="H61" s="4"/>
      <c r="I61" s="4"/>
      <c r="J61" s="4"/>
    </row>
    <row r="62" spans="8:10" ht="12.75" x14ac:dyDescent="0.2">
      <c r="H62" s="33"/>
      <c r="I62" s="4"/>
      <c r="J62" s="4"/>
    </row>
    <row r="63" spans="8:10" ht="12.75" x14ac:dyDescent="0.2">
      <c r="H63" s="4"/>
      <c r="I63" s="4"/>
      <c r="J63" s="4"/>
    </row>
    <row r="64" spans="8:10" ht="12.75" x14ac:dyDescent="0.2">
      <c r="H64" s="4"/>
      <c r="I64" s="4"/>
      <c r="J64" s="4"/>
    </row>
    <row r="65" spans="8:10" ht="12.75" x14ac:dyDescent="0.2">
      <c r="H65" s="4"/>
      <c r="I65" s="4"/>
      <c r="J65" s="4"/>
    </row>
    <row r="66" spans="8:10" ht="12.75" x14ac:dyDescent="0.2">
      <c r="H66" s="4"/>
      <c r="I66" s="4"/>
      <c r="J66" s="4"/>
    </row>
    <row r="67" spans="8:10" ht="12.75" x14ac:dyDescent="0.2">
      <c r="H67" s="4"/>
      <c r="I67" s="4"/>
      <c r="J67" s="4"/>
    </row>
    <row r="68" spans="8:10" ht="12.75" x14ac:dyDescent="0.2">
      <c r="H68" s="4"/>
      <c r="I68" s="4"/>
      <c r="J68" s="4"/>
    </row>
    <row r="69" spans="8:10" ht="12.75" x14ac:dyDescent="0.2">
      <c r="H69" s="4"/>
      <c r="I69" s="4"/>
      <c r="J69" s="4"/>
    </row>
    <row r="70" spans="8:10" ht="12.75" x14ac:dyDescent="0.2">
      <c r="H70" s="4"/>
      <c r="I70" s="4"/>
      <c r="J70" s="4"/>
    </row>
    <row r="71" spans="8:10" ht="12.75" x14ac:dyDescent="0.2">
      <c r="H71" s="4"/>
      <c r="I71" s="4"/>
      <c r="J71" s="4"/>
    </row>
    <row r="72" spans="8:10" ht="12.75" x14ac:dyDescent="0.2">
      <c r="H72" s="4"/>
      <c r="I72" s="4"/>
      <c r="J72" s="4"/>
    </row>
    <row r="73" spans="8:10" ht="12.75" x14ac:dyDescent="0.2">
      <c r="H73" s="4"/>
      <c r="I73" s="4"/>
      <c r="J73" s="4"/>
    </row>
    <row r="74" spans="8:10" ht="12.75" x14ac:dyDescent="0.2">
      <c r="H74" s="4"/>
      <c r="I74" s="4"/>
      <c r="J74" s="4"/>
    </row>
    <row r="75" spans="8:10" ht="12.75" x14ac:dyDescent="0.2">
      <c r="H75" s="4"/>
      <c r="I75" s="4"/>
      <c r="J75" s="4"/>
    </row>
    <row r="76" spans="8:10" ht="12.75" x14ac:dyDescent="0.2">
      <c r="H76" s="4"/>
      <c r="I76" s="4"/>
      <c r="J76" s="4"/>
    </row>
    <row r="77" spans="8:10" ht="12.75" x14ac:dyDescent="0.2">
      <c r="H77" s="4"/>
      <c r="I77" s="4"/>
      <c r="J77" s="4"/>
    </row>
    <row r="78" spans="8:10" ht="12.75" x14ac:dyDescent="0.2">
      <c r="H78" s="4"/>
      <c r="I78" s="4"/>
      <c r="J78" s="4"/>
    </row>
    <row r="79" spans="8:10" ht="12.75" x14ac:dyDescent="0.2">
      <c r="H79" s="4"/>
      <c r="I79" s="4"/>
      <c r="J79" s="4"/>
    </row>
    <row r="80" spans="8:10" ht="12.75" x14ac:dyDescent="0.2">
      <c r="H80" s="4"/>
      <c r="I80" s="4"/>
      <c r="J80" s="4"/>
    </row>
    <row r="81" spans="8:10" ht="12.75" x14ac:dyDescent="0.2">
      <c r="H81" s="4"/>
      <c r="I81" s="4"/>
      <c r="J81" s="4"/>
    </row>
    <row r="82" spans="8:10" ht="12.75" x14ac:dyDescent="0.2">
      <c r="H82" s="4"/>
      <c r="I82" s="4"/>
      <c r="J82" s="4"/>
    </row>
    <row r="83" spans="8:10" ht="12.75" x14ac:dyDescent="0.2">
      <c r="H83" s="4"/>
      <c r="I83" s="4"/>
      <c r="J83" s="4"/>
    </row>
    <row r="84" spans="8:10" ht="12.75" x14ac:dyDescent="0.2">
      <c r="H84" s="4"/>
      <c r="I84" s="4"/>
      <c r="J84" s="4"/>
    </row>
    <row r="85" spans="8:10" ht="12.75" x14ac:dyDescent="0.2">
      <c r="H85" s="4"/>
      <c r="I85" s="4"/>
      <c r="J85" s="4"/>
    </row>
    <row r="86" spans="8:10" ht="12.75" x14ac:dyDescent="0.2">
      <c r="H86" s="4"/>
      <c r="I86" s="4"/>
      <c r="J86" s="4"/>
    </row>
    <row r="87" spans="8:10" ht="12.75" x14ac:dyDescent="0.2">
      <c r="H87" s="4"/>
      <c r="I87" s="4"/>
      <c r="J87" s="4"/>
    </row>
    <row r="88" spans="8:10" ht="12.75" x14ac:dyDescent="0.2">
      <c r="H88" s="4"/>
      <c r="I88" s="4"/>
      <c r="J88" s="4"/>
    </row>
    <row r="89" spans="8:10" ht="12.75" x14ac:dyDescent="0.2">
      <c r="H89" s="4"/>
      <c r="I89" s="4"/>
      <c r="J89" s="4"/>
    </row>
    <row r="90" spans="8:10" ht="12.75" x14ac:dyDescent="0.2">
      <c r="H90" s="4"/>
      <c r="I90" s="4"/>
      <c r="J90" s="4"/>
    </row>
    <row r="91" spans="8:10" ht="12.75" x14ac:dyDescent="0.2">
      <c r="H91" s="4"/>
      <c r="I91" s="4"/>
      <c r="J91" s="4"/>
    </row>
    <row r="92" spans="8:10" ht="12.75" x14ac:dyDescent="0.2">
      <c r="H92" s="4"/>
      <c r="I92" s="4"/>
      <c r="J92" s="4"/>
    </row>
    <row r="93" spans="8:10" ht="12.75" x14ac:dyDescent="0.2">
      <c r="H93" s="4"/>
      <c r="I93" s="4"/>
      <c r="J93" s="4"/>
    </row>
    <row r="94" spans="8:10" ht="12.75" x14ac:dyDescent="0.2">
      <c r="H94" s="4"/>
      <c r="I94" s="4"/>
      <c r="J94" s="4"/>
    </row>
    <row r="95" spans="8:10" ht="12.75" x14ac:dyDescent="0.2">
      <c r="H95" s="4"/>
      <c r="I95" s="4"/>
      <c r="J95" s="4"/>
    </row>
    <row r="96" spans="8:10" ht="12.75" x14ac:dyDescent="0.2">
      <c r="H96" s="4"/>
      <c r="I96" s="4"/>
      <c r="J96" s="4"/>
    </row>
    <row r="97" spans="8:10" ht="12.75" x14ac:dyDescent="0.2">
      <c r="H97" s="4"/>
      <c r="I97" s="4"/>
      <c r="J97" s="4"/>
    </row>
    <row r="98" spans="8:10" ht="12.75" x14ac:dyDescent="0.2">
      <c r="H98" s="4"/>
      <c r="I98" s="4"/>
      <c r="J98" s="4"/>
    </row>
    <row r="99" spans="8:10" ht="12.75" x14ac:dyDescent="0.2">
      <c r="H99" s="4"/>
      <c r="I99" s="4"/>
      <c r="J99" s="4"/>
    </row>
    <row r="100" spans="8:10" ht="12.75" x14ac:dyDescent="0.2">
      <c r="H100" s="4"/>
      <c r="I100" s="4"/>
      <c r="J100" s="4"/>
    </row>
    <row r="101" spans="8:10" ht="12.75" x14ac:dyDescent="0.2">
      <c r="H101" s="4"/>
      <c r="I101" s="4"/>
      <c r="J101" s="4"/>
    </row>
    <row r="102" spans="8:10" ht="12.75" x14ac:dyDescent="0.2">
      <c r="H102" s="4"/>
      <c r="I102" s="4"/>
      <c r="J102" s="4"/>
    </row>
    <row r="103" spans="8:10" ht="12.75" x14ac:dyDescent="0.2">
      <c r="H103" s="4"/>
      <c r="I103" s="4"/>
      <c r="J103" s="4"/>
    </row>
    <row r="104" spans="8:10" ht="12.75" x14ac:dyDescent="0.2">
      <c r="H104" s="4"/>
      <c r="I104" s="4"/>
      <c r="J104" s="4"/>
    </row>
    <row r="105" spans="8:10" ht="12.75" x14ac:dyDescent="0.2">
      <c r="H105" s="4"/>
      <c r="I105" s="4"/>
      <c r="J105" s="4"/>
    </row>
    <row r="106" spans="8:10" ht="12.75" x14ac:dyDescent="0.2">
      <c r="H106" s="4"/>
      <c r="I106" s="4"/>
      <c r="J106" s="4"/>
    </row>
    <row r="107" spans="8:10" ht="12.75" x14ac:dyDescent="0.2">
      <c r="H107" s="4"/>
      <c r="I107" s="4"/>
      <c r="J107" s="4"/>
    </row>
    <row r="108" spans="8:10" ht="12.75" x14ac:dyDescent="0.2">
      <c r="H108" s="4"/>
      <c r="I108" s="4"/>
      <c r="J108" s="4"/>
    </row>
    <row r="109" spans="8:10" ht="12.75" x14ac:dyDescent="0.2">
      <c r="H109" s="4"/>
      <c r="I109" s="4"/>
      <c r="J109" s="4"/>
    </row>
    <row r="110" spans="8:10" ht="12.75" x14ac:dyDescent="0.2">
      <c r="H110" s="4"/>
      <c r="I110" s="4"/>
      <c r="J110" s="4"/>
    </row>
    <row r="111" spans="8:10" ht="12.75" x14ac:dyDescent="0.2">
      <c r="H111" s="4"/>
      <c r="I111" s="4"/>
      <c r="J111" s="4"/>
    </row>
    <row r="112" spans="8:10" ht="12.75" x14ac:dyDescent="0.2">
      <c r="H112" s="4"/>
      <c r="I112" s="4"/>
      <c r="J112" s="4"/>
    </row>
    <row r="113" spans="8:10" ht="12.75" x14ac:dyDescent="0.2">
      <c r="H113" s="4"/>
      <c r="I113" s="4"/>
      <c r="J113" s="4"/>
    </row>
    <row r="114" spans="8:10" ht="12.75" x14ac:dyDescent="0.2">
      <c r="H114" s="4"/>
      <c r="I114" s="4"/>
      <c r="J114" s="4"/>
    </row>
    <row r="115" spans="8:10" ht="12.75" x14ac:dyDescent="0.2">
      <c r="H115" s="4"/>
      <c r="I115" s="4"/>
      <c r="J115" s="4"/>
    </row>
    <row r="116" spans="8:10" ht="12.75" x14ac:dyDescent="0.2">
      <c r="H116" s="4"/>
      <c r="I116" s="4"/>
      <c r="J116" s="4"/>
    </row>
    <row r="117" spans="8:10" ht="12.75" x14ac:dyDescent="0.2">
      <c r="H117" s="4"/>
      <c r="I117" s="4"/>
      <c r="J117" s="4"/>
    </row>
    <row r="118" spans="8:10" ht="12.75" x14ac:dyDescent="0.2">
      <c r="H118" s="4"/>
      <c r="I118" s="4"/>
      <c r="J118" s="4"/>
    </row>
    <row r="119" spans="8:10" ht="12.75" x14ac:dyDescent="0.2">
      <c r="H119" s="4"/>
      <c r="I119" s="4"/>
      <c r="J119" s="4"/>
    </row>
    <row r="120" spans="8:10" ht="12.75" x14ac:dyDescent="0.2">
      <c r="H120" s="4"/>
      <c r="I120" s="4"/>
      <c r="J120" s="4"/>
    </row>
    <row r="121" spans="8:10" ht="12.75" x14ac:dyDescent="0.2">
      <c r="H121" s="4"/>
      <c r="I121" s="4"/>
      <c r="J121" s="4"/>
    </row>
    <row r="122" spans="8:10" ht="12.75" x14ac:dyDescent="0.2">
      <c r="H122" s="4"/>
      <c r="I122" s="4"/>
      <c r="J122" s="4"/>
    </row>
    <row r="123" spans="8:10" ht="12.75" x14ac:dyDescent="0.2">
      <c r="H123" s="4"/>
      <c r="I123" s="4"/>
      <c r="J123" s="4"/>
    </row>
    <row r="124" spans="8:10" ht="12.75" x14ac:dyDescent="0.2">
      <c r="H124" s="4"/>
      <c r="I124" s="4"/>
      <c r="J124" s="4"/>
    </row>
    <row r="125" spans="8:10" ht="12.75" x14ac:dyDescent="0.2">
      <c r="H125" s="4"/>
      <c r="I125" s="4"/>
      <c r="J125" s="4"/>
    </row>
    <row r="126" spans="8:10" ht="12.75" x14ac:dyDescent="0.2">
      <c r="H126" s="4"/>
      <c r="I126" s="4"/>
      <c r="J126" s="4"/>
    </row>
    <row r="127" spans="8:10" ht="12.75" x14ac:dyDescent="0.2">
      <c r="H127" s="4"/>
      <c r="I127" s="4"/>
      <c r="J127" s="4"/>
    </row>
    <row r="128" spans="8:10" ht="12.75" x14ac:dyDescent="0.2">
      <c r="H128" s="4"/>
      <c r="I128" s="4"/>
      <c r="J128" s="4"/>
    </row>
    <row r="129" spans="8:10" ht="12.75" x14ac:dyDescent="0.2">
      <c r="H129" s="4"/>
      <c r="I129" s="4"/>
      <c r="J129" s="4"/>
    </row>
    <row r="130" spans="8:10" ht="12.75" x14ac:dyDescent="0.2">
      <c r="H130" s="4"/>
      <c r="I130" s="4"/>
      <c r="J130" s="4"/>
    </row>
    <row r="131" spans="8:10" ht="12.75" x14ac:dyDescent="0.2">
      <c r="H131" s="4"/>
      <c r="I131" s="4"/>
      <c r="J131" s="4"/>
    </row>
    <row r="132" spans="8:10" ht="12.75" x14ac:dyDescent="0.2">
      <c r="H132" s="4"/>
      <c r="I132" s="4"/>
      <c r="J132" s="4"/>
    </row>
    <row r="133" spans="8:10" ht="12.75" x14ac:dyDescent="0.2">
      <c r="H133" s="4"/>
      <c r="I133" s="4"/>
      <c r="J133" s="4"/>
    </row>
    <row r="134" spans="8:10" ht="12.75" x14ac:dyDescent="0.2">
      <c r="H134" s="4"/>
      <c r="I134" s="4"/>
      <c r="J134" s="4"/>
    </row>
    <row r="135" spans="8:10" ht="12.75" x14ac:dyDescent="0.2">
      <c r="H135" s="4"/>
      <c r="I135" s="4"/>
      <c r="J135" s="4"/>
    </row>
    <row r="136" spans="8:10" ht="12.75" x14ac:dyDescent="0.2">
      <c r="H136" s="4"/>
      <c r="I136" s="4"/>
      <c r="J136" s="4"/>
    </row>
    <row r="137" spans="8:10" ht="12.75" x14ac:dyDescent="0.2">
      <c r="H137" s="4"/>
      <c r="I137" s="4"/>
      <c r="J137" s="4"/>
    </row>
    <row r="138" spans="8:10" ht="12.75" x14ac:dyDescent="0.2">
      <c r="H138" s="4"/>
      <c r="I138" s="4"/>
      <c r="J138" s="4"/>
    </row>
    <row r="139" spans="8:10" ht="12.75" x14ac:dyDescent="0.2">
      <c r="H139" s="4"/>
      <c r="I139" s="4"/>
      <c r="J139" s="4"/>
    </row>
    <row r="140" spans="8:10" ht="12.75" x14ac:dyDescent="0.2">
      <c r="H140" s="4"/>
      <c r="I140" s="4"/>
      <c r="J140" s="4"/>
    </row>
    <row r="141" spans="8:10" ht="12.75" x14ac:dyDescent="0.2">
      <c r="H141" s="4"/>
      <c r="I141" s="4"/>
      <c r="J141" s="4"/>
    </row>
    <row r="142" spans="8:10" ht="12.75" x14ac:dyDescent="0.2">
      <c r="H142" s="4"/>
      <c r="I142" s="4"/>
      <c r="J142" s="4"/>
    </row>
    <row r="143" spans="8:10" ht="12.75" x14ac:dyDescent="0.2">
      <c r="H143" s="4"/>
      <c r="I143" s="4"/>
      <c r="J143" s="4"/>
    </row>
    <row r="144" spans="8:10" ht="12.75" x14ac:dyDescent="0.2">
      <c r="H144" s="4"/>
      <c r="I144" s="4"/>
      <c r="J144" s="4"/>
    </row>
    <row r="145" spans="8:10" ht="12.75" x14ac:dyDescent="0.2">
      <c r="H145" s="4"/>
      <c r="I145" s="4"/>
      <c r="J145" s="4"/>
    </row>
    <row r="146" spans="8:10" ht="12.75" x14ac:dyDescent="0.2">
      <c r="H146" s="4"/>
      <c r="I146" s="4"/>
      <c r="J146" s="4"/>
    </row>
    <row r="147" spans="8:10" ht="12.75" x14ac:dyDescent="0.2">
      <c r="H147" s="4"/>
      <c r="I147" s="4"/>
      <c r="J147" s="4"/>
    </row>
    <row r="148" spans="8:10" ht="12.75" x14ac:dyDescent="0.2">
      <c r="H148" s="4"/>
      <c r="I148" s="4"/>
      <c r="J148" s="4"/>
    </row>
    <row r="149" spans="8:10" ht="12.75" x14ac:dyDescent="0.2">
      <c r="H149" s="4"/>
      <c r="I149" s="4"/>
      <c r="J149" s="4"/>
    </row>
    <row r="150" spans="8:10" ht="12.75" x14ac:dyDescent="0.2">
      <c r="H150" s="4"/>
      <c r="I150" s="4"/>
      <c r="J150" s="4"/>
    </row>
    <row r="151" spans="8:10" ht="12.75" x14ac:dyDescent="0.2">
      <c r="H151" s="4"/>
      <c r="I151" s="4"/>
      <c r="J151" s="4"/>
    </row>
    <row r="152" spans="8:10" ht="12.75" x14ac:dyDescent="0.2">
      <c r="H152" s="4"/>
      <c r="I152" s="4"/>
      <c r="J152" s="4"/>
    </row>
    <row r="153" spans="8:10" ht="12.75" x14ac:dyDescent="0.2">
      <c r="H153" s="4"/>
      <c r="I153" s="4"/>
      <c r="J153" s="4"/>
    </row>
    <row r="154" spans="8:10" ht="12.75" x14ac:dyDescent="0.2">
      <c r="H154" s="4"/>
      <c r="I154" s="4"/>
      <c r="J154" s="4"/>
    </row>
    <row r="155" spans="8:10" ht="12.75" x14ac:dyDescent="0.2">
      <c r="H155" s="4"/>
      <c r="I155" s="4"/>
      <c r="J155" s="4"/>
    </row>
    <row r="156" spans="8:10" ht="12.75" x14ac:dyDescent="0.2">
      <c r="H156" s="4"/>
      <c r="I156" s="4"/>
      <c r="J156" s="4"/>
    </row>
    <row r="157" spans="8:10" ht="12.75" x14ac:dyDescent="0.2">
      <c r="H157" s="4"/>
      <c r="I157" s="4"/>
      <c r="J157" s="4"/>
    </row>
    <row r="158" spans="8:10" ht="12.75" x14ac:dyDescent="0.2">
      <c r="H158" s="4"/>
      <c r="I158" s="4"/>
      <c r="J158" s="4"/>
    </row>
    <row r="159" spans="8:10" ht="12.75" x14ac:dyDescent="0.2">
      <c r="H159" s="4"/>
      <c r="I159" s="4"/>
      <c r="J159" s="4"/>
    </row>
    <row r="160" spans="8:10" ht="12.75" x14ac:dyDescent="0.2">
      <c r="H160" s="4"/>
      <c r="I160" s="4"/>
      <c r="J160" s="4"/>
    </row>
    <row r="161" spans="8:10" ht="12.75" x14ac:dyDescent="0.2">
      <c r="H161" s="4"/>
      <c r="I161" s="4"/>
      <c r="J161" s="4"/>
    </row>
    <row r="162" spans="8:10" ht="12.75" x14ac:dyDescent="0.2">
      <c r="H162" s="4"/>
      <c r="I162" s="4"/>
      <c r="J162" s="4"/>
    </row>
    <row r="163" spans="8:10" ht="12.75" x14ac:dyDescent="0.2">
      <c r="H163" s="4"/>
      <c r="I163" s="4"/>
      <c r="J163" s="4"/>
    </row>
    <row r="164" spans="8:10" ht="12.75" x14ac:dyDescent="0.2">
      <c r="H164" s="4"/>
      <c r="I164" s="4"/>
      <c r="J164" s="4"/>
    </row>
    <row r="165" spans="8:10" ht="12.75" x14ac:dyDescent="0.2">
      <c r="H165" s="4"/>
      <c r="I165" s="4"/>
      <c r="J165" s="4"/>
    </row>
    <row r="166" spans="8:10" ht="12.75" x14ac:dyDescent="0.2">
      <c r="H166" s="4"/>
      <c r="I166" s="4"/>
      <c r="J166" s="4"/>
    </row>
    <row r="167" spans="8:10" ht="12.75" x14ac:dyDescent="0.2">
      <c r="H167" s="4"/>
      <c r="I167" s="4"/>
      <c r="J167" s="4"/>
    </row>
    <row r="168" spans="8:10" ht="12.75" x14ac:dyDescent="0.2">
      <c r="H168" s="4"/>
      <c r="I168" s="4"/>
      <c r="J168" s="4"/>
    </row>
    <row r="169" spans="8:10" ht="12.75" x14ac:dyDescent="0.2">
      <c r="H169" s="4"/>
      <c r="I169" s="4"/>
      <c r="J169" s="4"/>
    </row>
    <row r="170" spans="8:10" ht="12.75" x14ac:dyDescent="0.2">
      <c r="H170" s="4"/>
      <c r="I170" s="4"/>
      <c r="J170" s="4"/>
    </row>
    <row r="171" spans="8:10" ht="12.75" x14ac:dyDescent="0.2">
      <c r="H171" s="4"/>
      <c r="I171" s="4"/>
      <c r="J171" s="4"/>
    </row>
    <row r="172" spans="8:10" ht="12.75" x14ac:dyDescent="0.2">
      <c r="H172" s="4"/>
      <c r="I172" s="4"/>
      <c r="J172" s="4"/>
    </row>
    <row r="173" spans="8:10" ht="12.75" x14ac:dyDescent="0.2">
      <c r="H173" s="4"/>
      <c r="I173" s="4"/>
      <c r="J173" s="4"/>
    </row>
    <row r="174" spans="8:10" ht="12.75" x14ac:dyDescent="0.2">
      <c r="H174" s="33"/>
      <c r="I174" s="4"/>
      <c r="J174" s="4"/>
    </row>
    <row r="175" spans="8:10" ht="12.75" x14ac:dyDescent="0.2">
      <c r="H175" s="4"/>
      <c r="I175" s="4"/>
      <c r="J175" s="4"/>
    </row>
    <row r="176" spans="8:10" ht="12.75" x14ac:dyDescent="0.2">
      <c r="H176" s="4"/>
      <c r="I176" s="4"/>
      <c r="J176" s="4"/>
    </row>
    <row r="177" spans="8:10" ht="12.75" x14ac:dyDescent="0.2">
      <c r="H177" s="4"/>
      <c r="I177" s="4"/>
      <c r="J177" s="4"/>
    </row>
    <row r="178" spans="8:10" ht="12.75" x14ac:dyDescent="0.2">
      <c r="H178" s="33"/>
      <c r="I178" s="4"/>
      <c r="J178" s="4"/>
    </row>
    <row r="179" spans="8:10" ht="12.75" x14ac:dyDescent="0.2">
      <c r="H179" s="4"/>
      <c r="I179" s="4"/>
      <c r="J179" s="4"/>
    </row>
    <row r="180" spans="8:10" ht="12.75" x14ac:dyDescent="0.2">
      <c r="H180" s="33"/>
      <c r="I180" s="4"/>
      <c r="J180" s="4"/>
    </row>
    <row r="181" spans="8:10" ht="12.75" x14ac:dyDescent="0.2">
      <c r="H181" s="33"/>
      <c r="I181" s="4"/>
      <c r="J181" s="4"/>
    </row>
    <row r="182" spans="8:10" ht="12.75" x14ac:dyDescent="0.2">
      <c r="H182" s="33"/>
      <c r="I182" s="4"/>
      <c r="J182" s="4"/>
    </row>
    <row r="183" spans="8:10" ht="12.75" x14ac:dyDescent="0.2">
      <c r="H183" s="33"/>
      <c r="I183" s="4"/>
      <c r="J183" s="4"/>
    </row>
    <row r="184" spans="8:10" ht="12.75" x14ac:dyDescent="0.2">
      <c r="H184" s="33"/>
      <c r="I184" s="4"/>
      <c r="J184" s="4"/>
    </row>
    <row r="185" spans="8:10" ht="12.75" x14ac:dyDescent="0.2">
      <c r="H185" s="4"/>
      <c r="I185" s="4"/>
      <c r="J185" s="4"/>
    </row>
    <row r="186" spans="8:10" ht="12.75" x14ac:dyDescent="0.2">
      <c r="H186" s="4"/>
      <c r="I186" s="4"/>
      <c r="J186" s="4"/>
    </row>
    <row r="187" spans="8:10" ht="12.75" x14ac:dyDescent="0.2">
      <c r="H187" s="4"/>
      <c r="I187" s="4"/>
      <c r="J187" s="4"/>
    </row>
    <row r="188" spans="8:10" ht="12.75" x14ac:dyDescent="0.2">
      <c r="H188" s="4"/>
      <c r="I188" s="4"/>
      <c r="J188" s="4"/>
    </row>
    <row r="189" spans="8:10" ht="12.75" x14ac:dyDescent="0.2">
      <c r="H189" s="4"/>
      <c r="I189" s="4"/>
      <c r="J189" s="4"/>
    </row>
    <row r="190" spans="8:10" ht="12.75" x14ac:dyDescent="0.2">
      <c r="H190" s="4"/>
      <c r="I190" s="4"/>
      <c r="J190" s="4"/>
    </row>
    <row r="191" spans="8:10" ht="12.75" x14ac:dyDescent="0.2">
      <c r="H191" s="4"/>
      <c r="I191" s="4"/>
      <c r="J191" s="4"/>
    </row>
    <row r="192" spans="8:10" ht="12.75" x14ac:dyDescent="0.2">
      <c r="H192" s="4"/>
      <c r="I192" s="4"/>
      <c r="J192" s="4"/>
    </row>
    <row r="193" spans="8:10" ht="12.75" x14ac:dyDescent="0.2">
      <c r="H193" s="4"/>
      <c r="I193" s="4"/>
      <c r="J193" s="4"/>
    </row>
    <row r="194" spans="8:10" ht="12.75" x14ac:dyDescent="0.2">
      <c r="H194" s="4"/>
      <c r="I194" s="4"/>
      <c r="J194" s="4"/>
    </row>
    <row r="195" spans="8:10" ht="12.75" x14ac:dyDescent="0.2">
      <c r="H195" s="4"/>
      <c r="I195" s="4"/>
      <c r="J195" s="4"/>
    </row>
    <row r="196" spans="8:10" ht="12.75" x14ac:dyDescent="0.2">
      <c r="H196" s="4"/>
      <c r="I196" s="4"/>
      <c r="J196" s="4"/>
    </row>
    <row r="197" spans="8:10" ht="12.75" x14ac:dyDescent="0.2">
      <c r="H197" s="4"/>
      <c r="I197" s="4"/>
      <c r="J197" s="4"/>
    </row>
    <row r="198" spans="8:10" ht="12.75" x14ac:dyDescent="0.2">
      <c r="H198" s="4"/>
      <c r="I198" s="4"/>
      <c r="J198" s="4"/>
    </row>
    <row r="199" spans="8:10" ht="12.75" x14ac:dyDescent="0.2">
      <c r="H199" s="4"/>
      <c r="I199" s="4"/>
      <c r="J199" s="4"/>
    </row>
    <row r="200" spans="8:10" ht="12.75" x14ac:dyDescent="0.2">
      <c r="H200" s="4"/>
      <c r="I200" s="4"/>
      <c r="J200" s="4"/>
    </row>
    <row r="201" spans="8:10" ht="12.75" x14ac:dyDescent="0.2">
      <c r="H201" s="4"/>
      <c r="I201" s="4"/>
      <c r="J201" s="4"/>
    </row>
    <row r="202" spans="8:10" ht="12.75" x14ac:dyDescent="0.2">
      <c r="H202" s="4"/>
      <c r="I202" s="4"/>
      <c r="J202" s="4"/>
    </row>
    <row r="203" spans="8:10" ht="12.75" x14ac:dyDescent="0.2">
      <c r="H203" s="4"/>
      <c r="I203" s="4"/>
      <c r="J203" s="4"/>
    </row>
    <row r="204" spans="8:10" ht="12.75" x14ac:dyDescent="0.2">
      <c r="H204" s="4"/>
      <c r="I204" s="4"/>
      <c r="J204" s="4"/>
    </row>
    <row r="205" spans="8:10" ht="12.75" x14ac:dyDescent="0.2">
      <c r="H205" s="4"/>
      <c r="I205" s="4"/>
      <c r="J205" s="4"/>
    </row>
    <row r="206" spans="8:10" ht="12.75" x14ac:dyDescent="0.2">
      <c r="H206" s="34"/>
      <c r="I206" s="4"/>
      <c r="J206" s="4"/>
    </row>
    <row r="207" spans="8:10" ht="12.75" x14ac:dyDescent="0.2">
      <c r="H207" s="34"/>
      <c r="I207" s="4"/>
      <c r="J207" s="4"/>
    </row>
    <row r="208" spans="8:10" ht="12.75" x14ac:dyDescent="0.2">
      <c r="H208" s="34"/>
      <c r="I208" s="4"/>
      <c r="J208" s="4"/>
    </row>
    <row r="209" spans="8:10" ht="12.75" x14ac:dyDescent="0.2">
      <c r="H209" s="34"/>
      <c r="I209" s="4"/>
      <c r="J209" s="4"/>
    </row>
    <row r="210" spans="8:10" ht="12.75" x14ac:dyDescent="0.2">
      <c r="H210" s="34"/>
      <c r="I210" s="4"/>
      <c r="J210" s="4"/>
    </row>
    <row r="211" spans="8:10" ht="12.75" x14ac:dyDescent="0.2">
      <c r="H211" s="34"/>
      <c r="I211" s="4"/>
      <c r="J211" s="4"/>
    </row>
    <row r="212" spans="8:10" ht="12.75" x14ac:dyDescent="0.2">
      <c r="H212" s="34"/>
      <c r="I212" s="4"/>
      <c r="J212" s="4"/>
    </row>
    <row r="213" spans="8:10" ht="12.75" x14ac:dyDescent="0.2">
      <c r="H213" s="34"/>
      <c r="I213" s="4"/>
      <c r="J213" s="4"/>
    </row>
    <row r="214" spans="8:10" ht="12.75" x14ac:dyDescent="0.2">
      <c r="H214" s="34"/>
      <c r="I214" s="4"/>
      <c r="J214" s="4"/>
    </row>
    <row r="215" spans="8:10" ht="12.75" x14ac:dyDescent="0.2">
      <c r="H215" s="34"/>
      <c r="I215" s="4"/>
      <c r="J215" s="4"/>
    </row>
    <row r="216" spans="8:10" ht="12.75" x14ac:dyDescent="0.2">
      <c r="H216" s="34"/>
      <c r="I216" s="4"/>
      <c r="J216" s="4"/>
    </row>
    <row r="217" spans="8:10" ht="12.75" x14ac:dyDescent="0.2">
      <c r="H217" s="34"/>
      <c r="I217" s="4"/>
      <c r="J217" s="4"/>
    </row>
    <row r="218" spans="8:10" ht="12.75" x14ac:dyDescent="0.2">
      <c r="H218" s="34"/>
      <c r="I218" s="4"/>
      <c r="J218" s="4"/>
    </row>
    <row r="219" spans="8:10" ht="12.75" x14ac:dyDescent="0.2">
      <c r="H219" s="4"/>
      <c r="I219" s="4"/>
      <c r="J219" s="4"/>
    </row>
    <row r="220" spans="8:10" ht="12.75" x14ac:dyDescent="0.2">
      <c r="H220" s="34"/>
      <c r="I220" s="4"/>
      <c r="J220" s="4"/>
    </row>
    <row r="221" spans="8:10" ht="12.75" x14ac:dyDescent="0.2">
      <c r="H221" s="34"/>
      <c r="I221" s="4"/>
      <c r="J221" s="4"/>
    </row>
    <row r="222" spans="8:10" ht="12.75" x14ac:dyDescent="0.2">
      <c r="H222" s="34"/>
      <c r="I222" s="4"/>
      <c r="J222" s="4"/>
    </row>
    <row r="223" spans="8:10" ht="12.75" x14ac:dyDescent="0.2">
      <c r="H223" s="4"/>
      <c r="I223" s="4"/>
      <c r="J223" s="4"/>
    </row>
    <row r="224" spans="8:10" ht="12.75" x14ac:dyDescent="0.2">
      <c r="H224" s="4"/>
      <c r="I224" s="4"/>
      <c r="J224" s="4"/>
    </row>
    <row r="225" spans="8:10" ht="12.75" x14ac:dyDescent="0.2">
      <c r="H225" s="4"/>
      <c r="I225" s="4"/>
      <c r="J225" s="4"/>
    </row>
    <row r="226" spans="8:10" ht="12.75" x14ac:dyDescent="0.2">
      <c r="H226" s="4"/>
      <c r="I226" s="4"/>
      <c r="J226" s="4"/>
    </row>
    <row r="227" spans="8:10" ht="12.75" x14ac:dyDescent="0.2">
      <c r="H227" s="4"/>
      <c r="I227" s="4"/>
      <c r="J227" s="4"/>
    </row>
    <row r="228" spans="8:10" ht="12.75" x14ac:dyDescent="0.2">
      <c r="H228" s="4"/>
      <c r="I228" s="4"/>
      <c r="J228" s="4"/>
    </row>
    <row r="229" spans="8:10" ht="12.75" x14ac:dyDescent="0.2">
      <c r="H229" s="4"/>
      <c r="I229" s="4"/>
      <c r="J229" s="4"/>
    </row>
    <row r="230" spans="8:10" ht="12.75" x14ac:dyDescent="0.2">
      <c r="H230" s="4"/>
      <c r="I230" s="4"/>
      <c r="J230" s="4"/>
    </row>
    <row r="231" spans="8:10" ht="12.75" x14ac:dyDescent="0.2">
      <c r="H231" s="4"/>
      <c r="I231" s="4"/>
      <c r="J231" s="4"/>
    </row>
    <row r="232" spans="8:10" ht="12.75" x14ac:dyDescent="0.2">
      <c r="H232" s="4"/>
      <c r="I232" s="4"/>
      <c r="J232" s="4"/>
    </row>
    <row r="233" spans="8:10" ht="12.75" x14ac:dyDescent="0.2">
      <c r="H233" s="4"/>
      <c r="I233" s="4"/>
      <c r="J233" s="4"/>
    </row>
    <row r="234" spans="8:10" ht="12.75" x14ac:dyDescent="0.2">
      <c r="H234" s="4"/>
      <c r="I234" s="4"/>
      <c r="J234" s="4"/>
    </row>
    <row r="235" spans="8:10" ht="12.75" x14ac:dyDescent="0.2">
      <c r="H235" s="4"/>
      <c r="I235" s="4"/>
      <c r="J235" s="4"/>
    </row>
    <row r="236" spans="8:10" ht="12.75" x14ac:dyDescent="0.2">
      <c r="H236" s="4"/>
      <c r="I236" s="4"/>
      <c r="J236" s="4"/>
    </row>
    <row r="237" spans="8:10" ht="12.75" x14ac:dyDescent="0.2">
      <c r="H237" s="4"/>
      <c r="I237" s="4"/>
      <c r="J237" s="4"/>
    </row>
    <row r="238" spans="8:10" ht="12.75" x14ac:dyDescent="0.2">
      <c r="H238" s="4"/>
      <c r="I238" s="4"/>
      <c r="J238" s="4"/>
    </row>
    <row r="239" spans="8:10" ht="12.75" x14ac:dyDescent="0.2">
      <c r="H239" s="4"/>
      <c r="I239" s="4"/>
      <c r="J239" s="4"/>
    </row>
    <row r="240" spans="8:10" ht="12.75" x14ac:dyDescent="0.2">
      <c r="H240" s="4"/>
      <c r="I240" s="4"/>
      <c r="J240" s="4"/>
    </row>
    <row r="241" spans="8:10" ht="12.75" x14ac:dyDescent="0.2">
      <c r="H241" s="4"/>
      <c r="I241" s="4"/>
      <c r="J241" s="4"/>
    </row>
    <row r="242" spans="8:10" ht="12.75" x14ac:dyDescent="0.2">
      <c r="H242" s="4"/>
      <c r="I242" s="4"/>
      <c r="J242" s="4"/>
    </row>
    <row r="243" spans="8:10" ht="12.75" x14ac:dyDescent="0.2">
      <c r="H243" s="4"/>
      <c r="I243" s="4"/>
      <c r="J243" s="4"/>
    </row>
    <row r="244" spans="8:10" ht="12.75" x14ac:dyDescent="0.2">
      <c r="H244" s="4"/>
      <c r="I244" s="4"/>
      <c r="J244" s="4"/>
    </row>
    <row r="245" spans="8:10" ht="12.75" x14ac:dyDescent="0.2">
      <c r="H245" s="4"/>
      <c r="I245" s="4"/>
      <c r="J245" s="4"/>
    </row>
    <row r="246" spans="8:10" ht="12.75" x14ac:dyDescent="0.2">
      <c r="H246" s="4"/>
      <c r="I246" s="4"/>
      <c r="J246" s="4"/>
    </row>
    <row r="247" spans="8:10" ht="12.75" x14ac:dyDescent="0.2">
      <c r="H247" s="4"/>
      <c r="I247" s="4"/>
      <c r="J247" s="4"/>
    </row>
    <row r="248" spans="8:10" ht="12.75" x14ac:dyDescent="0.2">
      <c r="H248" s="4"/>
      <c r="I248" s="4"/>
      <c r="J248" s="4"/>
    </row>
    <row r="249" spans="8:10" ht="12.75" x14ac:dyDescent="0.2">
      <c r="H249" s="4"/>
      <c r="I249" s="4"/>
      <c r="J249" s="4"/>
    </row>
    <row r="250" spans="8:10" ht="12.75" x14ac:dyDescent="0.2">
      <c r="H250" s="4"/>
      <c r="I250" s="4"/>
      <c r="J250" s="4"/>
    </row>
    <row r="251" spans="8:10" ht="12.75" x14ac:dyDescent="0.2">
      <c r="H251" s="4"/>
      <c r="I251" s="4"/>
      <c r="J251" s="4"/>
    </row>
    <row r="252" spans="8:10" ht="12.75" x14ac:dyDescent="0.2">
      <c r="H252" s="4"/>
      <c r="I252" s="4"/>
      <c r="J252" s="4"/>
    </row>
    <row r="253" spans="8:10" ht="12.75" x14ac:dyDescent="0.2">
      <c r="H253" s="4"/>
      <c r="I253" s="4"/>
      <c r="J253" s="4"/>
    </row>
    <row r="254" spans="8:10" ht="12.75" x14ac:dyDescent="0.2">
      <c r="H254" s="4"/>
      <c r="I254" s="4"/>
      <c r="J254" s="4"/>
    </row>
    <row r="255" spans="8:10" ht="12.75" x14ac:dyDescent="0.2">
      <c r="H255" s="4"/>
      <c r="I255" s="4"/>
      <c r="J255" s="4"/>
    </row>
    <row r="256" spans="8:10" ht="12.75" x14ac:dyDescent="0.2">
      <c r="H256" s="4"/>
      <c r="I256" s="4"/>
      <c r="J256" s="4"/>
    </row>
    <row r="257" spans="8:10" ht="12.75" x14ac:dyDescent="0.2">
      <c r="H257" s="4"/>
      <c r="I257" s="4"/>
      <c r="J257" s="4"/>
    </row>
    <row r="258" spans="8:10" ht="12.75" x14ac:dyDescent="0.2">
      <c r="H258" s="4"/>
      <c r="I258" s="4"/>
      <c r="J258" s="4"/>
    </row>
    <row r="259" spans="8:10" ht="12.75" x14ac:dyDescent="0.2">
      <c r="H259" s="4"/>
      <c r="I259" s="4"/>
      <c r="J259" s="4"/>
    </row>
    <row r="260" spans="8:10" ht="12.75" x14ac:dyDescent="0.2">
      <c r="H260" s="4"/>
      <c r="I260" s="4"/>
      <c r="J260" s="4"/>
    </row>
    <row r="261" spans="8:10" ht="12.75" x14ac:dyDescent="0.2">
      <c r="H261" s="4"/>
      <c r="I261" s="4"/>
      <c r="J261" s="4"/>
    </row>
    <row r="262" spans="8:10" ht="12.75" x14ac:dyDescent="0.2">
      <c r="H262" s="4"/>
      <c r="I262" s="4"/>
      <c r="J262" s="4"/>
    </row>
    <row r="263" spans="8:10" ht="12.75" x14ac:dyDescent="0.2">
      <c r="H263" s="4"/>
      <c r="I263" s="4"/>
      <c r="J263" s="4"/>
    </row>
    <row r="264" spans="8:10" ht="12.75" x14ac:dyDescent="0.2">
      <c r="H264" s="4"/>
      <c r="I264" s="4"/>
      <c r="J264" s="4"/>
    </row>
    <row r="265" spans="8:10" ht="12.75" x14ac:dyDescent="0.2">
      <c r="H265" s="4"/>
      <c r="I265" s="4"/>
      <c r="J265" s="4"/>
    </row>
    <row r="266" spans="8:10" ht="12.75" x14ac:dyDescent="0.2">
      <c r="H266" s="4"/>
      <c r="I266" s="4"/>
      <c r="J266" s="4"/>
    </row>
    <row r="267" spans="8:10" ht="12.75" x14ac:dyDescent="0.2">
      <c r="H267" s="4"/>
      <c r="I267" s="4"/>
      <c r="J267" s="4"/>
    </row>
    <row r="268" spans="8:10" ht="12.75" x14ac:dyDescent="0.2">
      <c r="H268" s="4"/>
      <c r="I268" s="4"/>
      <c r="J268" s="4"/>
    </row>
    <row r="269" spans="8:10" ht="12.75" x14ac:dyDescent="0.2">
      <c r="H269" s="4"/>
      <c r="I269" s="4"/>
      <c r="J269" s="4"/>
    </row>
    <row r="270" spans="8:10" ht="12.75" x14ac:dyDescent="0.2">
      <c r="H270" s="4"/>
      <c r="I270" s="4"/>
      <c r="J270" s="4"/>
    </row>
    <row r="271" spans="8:10" ht="12.75" x14ac:dyDescent="0.2">
      <c r="H271" s="4"/>
      <c r="I271" s="4"/>
      <c r="J271" s="4"/>
    </row>
    <row r="272" spans="8:10" ht="12.75" x14ac:dyDescent="0.2">
      <c r="H272" s="4"/>
      <c r="I272" s="4"/>
      <c r="J272" s="4"/>
    </row>
    <row r="273" spans="8:10" ht="12.75" x14ac:dyDescent="0.2">
      <c r="H273" s="4"/>
      <c r="I273" s="4"/>
      <c r="J273" s="4"/>
    </row>
    <row r="274" spans="8:10" ht="12.75" x14ac:dyDescent="0.2">
      <c r="H274" s="4"/>
      <c r="I274" s="4"/>
      <c r="J274" s="4"/>
    </row>
    <row r="275" spans="8:10" ht="12.75" x14ac:dyDescent="0.2">
      <c r="H275" s="4"/>
      <c r="I275" s="4"/>
      <c r="J275" s="4"/>
    </row>
    <row r="276" spans="8:10" ht="12.75" x14ac:dyDescent="0.2">
      <c r="H276" s="4"/>
      <c r="I276" s="4"/>
      <c r="J276" s="4"/>
    </row>
    <row r="277" spans="8:10" ht="12.75" x14ac:dyDescent="0.2">
      <c r="H277" s="4"/>
      <c r="I277" s="4"/>
      <c r="J277" s="4"/>
    </row>
    <row r="278" spans="8:10" ht="12.75" x14ac:dyDescent="0.2">
      <c r="H278" s="4"/>
      <c r="I278" s="4"/>
      <c r="J278" s="4"/>
    </row>
    <row r="279" spans="8:10" ht="12.75" x14ac:dyDescent="0.2">
      <c r="H279" s="4"/>
      <c r="I279" s="4"/>
      <c r="J279" s="4"/>
    </row>
    <row r="280" spans="8:10" ht="12.75" x14ac:dyDescent="0.2">
      <c r="H280" s="4"/>
      <c r="I280" s="4"/>
      <c r="J280" s="4"/>
    </row>
    <row r="281" spans="8:10" ht="12.75" x14ac:dyDescent="0.2">
      <c r="H281" s="4"/>
      <c r="I281" s="4"/>
      <c r="J281" s="4"/>
    </row>
    <row r="282" spans="8:10" ht="12.75" x14ac:dyDescent="0.2">
      <c r="H282" s="4"/>
      <c r="I282" s="4"/>
      <c r="J282" s="4"/>
    </row>
    <row r="283" spans="8:10" ht="12.75" x14ac:dyDescent="0.2">
      <c r="H283" s="4"/>
      <c r="I283" s="4"/>
      <c r="J283" s="4"/>
    </row>
    <row r="284" spans="8:10" ht="12.75" x14ac:dyDescent="0.2">
      <c r="H284" s="4"/>
      <c r="I284" s="4"/>
      <c r="J284" s="4"/>
    </row>
    <row r="285" spans="8:10" ht="12.75" x14ac:dyDescent="0.2">
      <c r="H285" s="4"/>
      <c r="I285" s="4"/>
      <c r="J285" s="4"/>
    </row>
    <row r="286" spans="8:10" ht="12.75" x14ac:dyDescent="0.2">
      <c r="H286" s="4"/>
      <c r="I286" s="4"/>
      <c r="J286" s="4"/>
    </row>
    <row r="287" spans="8:10" ht="12.75" x14ac:dyDescent="0.2">
      <c r="H287" s="4"/>
      <c r="I287" s="4"/>
      <c r="J287" s="4"/>
    </row>
    <row r="288" spans="8:10" ht="12.75" x14ac:dyDescent="0.2">
      <c r="H288" s="4"/>
      <c r="I288" s="4"/>
      <c r="J288" s="4"/>
    </row>
    <row r="289" spans="8:10" ht="12.75" x14ac:dyDescent="0.2">
      <c r="H289" s="4"/>
      <c r="I289" s="4"/>
      <c r="J289" s="4"/>
    </row>
    <row r="290" spans="8:10" ht="12.75" x14ac:dyDescent="0.2">
      <c r="H290" s="4"/>
      <c r="I290" s="4"/>
      <c r="J290" s="4"/>
    </row>
    <row r="291" spans="8:10" ht="12.75" x14ac:dyDescent="0.2">
      <c r="H291" s="4"/>
      <c r="I291" s="4"/>
      <c r="J291" s="4"/>
    </row>
    <row r="292" spans="8:10" ht="12.75" x14ac:dyDescent="0.2">
      <c r="H292" s="4"/>
      <c r="I292" s="4"/>
      <c r="J292" s="4"/>
    </row>
    <row r="293" spans="8:10" ht="12.75" x14ac:dyDescent="0.2">
      <c r="H293" s="4"/>
      <c r="I293" s="4"/>
      <c r="J293" s="4"/>
    </row>
    <row r="294" spans="8:10" ht="12.75" x14ac:dyDescent="0.2">
      <c r="H294" s="4"/>
      <c r="I294" s="4"/>
      <c r="J294" s="4"/>
    </row>
    <row r="295" spans="8:10" ht="12.75" x14ac:dyDescent="0.2">
      <c r="H295" s="4"/>
      <c r="I295" s="4"/>
      <c r="J295" s="4"/>
    </row>
    <row r="296" spans="8:10" ht="12.75" x14ac:dyDescent="0.2">
      <c r="H296" s="4"/>
      <c r="I296" s="4"/>
      <c r="J296" s="4"/>
    </row>
    <row r="297" spans="8:10" ht="12.75" x14ac:dyDescent="0.2">
      <c r="H297" s="4"/>
      <c r="I297" s="4"/>
      <c r="J297" s="4"/>
    </row>
    <row r="298" spans="8:10" ht="12.75" x14ac:dyDescent="0.2">
      <c r="H298" s="4"/>
      <c r="I298" s="4"/>
      <c r="J298" s="4"/>
    </row>
    <row r="299" spans="8:10" ht="12.75" x14ac:dyDescent="0.2">
      <c r="H299" s="4"/>
      <c r="I299" s="4"/>
      <c r="J299" s="4"/>
    </row>
    <row r="300" spans="8:10" ht="12.75" x14ac:dyDescent="0.2">
      <c r="H300" s="4"/>
      <c r="I300" s="4"/>
      <c r="J300" s="4"/>
    </row>
    <row r="301" spans="8:10" ht="12.75" x14ac:dyDescent="0.2">
      <c r="H301" s="4"/>
      <c r="I301" s="4"/>
      <c r="J301" s="4"/>
    </row>
    <row r="302" spans="8:10" ht="12.75" x14ac:dyDescent="0.2">
      <c r="H302" s="4"/>
      <c r="I302" s="4"/>
      <c r="J302" s="4"/>
    </row>
    <row r="303" spans="8:10" ht="12.75" x14ac:dyDescent="0.2">
      <c r="H303" s="4"/>
      <c r="I303" s="4"/>
      <c r="J303" s="4"/>
    </row>
    <row r="304" spans="8:10" ht="12.75" x14ac:dyDescent="0.2">
      <c r="H304" s="4"/>
      <c r="I304" s="4"/>
      <c r="J304" s="4"/>
    </row>
    <row r="305" spans="8:10" ht="12.75" x14ac:dyDescent="0.2">
      <c r="H305" s="4"/>
      <c r="I305" s="4"/>
      <c r="J305" s="4"/>
    </row>
    <row r="306" spans="8:10" ht="12.75" x14ac:dyDescent="0.2">
      <c r="H306" s="4"/>
      <c r="I306" s="4"/>
      <c r="J306" s="4"/>
    </row>
    <row r="307" spans="8:10" ht="12.75" x14ac:dyDescent="0.2">
      <c r="H307" s="4"/>
      <c r="I307" s="4"/>
      <c r="J307" s="4"/>
    </row>
    <row r="308" spans="8:10" ht="12.75" x14ac:dyDescent="0.2">
      <c r="H308" s="4"/>
      <c r="I308" s="4"/>
      <c r="J308" s="4"/>
    </row>
    <row r="309" spans="8:10" ht="12.75" x14ac:dyDescent="0.2">
      <c r="H309" s="4"/>
      <c r="I309" s="4"/>
      <c r="J309" s="4"/>
    </row>
    <row r="310" spans="8:10" ht="12.75" x14ac:dyDescent="0.2">
      <c r="H310" s="4"/>
      <c r="I310" s="4"/>
      <c r="J310" s="4"/>
    </row>
    <row r="311" spans="8:10" ht="12.75" x14ac:dyDescent="0.2">
      <c r="H311" s="4"/>
      <c r="I311" s="4"/>
      <c r="J311" s="4"/>
    </row>
    <row r="312" spans="8:10" ht="12.75" x14ac:dyDescent="0.2">
      <c r="H312" s="4"/>
      <c r="I312" s="4"/>
      <c r="J312" s="4"/>
    </row>
    <row r="313" spans="8:10" ht="12.75" x14ac:dyDescent="0.2">
      <c r="H313" s="4"/>
      <c r="I313" s="4"/>
      <c r="J313" s="4"/>
    </row>
    <row r="314" spans="8:10" ht="12.75" x14ac:dyDescent="0.2">
      <c r="H314" s="4"/>
      <c r="I314" s="4"/>
      <c r="J314" s="4"/>
    </row>
    <row r="315" spans="8:10" ht="12.75" x14ac:dyDescent="0.2">
      <c r="H315" s="4"/>
      <c r="I315" s="4"/>
      <c r="J315" s="4"/>
    </row>
    <row r="316" spans="8:10" ht="12.75" x14ac:dyDescent="0.2">
      <c r="H316" s="4"/>
      <c r="I316" s="4"/>
      <c r="J316" s="4"/>
    </row>
    <row r="317" spans="8:10" ht="12.75" x14ac:dyDescent="0.2">
      <c r="H317" s="4"/>
      <c r="I317" s="4"/>
      <c r="J317" s="4"/>
    </row>
    <row r="318" spans="8:10" ht="12.75" x14ac:dyDescent="0.2">
      <c r="H318" s="4"/>
      <c r="I318" s="4"/>
      <c r="J318" s="4"/>
    </row>
    <row r="319" spans="8:10" ht="12.75" x14ac:dyDescent="0.2">
      <c r="H319" s="4"/>
      <c r="I319" s="4"/>
      <c r="J319" s="4"/>
    </row>
    <row r="320" spans="8:10" ht="12.75" x14ac:dyDescent="0.2">
      <c r="H320" s="4"/>
      <c r="I320" s="4"/>
      <c r="J320" s="4"/>
    </row>
    <row r="321" spans="8:10" ht="12.75" x14ac:dyDescent="0.2">
      <c r="H321" s="4"/>
      <c r="I321" s="4"/>
      <c r="J321" s="4"/>
    </row>
    <row r="322" spans="8:10" ht="12.75" x14ac:dyDescent="0.2">
      <c r="H322" s="4"/>
      <c r="I322" s="4"/>
      <c r="J322" s="4"/>
    </row>
    <row r="323" spans="8:10" ht="12.75" x14ac:dyDescent="0.2">
      <c r="H323" s="4"/>
      <c r="I323" s="4"/>
      <c r="J323" s="4"/>
    </row>
    <row r="324" spans="8:10" ht="12.75" x14ac:dyDescent="0.2">
      <c r="H324" s="4"/>
      <c r="I324" s="4"/>
      <c r="J324" s="4"/>
    </row>
    <row r="325" spans="8:10" ht="12.75" x14ac:dyDescent="0.2">
      <c r="H325" s="4"/>
      <c r="I325" s="4"/>
      <c r="J325" s="4"/>
    </row>
    <row r="326" spans="8:10" ht="12.75" x14ac:dyDescent="0.2">
      <c r="H326" s="4"/>
      <c r="I326" s="4"/>
      <c r="J326" s="4"/>
    </row>
    <row r="327" spans="8:10" ht="12.75" x14ac:dyDescent="0.2">
      <c r="H327" s="4"/>
      <c r="I327" s="4"/>
      <c r="J327" s="4"/>
    </row>
    <row r="328" spans="8:10" ht="12.75" x14ac:dyDescent="0.2">
      <c r="H328" s="4"/>
      <c r="I328" s="4"/>
      <c r="J328" s="4"/>
    </row>
    <row r="329" spans="8:10" ht="12.75" x14ac:dyDescent="0.2">
      <c r="H329" s="4"/>
      <c r="I329" s="4"/>
      <c r="J329" s="4"/>
    </row>
    <row r="330" spans="8:10" ht="12.75" x14ac:dyDescent="0.2">
      <c r="H330" s="4"/>
      <c r="I330" s="4"/>
      <c r="J330" s="4"/>
    </row>
    <row r="331" spans="8:10" ht="12.75" x14ac:dyDescent="0.2">
      <c r="H331" s="4"/>
      <c r="I331" s="4"/>
      <c r="J331" s="4"/>
    </row>
    <row r="332" spans="8:10" ht="12.75" x14ac:dyDescent="0.2">
      <c r="H332" s="4"/>
      <c r="I332" s="4"/>
      <c r="J332" s="4"/>
    </row>
    <row r="333" spans="8:10" ht="12.75" x14ac:dyDescent="0.2">
      <c r="H333" s="4"/>
      <c r="I333" s="4"/>
      <c r="J333" s="4"/>
    </row>
    <row r="334" spans="8:10" ht="12.75" x14ac:dyDescent="0.2">
      <c r="H334" s="4"/>
      <c r="I334" s="4"/>
      <c r="J334" s="4"/>
    </row>
    <row r="335" spans="8:10" ht="12.75" x14ac:dyDescent="0.2">
      <c r="H335" s="4"/>
      <c r="I335" s="4"/>
      <c r="J335" s="4"/>
    </row>
    <row r="336" spans="8:10" ht="12.75" x14ac:dyDescent="0.2">
      <c r="H336" s="4"/>
      <c r="I336" s="4"/>
      <c r="J336" s="4"/>
    </row>
    <row r="337" spans="8:10" ht="12.75" x14ac:dyDescent="0.2">
      <c r="H337" s="4"/>
      <c r="I337" s="4"/>
      <c r="J337" s="4"/>
    </row>
    <row r="338" spans="8:10" ht="12.75" x14ac:dyDescent="0.2">
      <c r="H338" s="4"/>
      <c r="I338" s="4"/>
      <c r="J338" s="4"/>
    </row>
    <row r="339" spans="8:10" ht="12.75" x14ac:dyDescent="0.2">
      <c r="H339" s="4"/>
      <c r="I339" s="4"/>
      <c r="J339" s="4"/>
    </row>
    <row r="340" spans="8:10" ht="12.75" x14ac:dyDescent="0.2">
      <c r="H340" s="4"/>
      <c r="I340" s="4"/>
      <c r="J340" s="4"/>
    </row>
    <row r="341" spans="8:10" ht="12.75" x14ac:dyDescent="0.2">
      <c r="H341" s="4"/>
      <c r="I341" s="4"/>
      <c r="J341" s="4"/>
    </row>
    <row r="342" spans="8:10" ht="12.75" x14ac:dyDescent="0.2">
      <c r="H342" s="4"/>
      <c r="I342" s="4"/>
      <c r="J342" s="4"/>
    </row>
    <row r="343" spans="8:10" ht="12.75" x14ac:dyDescent="0.2">
      <c r="H343" s="4"/>
      <c r="I343" s="4"/>
      <c r="J343" s="4"/>
    </row>
    <row r="344" spans="8:10" ht="12.75" x14ac:dyDescent="0.2">
      <c r="H344" s="4"/>
      <c r="I344" s="4"/>
      <c r="J344" s="4"/>
    </row>
    <row r="345" spans="8:10" ht="12.75" x14ac:dyDescent="0.2">
      <c r="H345" s="4"/>
      <c r="I345" s="4"/>
      <c r="J345" s="4"/>
    </row>
    <row r="346" spans="8:10" ht="12.75" x14ac:dyDescent="0.2">
      <c r="H346" s="4"/>
      <c r="I346" s="4"/>
      <c r="J346" s="4"/>
    </row>
    <row r="347" spans="8:10" ht="12.75" x14ac:dyDescent="0.2">
      <c r="H347" s="4"/>
      <c r="I347" s="4"/>
      <c r="J347" s="4"/>
    </row>
    <row r="348" spans="8:10" ht="12.75" x14ac:dyDescent="0.2">
      <c r="H348" s="4"/>
      <c r="I348" s="4"/>
      <c r="J348" s="4"/>
    </row>
    <row r="349" spans="8:10" ht="12.75" x14ac:dyDescent="0.2">
      <c r="H349" s="4"/>
      <c r="I349" s="4"/>
      <c r="J349" s="4"/>
    </row>
    <row r="350" spans="8:10" ht="12.75" x14ac:dyDescent="0.2">
      <c r="H350" s="4"/>
      <c r="I350" s="4"/>
      <c r="J350" s="4"/>
    </row>
    <row r="351" spans="8:10" ht="12.75" x14ac:dyDescent="0.2">
      <c r="H351" s="4"/>
      <c r="I351" s="4"/>
      <c r="J351" s="4"/>
    </row>
    <row r="352" spans="8:10" ht="12.75" x14ac:dyDescent="0.2">
      <c r="H352" s="4"/>
      <c r="I352" s="4"/>
      <c r="J352" s="4"/>
    </row>
    <row r="353" spans="8:10" ht="12.75" x14ac:dyDescent="0.2">
      <c r="H353" s="4"/>
      <c r="I353" s="4"/>
      <c r="J353" s="4"/>
    </row>
    <row r="354" spans="8:10" ht="12.75" x14ac:dyDescent="0.2">
      <c r="H354" s="4"/>
      <c r="I354" s="4"/>
      <c r="J354" s="4"/>
    </row>
    <row r="355" spans="8:10" ht="12.75" x14ac:dyDescent="0.2">
      <c r="H355" s="4"/>
      <c r="I355" s="4"/>
      <c r="J355" s="4"/>
    </row>
    <row r="356" spans="8:10" ht="12.75" x14ac:dyDescent="0.2">
      <c r="H356" s="4"/>
      <c r="I356" s="4"/>
      <c r="J356" s="4"/>
    </row>
    <row r="357" spans="8:10" ht="12.75" x14ac:dyDescent="0.2">
      <c r="H357" s="4"/>
      <c r="I357" s="4"/>
      <c r="J357" s="4"/>
    </row>
    <row r="358" spans="8:10" ht="12.75" x14ac:dyDescent="0.2">
      <c r="H358" s="4"/>
      <c r="I358" s="4"/>
      <c r="J358" s="4"/>
    </row>
    <row r="359" spans="8:10" ht="12.75" x14ac:dyDescent="0.2">
      <c r="H359" s="4"/>
      <c r="I359" s="4"/>
      <c r="J359" s="4"/>
    </row>
    <row r="360" spans="8:10" ht="12.75" x14ac:dyDescent="0.2">
      <c r="H360" s="4"/>
      <c r="I360" s="4"/>
      <c r="J360" s="4"/>
    </row>
    <row r="361" spans="8:10" ht="12.75" x14ac:dyDescent="0.2">
      <c r="H361" s="4"/>
      <c r="I361" s="4"/>
      <c r="J361" s="4"/>
    </row>
    <row r="362" spans="8:10" ht="12.75" x14ac:dyDescent="0.2">
      <c r="H362" s="4"/>
      <c r="I362" s="4"/>
      <c r="J362" s="4"/>
    </row>
    <row r="363" spans="8:10" ht="12.75" x14ac:dyDescent="0.2">
      <c r="H363" s="4"/>
      <c r="I363" s="4"/>
      <c r="J363" s="4"/>
    </row>
    <row r="364" spans="8:10" ht="12.75" x14ac:dyDescent="0.2">
      <c r="H364" s="4"/>
      <c r="I364" s="4"/>
      <c r="J364" s="4"/>
    </row>
    <row r="365" spans="8:10" ht="12.75" x14ac:dyDescent="0.2">
      <c r="H365" s="4"/>
      <c r="I365" s="4"/>
      <c r="J365" s="4"/>
    </row>
    <row r="366" spans="8:10" ht="12.75" x14ac:dyDescent="0.2">
      <c r="H366" s="4"/>
      <c r="I366" s="4"/>
      <c r="J366" s="4"/>
    </row>
    <row r="367" spans="8:10" ht="12.75" x14ac:dyDescent="0.2">
      <c r="H367" s="4"/>
      <c r="I367" s="4"/>
      <c r="J367" s="4"/>
    </row>
    <row r="368" spans="8:10" ht="12.75" x14ac:dyDescent="0.2">
      <c r="H368" s="4"/>
      <c r="I368" s="4"/>
      <c r="J368" s="4"/>
    </row>
    <row r="369" spans="8:10" ht="12.75" x14ac:dyDescent="0.2">
      <c r="H369" s="4"/>
      <c r="I369" s="4"/>
      <c r="J369" s="4"/>
    </row>
    <row r="370" spans="8:10" ht="12.75" x14ac:dyDescent="0.2">
      <c r="H370" s="4"/>
      <c r="I370" s="4"/>
      <c r="J370" s="4"/>
    </row>
    <row r="371" spans="8:10" ht="12.75" x14ac:dyDescent="0.2">
      <c r="H371" s="4"/>
      <c r="I371" s="4"/>
      <c r="J371" s="4"/>
    </row>
    <row r="372" spans="8:10" ht="12.75" x14ac:dyDescent="0.2">
      <c r="H372" s="4"/>
      <c r="I372" s="4"/>
      <c r="J372" s="4"/>
    </row>
    <row r="373" spans="8:10" ht="12.75" x14ac:dyDescent="0.2">
      <c r="H373" s="4"/>
      <c r="I373" s="4"/>
      <c r="J373" s="4"/>
    </row>
    <row r="374" spans="8:10" ht="12.75" x14ac:dyDescent="0.2">
      <c r="H374" s="4"/>
      <c r="I374" s="4"/>
      <c r="J374" s="4"/>
    </row>
    <row r="375" spans="8:10" ht="12.75" x14ac:dyDescent="0.2">
      <c r="H375" s="4"/>
      <c r="I375" s="4"/>
      <c r="J375" s="4"/>
    </row>
    <row r="376" spans="8:10" ht="12.75" x14ac:dyDescent="0.2">
      <c r="H376" s="4"/>
      <c r="I376" s="4"/>
      <c r="J376" s="4"/>
    </row>
    <row r="377" spans="8:10" ht="12.75" x14ac:dyDescent="0.2">
      <c r="H377" s="4"/>
      <c r="I377" s="4"/>
      <c r="J377" s="4"/>
    </row>
    <row r="378" spans="8:10" ht="12.75" x14ac:dyDescent="0.2">
      <c r="H378" s="4"/>
      <c r="I378" s="4"/>
      <c r="J378" s="4"/>
    </row>
    <row r="379" spans="8:10" ht="12.75" x14ac:dyDescent="0.2">
      <c r="H379" s="4"/>
      <c r="I379" s="4"/>
      <c r="J379" s="4"/>
    </row>
    <row r="380" spans="8:10" ht="12.75" x14ac:dyDescent="0.2">
      <c r="H380" s="4"/>
      <c r="I380" s="4"/>
      <c r="J380" s="4"/>
    </row>
    <row r="381" spans="8:10" ht="12.75" x14ac:dyDescent="0.2">
      <c r="H381" s="4"/>
      <c r="I381" s="4"/>
      <c r="J381" s="4"/>
    </row>
    <row r="382" spans="8:10" ht="12.75" x14ac:dyDescent="0.2">
      <c r="H382" s="4"/>
      <c r="I382" s="4"/>
      <c r="J382" s="4"/>
    </row>
    <row r="383" spans="8:10" ht="12.75" x14ac:dyDescent="0.2">
      <c r="H383" s="4"/>
      <c r="I383" s="4"/>
      <c r="J383" s="4"/>
    </row>
    <row r="384" spans="8:10" ht="12.75" x14ac:dyDescent="0.2">
      <c r="H384" s="4"/>
      <c r="I384" s="4"/>
      <c r="J384" s="4"/>
    </row>
    <row r="385" spans="8:10" ht="12.75" x14ac:dyDescent="0.2">
      <c r="H385" s="4"/>
      <c r="I385" s="4"/>
      <c r="J385" s="4"/>
    </row>
    <row r="386" spans="8:10" ht="12.75" x14ac:dyDescent="0.2">
      <c r="H386" s="4"/>
      <c r="I386" s="4"/>
      <c r="J386" s="4"/>
    </row>
    <row r="387" spans="8:10" ht="12.75" x14ac:dyDescent="0.2">
      <c r="H387" s="4"/>
      <c r="I387" s="4"/>
      <c r="J387" s="4"/>
    </row>
    <row r="388" spans="8:10" ht="12.75" x14ac:dyDescent="0.2">
      <c r="H388" s="4"/>
      <c r="I388" s="4"/>
      <c r="J388" s="4"/>
    </row>
    <row r="389" spans="8:10" ht="12.75" x14ac:dyDescent="0.2">
      <c r="H389" s="4"/>
      <c r="I389" s="4"/>
      <c r="J389" s="4"/>
    </row>
    <row r="390" spans="8:10" ht="12.75" x14ac:dyDescent="0.2">
      <c r="H390" s="4"/>
      <c r="I390" s="4"/>
      <c r="J390" s="4"/>
    </row>
    <row r="391" spans="8:10" ht="12.75" x14ac:dyDescent="0.2">
      <c r="H391" s="4"/>
      <c r="I391" s="4"/>
      <c r="J391" s="4"/>
    </row>
    <row r="392" spans="8:10" ht="12.75" x14ac:dyDescent="0.2">
      <c r="H392" s="4"/>
      <c r="I392" s="4"/>
      <c r="J392" s="4"/>
    </row>
    <row r="393" spans="8:10" ht="12.75" x14ac:dyDescent="0.2">
      <c r="H393" s="4"/>
      <c r="I393" s="4"/>
      <c r="J393" s="4"/>
    </row>
    <row r="394" spans="8:10" ht="12.75" x14ac:dyDescent="0.2">
      <c r="H394" s="4"/>
      <c r="I394" s="4"/>
      <c r="J394" s="4"/>
    </row>
    <row r="395" spans="8:10" ht="12.75" x14ac:dyDescent="0.2">
      <c r="H395" s="4"/>
      <c r="I395" s="4"/>
      <c r="J395" s="4"/>
    </row>
    <row r="396" spans="8:10" ht="12.75" x14ac:dyDescent="0.2">
      <c r="H396" s="4"/>
      <c r="I396" s="4"/>
      <c r="J396" s="4"/>
    </row>
    <row r="397" spans="8:10" ht="12.75" x14ac:dyDescent="0.2">
      <c r="H397" s="4"/>
      <c r="I397" s="4"/>
      <c r="J397" s="4"/>
    </row>
    <row r="398" spans="8:10" ht="12.75" x14ac:dyDescent="0.2">
      <c r="H398" s="4"/>
      <c r="I398" s="4"/>
      <c r="J398" s="4"/>
    </row>
    <row r="399" spans="8:10" ht="12.75" x14ac:dyDescent="0.2">
      <c r="H399" s="4"/>
      <c r="I399" s="4"/>
      <c r="J399" s="4"/>
    </row>
    <row r="400" spans="8:10" ht="12.75" x14ac:dyDescent="0.2">
      <c r="H400" s="4"/>
      <c r="I400" s="4"/>
      <c r="J400" s="4"/>
    </row>
    <row r="401" spans="8:10" ht="12.75" x14ac:dyDescent="0.2">
      <c r="H401" s="4"/>
      <c r="I401" s="4"/>
      <c r="J401" s="4"/>
    </row>
    <row r="402" spans="8:10" ht="12.75" x14ac:dyDescent="0.2">
      <c r="H402" s="4"/>
      <c r="I402" s="4"/>
      <c r="J402" s="4"/>
    </row>
    <row r="403" spans="8:10" ht="12.75" x14ac:dyDescent="0.2">
      <c r="H403" s="4"/>
      <c r="I403" s="4"/>
      <c r="J403" s="4"/>
    </row>
    <row r="404" spans="8:10" ht="12.75" x14ac:dyDescent="0.2">
      <c r="H404" s="4"/>
      <c r="I404" s="4"/>
      <c r="J404" s="4"/>
    </row>
    <row r="405" spans="8:10" ht="12.75" x14ac:dyDescent="0.2">
      <c r="H405" s="4"/>
      <c r="I405" s="4"/>
      <c r="J405" s="4"/>
    </row>
    <row r="406" spans="8:10" ht="12.75" x14ac:dyDescent="0.2">
      <c r="H406" s="4"/>
      <c r="I406" s="4"/>
      <c r="J406" s="4"/>
    </row>
    <row r="407" spans="8:10" ht="12.75" x14ac:dyDescent="0.2">
      <c r="H407" s="4"/>
      <c r="I407" s="4"/>
      <c r="J407" s="4"/>
    </row>
    <row r="408" spans="8:10" ht="12.75" x14ac:dyDescent="0.2">
      <c r="H408" s="4"/>
      <c r="I408" s="4"/>
      <c r="J408" s="4"/>
    </row>
    <row r="409" spans="8:10" ht="12.75" x14ac:dyDescent="0.2">
      <c r="H409" s="4"/>
      <c r="I409" s="4"/>
      <c r="J409" s="4"/>
    </row>
    <row r="410" spans="8:10" ht="12.75" x14ac:dyDescent="0.2">
      <c r="H410" s="4"/>
      <c r="I410" s="4"/>
      <c r="J410" s="4"/>
    </row>
    <row r="411" spans="8:10" ht="12.75" x14ac:dyDescent="0.2">
      <c r="H411" s="4"/>
      <c r="I411" s="4"/>
      <c r="J411" s="4"/>
    </row>
    <row r="412" spans="8:10" ht="12.75" x14ac:dyDescent="0.2">
      <c r="H412" s="4"/>
      <c r="I412" s="4"/>
      <c r="J412" s="4"/>
    </row>
    <row r="413" spans="8:10" ht="12.75" x14ac:dyDescent="0.2">
      <c r="H413" s="4"/>
      <c r="I413" s="4"/>
      <c r="J413" s="4"/>
    </row>
    <row r="414" spans="8:10" ht="12.75" x14ac:dyDescent="0.2">
      <c r="H414" s="4"/>
      <c r="I414" s="4"/>
      <c r="J414" s="4"/>
    </row>
    <row r="415" spans="8:10" ht="12.75" x14ac:dyDescent="0.2">
      <c r="H415" s="4"/>
      <c r="I415" s="4"/>
      <c r="J415" s="4"/>
    </row>
    <row r="416" spans="8:10" ht="12.75" x14ac:dyDescent="0.2">
      <c r="H416" s="4"/>
      <c r="I416" s="4"/>
      <c r="J416" s="4"/>
    </row>
    <row r="417" spans="8:10" ht="12.75" x14ac:dyDescent="0.2">
      <c r="H417" s="4"/>
      <c r="I417" s="4"/>
      <c r="J417" s="4"/>
    </row>
    <row r="418" spans="8:10" ht="12.75" x14ac:dyDescent="0.2">
      <c r="H418" s="4"/>
      <c r="I418" s="4"/>
      <c r="J418" s="4"/>
    </row>
    <row r="419" spans="8:10" ht="12.75" x14ac:dyDescent="0.2">
      <c r="H419" s="4"/>
      <c r="I419" s="4"/>
      <c r="J419" s="4"/>
    </row>
    <row r="420" spans="8:10" ht="12.75" x14ac:dyDescent="0.2">
      <c r="H420" s="4"/>
      <c r="I420" s="4"/>
      <c r="J420" s="4"/>
    </row>
    <row r="421" spans="8:10" ht="12.75" x14ac:dyDescent="0.2">
      <c r="H421" s="4"/>
      <c r="I421" s="4"/>
      <c r="J421" s="4"/>
    </row>
    <row r="422" spans="8:10" ht="12.75" x14ac:dyDescent="0.2">
      <c r="H422" s="4"/>
      <c r="I422" s="4"/>
      <c r="J422" s="4"/>
    </row>
    <row r="423" spans="8:10" ht="12.75" x14ac:dyDescent="0.2">
      <c r="H423" s="4"/>
      <c r="I423" s="4"/>
      <c r="J423" s="4"/>
    </row>
    <row r="424" spans="8:10" ht="12.75" x14ac:dyDescent="0.2">
      <c r="H424" s="4"/>
      <c r="I424" s="4"/>
      <c r="J424" s="4"/>
    </row>
    <row r="425" spans="8:10" ht="12.75" x14ac:dyDescent="0.2">
      <c r="H425" s="4"/>
      <c r="I425" s="4"/>
      <c r="J425" s="4"/>
    </row>
    <row r="426" spans="8:10" ht="12.75" x14ac:dyDescent="0.2">
      <c r="H426" s="4"/>
      <c r="I426" s="4"/>
      <c r="J426" s="4"/>
    </row>
    <row r="427" spans="8:10" ht="12.75" x14ac:dyDescent="0.2">
      <c r="H427" s="4"/>
      <c r="I427" s="4"/>
      <c r="J427" s="4"/>
    </row>
    <row r="428" spans="8:10" ht="12.75" x14ac:dyDescent="0.2">
      <c r="H428" s="4"/>
      <c r="I428" s="4"/>
      <c r="J428" s="4"/>
    </row>
    <row r="429" spans="8:10" ht="12.75" x14ac:dyDescent="0.2">
      <c r="H429" s="4"/>
      <c r="I429" s="4"/>
      <c r="J429" s="4"/>
    </row>
    <row r="430" spans="8:10" ht="12.75" x14ac:dyDescent="0.2">
      <c r="H430" s="4"/>
      <c r="I430" s="4"/>
      <c r="J430" s="4"/>
    </row>
    <row r="431" spans="8:10" ht="12.75" x14ac:dyDescent="0.2">
      <c r="H431" s="4"/>
      <c r="I431" s="4"/>
      <c r="J431" s="4"/>
    </row>
    <row r="432" spans="8:10" ht="12.75" x14ac:dyDescent="0.2">
      <c r="H432" s="4"/>
      <c r="I432" s="4"/>
      <c r="J432" s="4"/>
    </row>
    <row r="433" spans="8:10" ht="12.75" x14ac:dyDescent="0.2">
      <c r="H433" s="4"/>
      <c r="I433" s="4"/>
      <c r="J433" s="4"/>
    </row>
    <row r="434" spans="8:10" ht="12.75" x14ac:dyDescent="0.2">
      <c r="H434" s="4"/>
      <c r="I434" s="4"/>
      <c r="J434" s="4"/>
    </row>
    <row r="435" spans="8:10" ht="12.75" x14ac:dyDescent="0.2">
      <c r="H435" s="4"/>
      <c r="I435" s="4"/>
      <c r="J435" s="4"/>
    </row>
    <row r="436" spans="8:10" ht="12.75" x14ac:dyDescent="0.2">
      <c r="H436" s="4"/>
      <c r="I436" s="4"/>
      <c r="J436" s="4"/>
    </row>
    <row r="437" spans="8:10" ht="12.75" x14ac:dyDescent="0.2">
      <c r="H437" s="4"/>
      <c r="I437" s="4"/>
      <c r="J437" s="4"/>
    </row>
    <row r="438" spans="8:10" ht="12.75" x14ac:dyDescent="0.2">
      <c r="H438" s="4"/>
      <c r="I438" s="4"/>
      <c r="J438" s="4"/>
    </row>
    <row r="439" spans="8:10" ht="12.75" x14ac:dyDescent="0.2">
      <c r="H439" s="4"/>
      <c r="I439" s="4"/>
      <c r="J439" s="4"/>
    </row>
    <row r="440" spans="8:10" ht="12.75" x14ac:dyDescent="0.2">
      <c r="H440" s="4"/>
      <c r="I440" s="4"/>
      <c r="J440" s="4"/>
    </row>
    <row r="441" spans="8:10" ht="12.75" x14ac:dyDescent="0.2">
      <c r="H441" s="4"/>
      <c r="I441" s="4"/>
      <c r="J441" s="4"/>
    </row>
    <row r="442" spans="8:10" ht="12.75" x14ac:dyDescent="0.2">
      <c r="H442" s="4"/>
      <c r="I442" s="4"/>
      <c r="J442" s="4"/>
    </row>
    <row r="443" spans="8:10" ht="12.75" x14ac:dyDescent="0.2">
      <c r="H443" s="4"/>
      <c r="I443" s="4"/>
      <c r="J443" s="4"/>
    </row>
    <row r="444" spans="8:10" ht="12.75" x14ac:dyDescent="0.2">
      <c r="H444" s="4"/>
      <c r="I444" s="4"/>
      <c r="J444" s="4"/>
    </row>
    <row r="445" spans="8:10" ht="12.75" x14ac:dyDescent="0.2">
      <c r="H445" s="4"/>
      <c r="I445" s="4"/>
      <c r="J445" s="4"/>
    </row>
    <row r="446" spans="8:10" ht="12.75" x14ac:dyDescent="0.2">
      <c r="H446" s="4"/>
      <c r="I446" s="4"/>
      <c r="J446" s="4"/>
    </row>
    <row r="447" spans="8:10" ht="12.75" x14ac:dyDescent="0.2">
      <c r="H447" s="4"/>
      <c r="I447" s="4"/>
      <c r="J447" s="4"/>
    </row>
    <row r="448" spans="8:10" ht="12.75" x14ac:dyDescent="0.2">
      <c r="H448" s="4"/>
      <c r="I448" s="4"/>
      <c r="J448" s="4"/>
    </row>
    <row r="449" spans="8:10" ht="12.75" x14ac:dyDescent="0.2">
      <c r="H449" s="4"/>
      <c r="I449" s="4"/>
      <c r="J449" s="4"/>
    </row>
    <row r="450" spans="8:10" ht="12.75" x14ac:dyDescent="0.2">
      <c r="H450" s="4"/>
      <c r="I450" s="4"/>
      <c r="J450" s="4"/>
    </row>
    <row r="451" spans="8:10" ht="12.75" x14ac:dyDescent="0.2">
      <c r="H451" s="4"/>
      <c r="I451" s="4"/>
      <c r="J451" s="4"/>
    </row>
    <row r="452" spans="8:10" ht="12.75" x14ac:dyDescent="0.2">
      <c r="H452" s="4"/>
      <c r="I452" s="4"/>
      <c r="J452" s="4"/>
    </row>
    <row r="453" spans="8:10" ht="12.75" x14ac:dyDescent="0.2">
      <c r="H453" s="4"/>
      <c r="I453" s="4"/>
      <c r="J453" s="4"/>
    </row>
    <row r="454" spans="8:10" ht="12.75" x14ac:dyDescent="0.2">
      <c r="H454" s="4"/>
      <c r="I454" s="4"/>
      <c r="J454" s="4"/>
    </row>
    <row r="455" spans="8:10" ht="12.75" x14ac:dyDescent="0.2">
      <c r="H455" s="4"/>
      <c r="I455" s="4"/>
      <c r="J455" s="4"/>
    </row>
    <row r="456" spans="8:10" ht="12.75" x14ac:dyDescent="0.2">
      <c r="H456" s="4"/>
      <c r="I456" s="4"/>
      <c r="J456" s="4"/>
    </row>
    <row r="457" spans="8:10" ht="12.75" x14ac:dyDescent="0.2">
      <c r="H457" s="4"/>
      <c r="I457" s="4"/>
      <c r="J457" s="4"/>
    </row>
    <row r="458" spans="8:10" ht="12.75" x14ac:dyDescent="0.2">
      <c r="H458" s="4"/>
      <c r="I458" s="4"/>
      <c r="J458" s="4"/>
    </row>
    <row r="459" spans="8:10" ht="12.75" x14ac:dyDescent="0.2">
      <c r="H459" s="4"/>
      <c r="I459" s="4"/>
      <c r="J459" s="4"/>
    </row>
    <row r="460" spans="8:10" ht="12.75" x14ac:dyDescent="0.2">
      <c r="H460" s="4"/>
      <c r="I460" s="4"/>
      <c r="J460" s="4"/>
    </row>
    <row r="461" spans="8:10" ht="12.75" x14ac:dyDescent="0.2">
      <c r="H461" s="4"/>
      <c r="I461" s="4"/>
      <c r="J461" s="4"/>
    </row>
    <row r="462" spans="8:10" ht="12.75" x14ac:dyDescent="0.2">
      <c r="H462" s="4"/>
      <c r="I462" s="4"/>
      <c r="J462" s="4"/>
    </row>
    <row r="463" spans="8:10" ht="12.75" x14ac:dyDescent="0.2">
      <c r="H463" s="4"/>
      <c r="I463" s="4"/>
      <c r="J463" s="4"/>
    </row>
    <row r="464" spans="8:10" ht="12.75" x14ac:dyDescent="0.2">
      <c r="H464" s="4"/>
      <c r="I464" s="4"/>
      <c r="J464" s="4"/>
    </row>
    <row r="465" spans="8:10" ht="12.75" x14ac:dyDescent="0.2">
      <c r="H465" s="4"/>
      <c r="I465" s="4"/>
      <c r="J465" s="4"/>
    </row>
    <row r="466" spans="8:10" ht="12.75" x14ac:dyDescent="0.2">
      <c r="H466" s="4"/>
      <c r="I466" s="4"/>
      <c r="J466" s="4"/>
    </row>
    <row r="467" spans="8:10" ht="12.75" x14ac:dyDescent="0.2">
      <c r="H467" s="4"/>
      <c r="I467" s="4"/>
      <c r="J467" s="4"/>
    </row>
    <row r="468" spans="8:10" ht="12.75" x14ac:dyDescent="0.2">
      <c r="H468" s="4"/>
      <c r="I468" s="4"/>
      <c r="J468" s="4"/>
    </row>
    <row r="469" spans="8:10" ht="12.75" x14ac:dyDescent="0.2">
      <c r="H469" s="4"/>
      <c r="I469" s="4"/>
      <c r="J469" s="4"/>
    </row>
    <row r="470" spans="8:10" ht="12.75" x14ac:dyDescent="0.2">
      <c r="H470" s="4"/>
      <c r="I470" s="4"/>
      <c r="J470" s="4"/>
    </row>
    <row r="471" spans="8:10" ht="12.75" x14ac:dyDescent="0.2">
      <c r="H471" s="4"/>
      <c r="I471" s="4"/>
      <c r="J471" s="4"/>
    </row>
    <row r="472" spans="8:10" ht="12.75" x14ac:dyDescent="0.2">
      <c r="H472" s="4"/>
      <c r="I472" s="4"/>
      <c r="J472" s="4"/>
    </row>
    <row r="473" spans="8:10" ht="12.75" x14ac:dyDescent="0.2">
      <c r="H473" s="4"/>
      <c r="I473" s="4"/>
      <c r="J473" s="4"/>
    </row>
    <row r="474" spans="8:10" ht="12.75" x14ac:dyDescent="0.2">
      <c r="H474" s="4"/>
      <c r="I474" s="4"/>
      <c r="J474" s="4"/>
    </row>
    <row r="475" spans="8:10" ht="12.75" x14ac:dyDescent="0.2">
      <c r="H475" s="4"/>
      <c r="I475" s="4"/>
      <c r="J475" s="4"/>
    </row>
    <row r="476" spans="8:10" ht="12.75" x14ac:dyDescent="0.2">
      <c r="H476" s="4"/>
      <c r="I476" s="4"/>
      <c r="J476" s="4"/>
    </row>
    <row r="477" spans="8:10" ht="12.75" x14ac:dyDescent="0.2">
      <c r="H477" s="4"/>
      <c r="I477" s="4"/>
      <c r="J477" s="4"/>
    </row>
    <row r="478" spans="8:10" ht="12.75" x14ac:dyDescent="0.2">
      <c r="H478" s="4"/>
      <c r="I478" s="4"/>
      <c r="J478" s="4"/>
    </row>
    <row r="479" spans="8:10" ht="12.75" x14ac:dyDescent="0.2">
      <c r="H479" s="4"/>
      <c r="I479" s="4"/>
      <c r="J479" s="4"/>
    </row>
    <row r="480" spans="8:10" ht="12.75" x14ac:dyDescent="0.2">
      <c r="H480" s="4"/>
      <c r="I480" s="4"/>
      <c r="J480" s="4"/>
    </row>
    <row r="481" spans="8:10" ht="12.75" x14ac:dyDescent="0.2">
      <c r="H481" s="4"/>
      <c r="I481" s="4"/>
      <c r="J481" s="4"/>
    </row>
    <row r="482" spans="8:10" ht="12.75" x14ac:dyDescent="0.2">
      <c r="H482" s="4"/>
      <c r="I482" s="4"/>
      <c r="J482" s="4"/>
    </row>
    <row r="483" spans="8:10" ht="12.75" x14ac:dyDescent="0.2">
      <c r="H483" s="4"/>
      <c r="I483" s="4"/>
      <c r="J483" s="4"/>
    </row>
    <row r="484" spans="8:10" ht="12.75" x14ac:dyDescent="0.2">
      <c r="H484" s="4"/>
      <c r="I484" s="4"/>
      <c r="J484" s="4"/>
    </row>
    <row r="485" spans="8:10" ht="12.75" x14ac:dyDescent="0.2">
      <c r="H485" s="4"/>
      <c r="I485" s="4"/>
      <c r="J485" s="4"/>
    </row>
    <row r="486" spans="8:10" ht="12.75" x14ac:dyDescent="0.2">
      <c r="H486" s="4"/>
      <c r="I486" s="4"/>
      <c r="J486" s="4"/>
    </row>
    <row r="487" spans="8:10" ht="12.75" x14ac:dyDescent="0.2">
      <c r="H487" s="4"/>
      <c r="I487" s="4"/>
      <c r="J487" s="4"/>
    </row>
    <row r="488" spans="8:10" ht="12.75" x14ac:dyDescent="0.2">
      <c r="H488" s="4"/>
      <c r="I488" s="4"/>
      <c r="J488" s="4"/>
    </row>
    <row r="489" spans="8:10" ht="12.75" x14ac:dyDescent="0.2">
      <c r="H489" s="4"/>
      <c r="I489" s="4"/>
      <c r="J489" s="4"/>
    </row>
    <row r="490" spans="8:10" ht="12.75" x14ac:dyDescent="0.2">
      <c r="H490" s="4"/>
      <c r="I490" s="4"/>
      <c r="J490" s="4"/>
    </row>
    <row r="491" spans="8:10" ht="12.75" x14ac:dyDescent="0.2">
      <c r="H491" s="4"/>
      <c r="I491" s="4"/>
      <c r="J491" s="4"/>
    </row>
    <row r="492" spans="8:10" ht="12.75" x14ac:dyDescent="0.2">
      <c r="H492" s="4"/>
      <c r="I492" s="4"/>
      <c r="J492" s="4"/>
    </row>
    <row r="493" spans="8:10" ht="12.75" x14ac:dyDescent="0.2">
      <c r="H493" s="4"/>
      <c r="I493" s="4"/>
      <c r="J493" s="4"/>
    </row>
    <row r="494" spans="8:10" ht="12.75" x14ac:dyDescent="0.2">
      <c r="H494" s="4"/>
      <c r="I494" s="4"/>
      <c r="J494" s="4"/>
    </row>
    <row r="495" spans="8:10" ht="12.75" x14ac:dyDescent="0.2">
      <c r="H495" s="4"/>
      <c r="I495" s="4"/>
      <c r="J495" s="4"/>
    </row>
    <row r="496" spans="8:10" ht="12.75" x14ac:dyDescent="0.2">
      <c r="H496" s="4"/>
      <c r="I496" s="4"/>
      <c r="J496" s="4"/>
    </row>
    <row r="497" spans="8:10" ht="12.75" x14ac:dyDescent="0.2">
      <c r="H497" s="4"/>
      <c r="I497" s="4"/>
      <c r="J497" s="4"/>
    </row>
    <row r="498" spans="8:10" ht="12.75" x14ac:dyDescent="0.2">
      <c r="H498" s="4"/>
      <c r="I498" s="4"/>
      <c r="J498" s="4"/>
    </row>
    <row r="499" spans="8:10" ht="12.75" x14ac:dyDescent="0.2">
      <c r="H499" s="4"/>
      <c r="I499" s="4"/>
      <c r="J499" s="4"/>
    </row>
    <row r="500" spans="8:10" ht="12.75" x14ac:dyDescent="0.2">
      <c r="H500" s="4"/>
      <c r="I500" s="4"/>
      <c r="J500" s="4"/>
    </row>
    <row r="501" spans="8:10" ht="12.75" x14ac:dyDescent="0.2">
      <c r="H501" s="4"/>
      <c r="I501" s="4"/>
      <c r="J501" s="4"/>
    </row>
    <row r="502" spans="8:10" ht="12.75" x14ac:dyDescent="0.2">
      <c r="H502" s="4"/>
      <c r="I502" s="4"/>
      <c r="J502" s="4"/>
    </row>
    <row r="503" spans="8:10" ht="12.75" x14ac:dyDescent="0.2">
      <c r="H503" s="4"/>
      <c r="I503" s="4"/>
      <c r="J503" s="4"/>
    </row>
    <row r="504" spans="8:10" ht="12.75" x14ac:dyDescent="0.2">
      <c r="H504" s="4"/>
      <c r="I504" s="4"/>
      <c r="J504" s="4"/>
    </row>
    <row r="505" spans="8:10" ht="12.75" x14ac:dyDescent="0.2">
      <c r="H505" s="4"/>
      <c r="I505" s="4"/>
      <c r="J505" s="4"/>
    </row>
    <row r="506" spans="8:10" ht="12.75" x14ac:dyDescent="0.2">
      <c r="H506" s="4"/>
      <c r="I506" s="4"/>
      <c r="J506" s="4"/>
    </row>
    <row r="507" spans="8:10" ht="12.75" x14ac:dyDescent="0.2">
      <c r="H507" s="4"/>
      <c r="I507" s="4"/>
      <c r="J507" s="4"/>
    </row>
    <row r="508" spans="8:10" ht="12.75" x14ac:dyDescent="0.2">
      <c r="H508" s="4"/>
      <c r="I508" s="4"/>
      <c r="J508" s="4"/>
    </row>
    <row r="509" spans="8:10" ht="12.75" x14ac:dyDescent="0.2">
      <c r="H509" s="4"/>
      <c r="I509" s="4"/>
      <c r="J509" s="4"/>
    </row>
    <row r="510" spans="8:10" ht="12.75" x14ac:dyDescent="0.2">
      <c r="H510" s="4"/>
      <c r="I510" s="4"/>
      <c r="J510" s="4"/>
    </row>
    <row r="511" spans="8:10" ht="12.75" x14ac:dyDescent="0.2">
      <c r="H511" s="4"/>
      <c r="I511" s="4"/>
      <c r="J511" s="4"/>
    </row>
    <row r="512" spans="8:10" ht="12.75" x14ac:dyDescent="0.2">
      <c r="H512" s="4"/>
      <c r="I512" s="4"/>
      <c r="J512" s="4"/>
    </row>
    <row r="513" spans="8:10" ht="12.75" x14ac:dyDescent="0.2">
      <c r="H513" s="4"/>
      <c r="I513" s="4"/>
      <c r="J513" s="4"/>
    </row>
    <row r="514" spans="8:10" ht="12.75" x14ac:dyDescent="0.2">
      <c r="H514" s="4"/>
      <c r="I514" s="4"/>
      <c r="J514" s="4"/>
    </row>
    <row r="515" spans="8:10" ht="12.75" x14ac:dyDescent="0.2">
      <c r="H515" s="4"/>
      <c r="I515" s="4"/>
      <c r="J515" s="4"/>
    </row>
    <row r="516" spans="8:10" ht="12.75" x14ac:dyDescent="0.2">
      <c r="H516" s="4"/>
      <c r="I516" s="4"/>
      <c r="J516" s="4"/>
    </row>
    <row r="517" spans="8:10" ht="12.75" x14ac:dyDescent="0.2">
      <c r="H517" s="4"/>
      <c r="I517" s="4"/>
      <c r="J517" s="4"/>
    </row>
    <row r="518" spans="8:10" ht="12.75" x14ac:dyDescent="0.2">
      <c r="H518" s="4"/>
      <c r="I518" s="4"/>
      <c r="J518" s="4"/>
    </row>
    <row r="519" spans="8:10" ht="12.75" x14ac:dyDescent="0.2">
      <c r="H519" s="4"/>
      <c r="I519" s="4"/>
      <c r="J519" s="4"/>
    </row>
    <row r="520" spans="8:10" ht="12.75" x14ac:dyDescent="0.2">
      <c r="H520" s="4"/>
      <c r="I520" s="4"/>
      <c r="J520" s="4"/>
    </row>
    <row r="521" spans="8:10" ht="12.75" x14ac:dyDescent="0.2">
      <c r="H521" s="4"/>
      <c r="I521" s="4"/>
      <c r="J521" s="4"/>
    </row>
    <row r="522" spans="8:10" ht="12.75" x14ac:dyDescent="0.2">
      <c r="H522" s="4"/>
      <c r="I522" s="4"/>
      <c r="J522" s="4"/>
    </row>
    <row r="523" spans="8:10" ht="12.75" x14ac:dyDescent="0.2">
      <c r="H523" s="4"/>
      <c r="I523" s="4"/>
      <c r="J523" s="4"/>
    </row>
    <row r="524" spans="8:10" ht="12.75" x14ac:dyDescent="0.2">
      <c r="H524" s="4"/>
      <c r="I524" s="4"/>
      <c r="J524" s="4"/>
    </row>
    <row r="525" spans="8:10" ht="12.75" x14ac:dyDescent="0.2">
      <c r="H525" s="4"/>
      <c r="I525" s="4"/>
      <c r="J525" s="4"/>
    </row>
    <row r="526" spans="8:10" ht="12.75" x14ac:dyDescent="0.2">
      <c r="H526" s="4"/>
      <c r="I526" s="4"/>
      <c r="J526" s="4"/>
    </row>
    <row r="527" spans="8:10" ht="12.75" x14ac:dyDescent="0.2">
      <c r="H527" s="4"/>
      <c r="I527" s="4"/>
      <c r="J527" s="4"/>
    </row>
    <row r="528" spans="8:10" ht="12.75" x14ac:dyDescent="0.2">
      <c r="H528" s="4"/>
      <c r="I528" s="4"/>
      <c r="J528" s="4"/>
    </row>
    <row r="529" spans="8:10" ht="12.75" x14ac:dyDescent="0.2">
      <c r="H529" s="4"/>
      <c r="I529" s="4"/>
      <c r="J529" s="4"/>
    </row>
    <row r="530" spans="8:10" ht="12.75" x14ac:dyDescent="0.2">
      <c r="H530" s="4"/>
      <c r="I530" s="4"/>
      <c r="J530" s="4"/>
    </row>
    <row r="531" spans="8:10" ht="12.75" x14ac:dyDescent="0.2">
      <c r="H531" s="4"/>
      <c r="I531" s="4"/>
      <c r="J531" s="4"/>
    </row>
    <row r="532" spans="8:10" ht="12.75" x14ac:dyDescent="0.2">
      <c r="H532" s="4"/>
      <c r="I532" s="4"/>
      <c r="J532" s="4"/>
    </row>
    <row r="533" spans="8:10" ht="12.75" x14ac:dyDescent="0.2">
      <c r="H533" s="4"/>
      <c r="I533" s="4"/>
      <c r="J533" s="4"/>
    </row>
    <row r="534" spans="8:10" ht="12.75" x14ac:dyDescent="0.2">
      <c r="H534" s="4"/>
      <c r="I534" s="4"/>
      <c r="J534" s="4"/>
    </row>
    <row r="535" spans="8:10" ht="12.75" x14ac:dyDescent="0.2">
      <c r="H535" s="4"/>
      <c r="I535" s="4"/>
      <c r="J535" s="4"/>
    </row>
    <row r="536" spans="8:10" ht="12.75" x14ac:dyDescent="0.2">
      <c r="H536" s="4"/>
      <c r="I536" s="4"/>
      <c r="J536" s="4"/>
    </row>
    <row r="537" spans="8:10" ht="12.75" x14ac:dyDescent="0.2">
      <c r="H537" s="4"/>
      <c r="I537" s="4"/>
      <c r="J537" s="4"/>
    </row>
    <row r="538" spans="8:10" ht="12.75" x14ac:dyDescent="0.2">
      <c r="H538" s="4"/>
      <c r="I538" s="4"/>
      <c r="J538" s="4"/>
    </row>
    <row r="539" spans="8:10" ht="12.75" x14ac:dyDescent="0.2">
      <c r="H539" s="4"/>
      <c r="I539" s="4"/>
      <c r="J539" s="4"/>
    </row>
    <row r="540" spans="8:10" ht="12.75" x14ac:dyDescent="0.2">
      <c r="H540" s="4"/>
      <c r="I540" s="4"/>
      <c r="J540" s="4"/>
    </row>
    <row r="541" spans="8:10" ht="12.75" x14ac:dyDescent="0.2">
      <c r="H541" s="4"/>
      <c r="I541" s="4"/>
      <c r="J541" s="4"/>
    </row>
    <row r="542" spans="8:10" ht="12.75" x14ac:dyDescent="0.2">
      <c r="H542" s="4"/>
      <c r="I542" s="4"/>
      <c r="J542" s="4"/>
    </row>
    <row r="543" spans="8:10" ht="12.75" x14ac:dyDescent="0.2">
      <c r="H543" s="4"/>
      <c r="I543" s="4"/>
      <c r="J543" s="4"/>
    </row>
    <row r="544" spans="8:10" ht="12.75" x14ac:dyDescent="0.2">
      <c r="H544" s="4"/>
      <c r="I544" s="4"/>
      <c r="J544" s="4"/>
    </row>
    <row r="545" spans="8:10" ht="12.75" x14ac:dyDescent="0.2">
      <c r="H545" s="4"/>
      <c r="I545" s="4"/>
      <c r="J545" s="4"/>
    </row>
    <row r="546" spans="8:10" ht="12.75" x14ac:dyDescent="0.2">
      <c r="H546" s="4"/>
      <c r="I546" s="4"/>
      <c r="J546" s="4"/>
    </row>
    <row r="547" spans="8:10" ht="12.75" x14ac:dyDescent="0.2">
      <c r="H547" s="4"/>
      <c r="I547" s="4"/>
      <c r="J547" s="4"/>
    </row>
    <row r="548" spans="8:10" ht="12.75" x14ac:dyDescent="0.2">
      <c r="H548" s="4"/>
      <c r="I548" s="4"/>
      <c r="J548" s="4"/>
    </row>
    <row r="549" spans="8:10" ht="12.75" x14ac:dyDescent="0.2">
      <c r="H549" s="4"/>
      <c r="I549" s="4"/>
      <c r="J549" s="4"/>
    </row>
    <row r="550" spans="8:10" ht="12.75" x14ac:dyDescent="0.2">
      <c r="H550" s="4"/>
      <c r="I550" s="4"/>
      <c r="J550" s="4"/>
    </row>
    <row r="551" spans="8:10" ht="12.75" x14ac:dyDescent="0.2">
      <c r="H551" s="4"/>
      <c r="I551" s="4"/>
      <c r="J551" s="4"/>
    </row>
    <row r="552" spans="8:10" ht="12.75" x14ac:dyDescent="0.2">
      <c r="H552" s="4"/>
      <c r="I552" s="4"/>
      <c r="J552" s="4"/>
    </row>
    <row r="553" spans="8:10" ht="12.75" x14ac:dyDescent="0.2">
      <c r="H553" s="4"/>
      <c r="I553" s="4"/>
      <c r="J553" s="4"/>
    </row>
    <row r="554" spans="8:10" ht="12.75" x14ac:dyDescent="0.2">
      <c r="H554" s="4"/>
      <c r="I554" s="4"/>
      <c r="J554" s="4"/>
    </row>
    <row r="555" spans="8:10" ht="12.75" x14ac:dyDescent="0.2">
      <c r="H555" s="4"/>
      <c r="I555" s="4"/>
      <c r="J555" s="4"/>
    </row>
    <row r="556" spans="8:10" ht="12.75" x14ac:dyDescent="0.2">
      <c r="H556" s="4"/>
      <c r="I556" s="4"/>
      <c r="J556" s="4"/>
    </row>
    <row r="557" spans="8:10" ht="12.75" x14ac:dyDescent="0.2">
      <c r="H557" s="4"/>
      <c r="I557" s="4"/>
      <c r="J557" s="4"/>
    </row>
    <row r="558" spans="8:10" ht="12.75" x14ac:dyDescent="0.2">
      <c r="H558" s="4"/>
      <c r="I558" s="4"/>
      <c r="J558" s="4"/>
    </row>
    <row r="559" spans="8:10" ht="12.75" x14ac:dyDescent="0.2">
      <c r="H559" s="4"/>
      <c r="I559" s="4"/>
      <c r="J559" s="4"/>
    </row>
    <row r="560" spans="8:10" ht="12.75" x14ac:dyDescent="0.2">
      <c r="H560" s="4"/>
      <c r="I560" s="4"/>
      <c r="J560" s="4"/>
    </row>
    <row r="561" spans="8:10" ht="12.75" x14ac:dyDescent="0.2">
      <c r="H561" s="4"/>
      <c r="I561" s="4"/>
      <c r="J561" s="4"/>
    </row>
    <row r="562" spans="8:10" ht="12.75" x14ac:dyDescent="0.2">
      <c r="H562" s="4"/>
      <c r="I562" s="4"/>
      <c r="J562" s="4"/>
    </row>
    <row r="563" spans="8:10" ht="12.75" x14ac:dyDescent="0.2">
      <c r="H563" s="4"/>
      <c r="I563" s="4"/>
      <c r="J563" s="4"/>
    </row>
    <row r="564" spans="8:10" ht="12.75" x14ac:dyDescent="0.2">
      <c r="H564" s="4"/>
      <c r="I564" s="4"/>
      <c r="J564" s="4"/>
    </row>
    <row r="565" spans="8:10" ht="12.75" x14ac:dyDescent="0.2">
      <c r="H565" s="4"/>
      <c r="I565" s="4"/>
      <c r="J565" s="4"/>
    </row>
    <row r="566" spans="8:10" ht="12.75" x14ac:dyDescent="0.2">
      <c r="H566" s="4"/>
      <c r="I566" s="4"/>
      <c r="J566" s="4"/>
    </row>
    <row r="567" spans="8:10" ht="12.75" x14ac:dyDescent="0.2">
      <c r="H567" s="4"/>
      <c r="I567" s="4"/>
      <c r="J567" s="4"/>
    </row>
    <row r="568" spans="8:10" ht="12.75" x14ac:dyDescent="0.2">
      <c r="H568" s="4"/>
      <c r="I568" s="4"/>
      <c r="J568" s="4"/>
    </row>
    <row r="569" spans="8:10" ht="12.75" x14ac:dyDescent="0.2">
      <c r="H569" s="4"/>
      <c r="I569" s="4"/>
      <c r="J569" s="4"/>
    </row>
    <row r="570" spans="8:10" ht="12.75" x14ac:dyDescent="0.2">
      <c r="H570" s="4"/>
      <c r="I570" s="4"/>
      <c r="J570" s="4"/>
    </row>
    <row r="571" spans="8:10" ht="12.75" x14ac:dyDescent="0.2">
      <c r="H571" s="4"/>
      <c r="I571" s="4"/>
      <c r="J571" s="4"/>
    </row>
    <row r="572" spans="8:10" ht="12.75" x14ac:dyDescent="0.2">
      <c r="H572" s="4"/>
      <c r="I572" s="4"/>
      <c r="J572" s="4"/>
    </row>
    <row r="573" spans="8:10" ht="12.75" x14ac:dyDescent="0.2">
      <c r="H573" s="4"/>
      <c r="I573" s="4"/>
      <c r="J573" s="4"/>
    </row>
    <row r="574" spans="8:10" ht="12.75" x14ac:dyDescent="0.2">
      <c r="H574" s="4"/>
      <c r="I574" s="4"/>
      <c r="J574" s="4"/>
    </row>
    <row r="575" spans="8:10" ht="12.75" x14ac:dyDescent="0.2">
      <c r="H575" s="4"/>
      <c r="I575" s="4"/>
      <c r="J575" s="4"/>
    </row>
    <row r="576" spans="8:10" ht="12.75" x14ac:dyDescent="0.2">
      <c r="H576" s="4"/>
      <c r="I576" s="4"/>
      <c r="J576" s="4"/>
    </row>
    <row r="577" spans="8:10" ht="12.75" x14ac:dyDescent="0.2">
      <c r="H577" s="4"/>
      <c r="I577" s="4"/>
      <c r="J577" s="4"/>
    </row>
    <row r="578" spans="8:10" ht="12.75" x14ac:dyDescent="0.2">
      <c r="H578" s="4"/>
      <c r="I578" s="4"/>
      <c r="J578" s="4"/>
    </row>
    <row r="579" spans="8:10" ht="12.75" x14ac:dyDescent="0.2">
      <c r="H579" s="4"/>
      <c r="I579" s="4"/>
      <c r="J579" s="4"/>
    </row>
    <row r="580" spans="8:10" ht="12.75" x14ac:dyDescent="0.2">
      <c r="H580" s="4"/>
      <c r="I580" s="4"/>
      <c r="J580" s="4"/>
    </row>
    <row r="581" spans="8:10" ht="12.75" x14ac:dyDescent="0.2">
      <c r="H581" s="4"/>
      <c r="I581" s="4"/>
      <c r="J581" s="4"/>
    </row>
    <row r="582" spans="8:10" ht="12.75" x14ac:dyDescent="0.2">
      <c r="H582" s="4"/>
      <c r="I582" s="4"/>
      <c r="J582" s="4"/>
    </row>
    <row r="583" spans="8:10" ht="12.75" x14ac:dyDescent="0.2">
      <c r="H583" s="4"/>
      <c r="I583" s="4"/>
      <c r="J583" s="4"/>
    </row>
    <row r="584" spans="8:10" ht="12.75" x14ac:dyDescent="0.2">
      <c r="H584" s="4"/>
      <c r="I584" s="4"/>
      <c r="J584" s="4"/>
    </row>
    <row r="585" spans="8:10" ht="12.75" x14ac:dyDescent="0.2">
      <c r="H585" s="4"/>
      <c r="I585" s="4"/>
      <c r="J585" s="4"/>
    </row>
    <row r="586" spans="8:10" ht="12.75" x14ac:dyDescent="0.2">
      <c r="H586" s="4"/>
      <c r="I586" s="4"/>
      <c r="J586" s="4"/>
    </row>
    <row r="587" spans="8:10" ht="12.75" x14ac:dyDescent="0.2">
      <c r="H587" s="4"/>
      <c r="I587" s="4"/>
      <c r="J587" s="4"/>
    </row>
    <row r="588" spans="8:10" ht="12.75" x14ac:dyDescent="0.2">
      <c r="H588" s="4"/>
      <c r="I588" s="4"/>
      <c r="J588" s="4"/>
    </row>
    <row r="589" spans="8:10" ht="12.75" x14ac:dyDescent="0.2">
      <c r="H589" s="4"/>
      <c r="I589" s="4"/>
      <c r="J589" s="4"/>
    </row>
    <row r="590" spans="8:10" ht="12.75" x14ac:dyDescent="0.2">
      <c r="H590" s="4"/>
      <c r="I590" s="4"/>
      <c r="J590" s="4"/>
    </row>
    <row r="591" spans="8:10" ht="12.75" x14ac:dyDescent="0.2">
      <c r="H591" s="4"/>
      <c r="I591" s="4"/>
      <c r="J591" s="4"/>
    </row>
    <row r="592" spans="8:10" ht="12.75" x14ac:dyDescent="0.2">
      <c r="H592" s="4"/>
      <c r="I592" s="4"/>
      <c r="J592" s="4"/>
    </row>
    <row r="593" spans="8:10" ht="12.75" x14ac:dyDescent="0.2">
      <c r="H593" s="4"/>
      <c r="I593" s="4"/>
      <c r="J593" s="4"/>
    </row>
    <row r="594" spans="8:10" ht="12.75" x14ac:dyDescent="0.2">
      <c r="H594" s="4"/>
      <c r="I594" s="4"/>
      <c r="J594" s="4"/>
    </row>
    <row r="595" spans="8:10" ht="12.75" x14ac:dyDescent="0.2">
      <c r="H595" s="4"/>
      <c r="I595" s="4"/>
      <c r="J595" s="4"/>
    </row>
    <row r="596" spans="8:10" ht="12.75" x14ac:dyDescent="0.2">
      <c r="H596" s="4"/>
      <c r="I596" s="4"/>
      <c r="J596" s="4"/>
    </row>
    <row r="597" spans="8:10" ht="12.75" x14ac:dyDescent="0.2">
      <c r="H597" s="4"/>
      <c r="I597" s="4"/>
      <c r="J597" s="4"/>
    </row>
    <row r="598" spans="8:10" ht="12.75" x14ac:dyDescent="0.2">
      <c r="H598" s="4"/>
      <c r="I598" s="4"/>
      <c r="J598" s="4"/>
    </row>
    <row r="599" spans="8:10" ht="12.75" x14ac:dyDescent="0.2">
      <c r="H599" s="4"/>
      <c r="I599" s="4"/>
      <c r="J599" s="4"/>
    </row>
    <row r="600" spans="8:10" ht="12.75" x14ac:dyDescent="0.2">
      <c r="H600" s="4"/>
      <c r="I600" s="4"/>
      <c r="J600" s="4"/>
    </row>
    <row r="601" spans="8:10" ht="12.75" x14ac:dyDescent="0.2">
      <c r="H601" s="4"/>
      <c r="I601" s="4"/>
      <c r="J601" s="4"/>
    </row>
    <row r="602" spans="8:10" ht="12.75" x14ac:dyDescent="0.2">
      <c r="H602" s="4"/>
      <c r="I602" s="4"/>
      <c r="J602" s="4"/>
    </row>
    <row r="603" spans="8:10" ht="12.75" x14ac:dyDescent="0.2">
      <c r="H603" s="4"/>
      <c r="I603" s="4"/>
      <c r="J603" s="4"/>
    </row>
    <row r="604" spans="8:10" ht="12.75" x14ac:dyDescent="0.2">
      <c r="H604" s="4"/>
      <c r="I604" s="4"/>
      <c r="J604" s="4"/>
    </row>
    <row r="605" spans="8:10" ht="12.75" x14ac:dyDescent="0.2">
      <c r="H605" s="4"/>
      <c r="I605" s="4"/>
      <c r="J605" s="4"/>
    </row>
    <row r="606" spans="8:10" ht="12.75" x14ac:dyDescent="0.2">
      <c r="H606" s="4"/>
      <c r="I606" s="4"/>
      <c r="J606" s="4"/>
    </row>
    <row r="607" spans="8:10" ht="12.75" x14ac:dyDescent="0.2">
      <c r="H607" s="4"/>
      <c r="I607" s="4"/>
      <c r="J607" s="4"/>
    </row>
    <row r="608" spans="8:10" ht="12.75" x14ac:dyDescent="0.2">
      <c r="H608" s="4"/>
      <c r="I608" s="4"/>
      <c r="J608" s="4"/>
    </row>
    <row r="609" spans="8:10" ht="12.75" x14ac:dyDescent="0.2">
      <c r="H609" s="4"/>
      <c r="I609" s="4"/>
      <c r="J609" s="4"/>
    </row>
    <row r="610" spans="8:10" ht="12.75" x14ac:dyDescent="0.2">
      <c r="H610" s="4"/>
      <c r="I610" s="4"/>
      <c r="J610" s="4"/>
    </row>
    <row r="611" spans="8:10" ht="12.75" x14ac:dyDescent="0.2">
      <c r="H611" s="4"/>
      <c r="I611" s="4"/>
      <c r="J611" s="4"/>
    </row>
    <row r="612" spans="8:10" ht="12.75" x14ac:dyDescent="0.2">
      <c r="H612" s="4"/>
      <c r="I612" s="4"/>
      <c r="J612" s="4"/>
    </row>
    <row r="613" spans="8:10" ht="12.75" x14ac:dyDescent="0.2">
      <c r="H613" s="4"/>
      <c r="I613" s="4"/>
      <c r="J613" s="4"/>
    </row>
    <row r="614" spans="8:10" ht="12.75" x14ac:dyDescent="0.2">
      <c r="H614" s="4"/>
      <c r="I614" s="4"/>
      <c r="J614" s="4"/>
    </row>
    <row r="615" spans="8:10" ht="12.75" x14ac:dyDescent="0.2">
      <c r="H615" s="4"/>
      <c r="I615" s="4"/>
      <c r="J615" s="4"/>
    </row>
    <row r="616" spans="8:10" ht="12.75" x14ac:dyDescent="0.2">
      <c r="H616" s="4"/>
      <c r="I616" s="4"/>
      <c r="J616" s="4"/>
    </row>
    <row r="617" spans="8:10" ht="12.75" x14ac:dyDescent="0.2">
      <c r="H617" s="4"/>
      <c r="I617" s="4"/>
      <c r="J617" s="4"/>
    </row>
    <row r="618" spans="8:10" ht="12.75" x14ac:dyDescent="0.2">
      <c r="H618" s="4"/>
      <c r="I618" s="4"/>
      <c r="J618" s="4"/>
    </row>
    <row r="619" spans="8:10" ht="12.75" x14ac:dyDescent="0.2">
      <c r="H619" s="4"/>
      <c r="I619" s="4"/>
      <c r="J619" s="4"/>
    </row>
    <row r="620" spans="8:10" ht="12.75" x14ac:dyDescent="0.2">
      <c r="H620" s="4"/>
      <c r="I620" s="4"/>
      <c r="J620" s="4"/>
    </row>
    <row r="621" spans="8:10" ht="12.75" x14ac:dyDescent="0.2">
      <c r="H621" s="4"/>
      <c r="I621" s="4"/>
      <c r="J621" s="4"/>
    </row>
    <row r="622" spans="8:10" ht="12.75" x14ac:dyDescent="0.2">
      <c r="H622" s="4"/>
      <c r="I622" s="4"/>
      <c r="J622" s="4"/>
    </row>
    <row r="623" spans="8:10" ht="12.75" x14ac:dyDescent="0.2">
      <c r="H623" s="4"/>
      <c r="I623" s="4"/>
      <c r="J623" s="4"/>
    </row>
    <row r="624" spans="8:10" ht="12.75" x14ac:dyDescent="0.2">
      <c r="H624" s="4"/>
      <c r="I624" s="4"/>
      <c r="J624" s="4"/>
    </row>
    <row r="625" spans="8:10" ht="12.75" x14ac:dyDescent="0.2">
      <c r="H625" s="4"/>
      <c r="I625" s="4"/>
      <c r="J625" s="4"/>
    </row>
    <row r="626" spans="8:10" ht="12.75" x14ac:dyDescent="0.2">
      <c r="H626" s="4"/>
      <c r="I626" s="4"/>
      <c r="J626" s="4"/>
    </row>
    <row r="627" spans="8:10" ht="12.75" x14ac:dyDescent="0.2">
      <c r="H627" s="4"/>
      <c r="I627" s="4"/>
      <c r="J627" s="4"/>
    </row>
    <row r="628" spans="8:10" ht="12.75" x14ac:dyDescent="0.2">
      <c r="H628" s="4"/>
      <c r="I628" s="4"/>
      <c r="J628" s="4"/>
    </row>
    <row r="629" spans="8:10" ht="12.75" x14ac:dyDescent="0.2">
      <c r="H629" s="4"/>
      <c r="I629" s="4"/>
      <c r="J629" s="4"/>
    </row>
    <row r="630" spans="8:10" ht="12.75" x14ac:dyDescent="0.2">
      <c r="H630" s="4"/>
      <c r="I630" s="4"/>
      <c r="J630" s="4"/>
    </row>
    <row r="631" spans="8:10" ht="12.75" x14ac:dyDescent="0.2">
      <c r="H631" s="4"/>
      <c r="I631" s="4"/>
      <c r="J631" s="4"/>
    </row>
    <row r="632" spans="8:10" ht="12.75" x14ac:dyDescent="0.2">
      <c r="H632" s="4"/>
      <c r="I632" s="4"/>
      <c r="J632" s="4"/>
    </row>
    <row r="633" spans="8:10" ht="12.75" x14ac:dyDescent="0.2">
      <c r="H633" s="4"/>
      <c r="I633" s="4"/>
      <c r="J633" s="4"/>
    </row>
    <row r="634" spans="8:10" ht="12.75" x14ac:dyDescent="0.2">
      <c r="H634" s="4"/>
      <c r="I634" s="4"/>
      <c r="J634" s="4"/>
    </row>
    <row r="635" spans="8:10" ht="12.75" x14ac:dyDescent="0.2">
      <c r="H635" s="4"/>
      <c r="I635" s="4"/>
      <c r="J635" s="4"/>
    </row>
    <row r="636" spans="8:10" ht="12.75" x14ac:dyDescent="0.2">
      <c r="H636" s="4"/>
      <c r="I636" s="4"/>
      <c r="J636" s="4"/>
    </row>
    <row r="637" spans="8:10" ht="12.75" x14ac:dyDescent="0.2">
      <c r="H637" s="4"/>
      <c r="I637" s="4"/>
      <c r="J637" s="4"/>
    </row>
    <row r="638" spans="8:10" ht="12.75" x14ac:dyDescent="0.2">
      <c r="H638" s="4"/>
      <c r="I638" s="4"/>
      <c r="J638" s="4"/>
    </row>
    <row r="639" spans="8:10" ht="12.75" x14ac:dyDescent="0.2">
      <c r="H639" s="4"/>
      <c r="I639" s="4"/>
      <c r="J639" s="4"/>
    </row>
    <row r="640" spans="8:10" ht="12.75" x14ac:dyDescent="0.2">
      <c r="H640" s="4"/>
      <c r="I640" s="4"/>
      <c r="J640" s="4"/>
    </row>
    <row r="641" spans="8:10" ht="12.75" x14ac:dyDescent="0.2">
      <c r="H641" s="4"/>
      <c r="I641" s="4"/>
      <c r="J641" s="4"/>
    </row>
    <row r="642" spans="8:10" ht="12.75" x14ac:dyDescent="0.2">
      <c r="H642" s="4"/>
      <c r="I642" s="4"/>
      <c r="J642" s="4"/>
    </row>
    <row r="643" spans="8:10" ht="12.75" x14ac:dyDescent="0.2">
      <c r="H643" s="4"/>
      <c r="I643" s="4"/>
      <c r="J643" s="4"/>
    </row>
    <row r="644" spans="8:10" ht="12.75" x14ac:dyDescent="0.2">
      <c r="H644" s="4"/>
      <c r="I644" s="4"/>
      <c r="J644" s="4"/>
    </row>
    <row r="645" spans="8:10" ht="12.75" x14ac:dyDescent="0.2">
      <c r="H645" s="4"/>
      <c r="I645" s="4"/>
      <c r="J645" s="4"/>
    </row>
    <row r="646" spans="8:10" ht="12.75" x14ac:dyDescent="0.2">
      <c r="H646" s="4"/>
      <c r="I646" s="4"/>
      <c r="J646" s="4"/>
    </row>
    <row r="647" spans="8:10" ht="12.75" x14ac:dyDescent="0.2">
      <c r="H647" s="4"/>
      <c r="I647" s="4"/>
      <c r="J647" s="4"/>
    </row>
    <row r="648" spans="8:10" ht="12.75" x14ac:dyDescent="0.2">
      <c r="H648" s="4"/>
      <c r="I648" s="4"/>
      <c r="J648" s="4"/>
    </row>
    <row r="649" spans="8:10" ht="12.75" x14ac:dyDescent="0.2">
      <c r="H649" s="4"/>
      <c r="I649" s="4"/>
      <c r="J649" s="4"/>
    </row>
    <row r="650" spans="8:10" ht="12.75" x14ac:dyDescent="0.2">
      <c r="H650" s="4"/>
      <c r="I650" s="4"/>
      <c r="J650" s="4"/>
    </row>
    <row r="651" spans="8:10" ht="12.75" x14ac:dyDescent="0.2">
      <c r="H651" s="4"/>
      <c r="I651" s="4"/>
      <c r="J651" s="4"/>
    </row>
    <row r="652" spans="8:10" ht="12.75" x14ac:dyDescent="0.2">
      <c r="H652" s="4"/>
      <c r="I652" s="4"/>
      <c r="J652" s="4"/>
    </row>
    <row r="653" spans="8:10" ht="12.75" x14ac:dyDescent="0.2">
      <c r="H653" s="4"/>
      <c r="I653" s="4"/>
      <c r="J653" s="4"/>
    </row>
    <row r="654" spans="8:10" ht="12.75" x14ac:dyDescent="0.2">
      <c r="H654" s="4"/>
      <c r="I654" s="4"/>
      <c r="J654" s="4"/>
    </row>
    <row r="655" spans="8:10" ht="12.75" x14ac:dyDescent="0.2">
      <c r="H655" s="4"/>
      <c r="I655" s="4"/>
      <c r="J655" s="4"/>
    </row>
    <row r="656" spans="8:10" ht="12.75" x14ac:dyDescent="0.2">
      <c r="H656" s="4"/>
      <c r="I656" s="4"/>
      <c r="J656" s="4"/>
    </row>
    <row r="657" spans="8:10" ht="12.75" x14ac:dyDescent="0.2">
      <c r="H657" s="4"/>
      <c r="I657" s="4"/>
      <c r="J657" s="4"/>
    </row>
    <row r="658" spans="8:10" ht="12.75" x14ac:dyDescent="0.2">
      <c r="H658" s="4"/>
      <c r="I658" s="4"/>
      <c r="J658" s="4"/>
    </row>
    <row r="659" spans="8:10" ht="12.75" x14ac:dyDescent="0.2">
      <c r="H659" s="4"/>
      <c r="I659" s="4"/>
      <c r="J659" s="4"/>
    </row>
    <row r="660" spans="8:10" ht="12.75" x14ac:dyDescent="0.2">
      <c r="H660" s="4"/>
      <c r="I660" s="4"/>
      <c r="J660" s="4"/>
    </row>
    <row r="661" spans="8:10" ht="12.75" x14ac:dyDescent="0.2">
      <c r="H661" s="4"/>
      <c r="I661" s="4"/>
      <c r="J661" s="4"/>
    </row>
    <row r="662" spans="8:10" ht="12.75" x14ac:dyDescent="0.2">
      <c r="H662" s="4"/>
      <c r="I662" s="4"/>
      <c r="J662" s="4"/>
    </row>
    <row r="663" spans="8:10" ht="12.75" x14ac:dyDescent="0.2">
      <c r="H663" s="4"/>
      <c r="I663" s="4"/>
      <c r="J663" s="4"/>
    </row>
    <row r="664" spans="8:10" ht="12.75" x14ac:dyDescent="0.2">
      <c r="H664" s="4"/>
      <c r="I664" s="4"/>
      <c r="J664" s="4"/>
    </row>
    <row r="665" spans="8:10" ht="12.75" x14ac:dyDescent="0.2">
      <c r="H665" s="4"/>
      <c r="I665" s="4"/>
      <c r="J665" s="4"/>
    </row>
    <row r="666" spans="8:10" ht="12.75" x14ac:dyDescent="0.2">
      <c r="H666" s="4"/>
      <c r="I666" s="4"/>
      <c r="J666" s="4"/>
    </row>
    <row r="667" spans="8:10" ht="12.75" x14ac:dyDescent="0.2">
      <c r="H667" s="4"/>
      <c r="I667" s="4"/>
      <c r="J667" s="4"/>
    </row>
    <row r="668" spans="8:10" ht="12.75" x14ac:dyDescent="0.2">
      <c r="H668" s="4"/>
      <c r="I668" s="4"/>
      <c r="J668" s="4"/>
    </row>
    <row r="669" spans="8:10" ht="12.75" x14ac:dyDescent="0.2">
      <c r="H669" s="4"/>
      <c r="I669" s="4"/>
      <c r="J669" s="4"/>
    </row>
    <row r="670" spans="8:10" ht="12.75" x14ac:dyDescent="0.2">
      <c r="H670" s="4"/>
      <c r="I670" s="4"/>
      <c r="J670" s="4"/>
    </row>
    <row r="671" spans="8:10" ht="12.75" x14ac:dyDescent="0.2">
      <c r="H671" s="4"/>
      <c r="I671" s="4"/>
      <c r="J671" s="4"/>
    </row>
    <row r="672" spans="8:10" ht="12.75" x14ac:dyDescent="0.2">
      <c r="H672" s="4"/>
      <c r="I672" s="4"/>
      <c r="J672" s="4"/>
    </row>
    <row r="673" spans="8:10" ht="12.75" x14ac:dyDescent="0.2">
      <c r="H673" s="4"/>
      <c r="I673" s="4"/>
      <c r="J673" s="4"/>
    </row>
    <row r="674" spans="8:10" ht="12.75" x14ac:dyDescent="0.2">
      <c r="H674" s="4"/>
      <c r="I674" s="4"/>
      <c r="J674" s="4"/>
    </row>
    <row r="675" spans="8:10" ht="12.75" x14ac:dyDescent="0.2">
      <c r="H675" s="4"/>
      <c r="I675" s="4"/>
      <c r="J675" s="4"/>
    </row>
    <row r="676" spans="8:10" ht="12.75" x14ac:dyDescent="0.2">
      <c r="H676" s="4"/>
      <c r="I676" s="4"/>
      <c r="J676" s="4"/>
    </row>
    <row r="677" spans="8:10" ht="12.75" x14ac:dyDescent="0.2">
      <c r="H677" s="4"/>
      <c r="I677" s="4"/>
      <c r="J677" s="4"/>
    </row>
    <row r="678" spans="8:10" ht="12.75" x14ac:dyDescent="0.2">
      <c r="H678" s="4"/>
      <c r="I678" s="4"/>
      <c r="J678" s="4"/>
    </row>
    <row r="679" spans="8:10" ht="12.75" x14ac:dyDescent="0.2">
      <c r="H679" s="4"/>
      <c r="I679" s="4"/>
      <c r="J679" s="4"/>
    </row>
    <row r="680" spans="8:10" ht="12.75" x14ac:dyDescent="0.2">
      <c r="H680" s="4"/>
      <c r="I680" s="4"/>
      <c r="J680" s="4"/>
    </row>
    <row r="681" spans="8:10" ht="12.75" x14ac:dyDescent="0.2">
      <c r="H681" s="4"/>
      <c r="I681" s="4"/>
      <c r="J681" s="4"/>
    </row>
    <row r="682" spans="8:10" ht="12.75" x14ac:dyDescent="0.2">
      <c r="H682" s="4"/>
      <c r="I682" s="4"/>
      <c r="J682" s="4"/>
    </row>
    <row r="683" spans="8:10" ht="12.75" x14ac:dyDescent="0.2">
      <c r="H683" s="4"/>
      <c r="I683" s="4"/>
      <c r="J683" s="4"/>
    </row>
    <row r="684" spans="8:10" ht="12.75" x14ac:dyDescent="0.2">
      <c r="H684" s="4"/>
      <c r="I684" s="4"/>
      <c r="J684" s="4"/>
    </row>
    <row r="685" spans="8:10" ht="12.75" x14ac:dyDescent="0.2">
      <c r="H685" s="4"/>
      <c r="I685" s="4"/>
      <c r="J685" s="4"/>
    </row>
    <row r="686" spans="8:10" ht="12.75" x14ac:dyDescent="0.2">
      <c r="H686" s="4"/>
      <c r="I686" s="4"/>
      <c r="J686" s="4"/>
    </row>
    <row r="687" spans="8:10" ht="12.75" x14ac:dyDescent="0.2">
      <c r="H687" s="4"/>
      <c r="I687" s="4"/>
      <c r="J687" s="4"/>
    </row>
    <row r="688" spans="8:10" ht="12.75" x14ac:dyDescent="0.2">
      <c r="H688" s="4"/>
      <c r="I688" s="4"/>
      <c r="J688" s="4"/>
    </row>
    <row r="689" spans="8:10" ht="12.75" x14ac:dyDescent="0.2">
      <c r="H689" s="4"/>
      <c r="I689" s="4"/>
      <c r="J689" s="4"/>
    </row>
    <row r="690" spans="8:10" ht="12.75" x14ac:dyDescent="0.2">
      <c r="H690" s="4"/>
      <c r="I690" s="4"/>
      <c r="J690" s="4"/>
    </row>
    <row r="691" spans="8:10" ht="12.75" x14ac:dyDescent="0.2">
      <c r="H691" s="4"/>
      <c r="I691" s="4"/>
      <c r="J691" s="4"/>
    </row>
    <row r="692" spans="8:10" ht="12.75" x14ac:dyDescent="0.2">
      <c r="H692" s="4"/>
      <c r="I692" s="4"/>
      <c r="J692" s="4"/>
    </row>
    <row r="693" spans="8:10" ht="12.75" x14ac:dyDescent="0.2">
      <c r="H693" s="4"/>
      <c r="I693" s="4"/>
      <c r="J693" s="4"/>
    </row>
    <row r="694" spans="8:10" ht="12.75" x14ac:dyDescent="0.2">
      <c r="H694" s="4"/>
      <c r="I694" s="4"/>
      <c r="J694" s="4"/>
    </row>
    <row r="695" spans="8:10" ht="12.75" x14ac:dyDescent="0.2">
      <c r="H695" s="4"/>
      <c r="I695" s="4"/>
      <c r="J695" s="4"/>
    </row>
    <row r="696" spans="8:10" ht="12.75" x14ac:dyDescent="0.2">
      <c r="H696" s="4"/>
      <c r="I696" s="4"/>
      <c r="J696" s="4"/>
    </row>
    <row r="697" spans="8:10" ht="12.75" x14ac:dyDescent="0.2">
      <c r="H697" s="4"/>
      <c r="I697" s="4"/>
      <c r="J697" s="4"/>
    </row>
    <row r="698" spans="8:10" ht="12.75" x14ac:dyDescent="0.2">
      <c r="H698" s="4"/>
      <c r="I698" s="4"/>
      <c r="J698" s="4"/>
    </row>
    <row r="699" spans="8:10" ht="12.75" x14ac:dyDescent="0.2">
      <c r="H699" s="4"/>
      <c r="I699" s="4"/>
      <c r="J699" s="4"/>
    </row>
    <row r="700" spans="8:10" ht="12.75" x14ac:dyDescent="0.2">
      <c r="H700" s="4"/>
      <c r="I700" s="4"/>
      <c r="J700" s="4"/>
    </row>
    <row r="701" spans="8:10" ht="12.75" x14ac:dyDescent="0.2">
      <c r="H701" s="4"/>
      <c r="I701" s="4"/>
      <c r="J701" s="4"/>
    </row>
    <row r="702" spans="8:10" ht="12.75" x14ac:dyDescent="0.2">
      <c r="H702" s="4"/>
      <c r="I702" s="4"/>
      <c r="J702" s="4"/>
    </row>
    <row r="703" spans="8:10" ht="12.75" x14ac:dyDescent="0.2">
      <c r="H703" s="4"/>
      <c r="I703" s="4"/>
      <c r="J703" s="4"/>
    </row>
    <row r="704" spans="8:10" ht="12.75" x14ac:dyDescent="0.2">
      <c r="H704" s="4"/>
      <c r="I704" s="4"/>
      <c r="J704" s="4"/>
    </row>
    <row r="705" spans="8:10" ht="12.75" x14ac:dyDescent="0.2">
      <c r="H705" s="4"/>
      <c r="I705" s="4"/>
      <c r="J705" s="4"/>
    </row>
    <row r="706" spans="8:10" ht="12.75" x14ac:dyDescent="0.2">
      <c r="H706" s="4"/>
      <c r="I706" s="4"/>
      <c r="J706" s="4"/>
    </row>
    <row r="707" spans="8:10" ht="12.75" x14ac:dyDescent="0.2">
      <c r="H707" s="4"/>
      <c r="I707" s="4"/>
      <c r="J707" s="4"/>
    </row>
    <row r="708" spans="8:10" ht="12.75" x14ac:dyDescent="0.2">
      <c r="H708" s="4"/>
      <c r="I708" s="4"/>
      <c r="J708" s="4"/>
    </row>
    <row r="709" spans="8:10" ht="12.75" x14ac:dyDescent="0.2">
      <c r="H709" s="4"/>
      <c r="I709" s="4"/>
      <c r="J709" s="4"/>
    </row>
    <row r="710" spans="8:10" ht="12.75" x14ac:dyDescent="0.2">
      <c r="H710" s="4"/>
      <c r="I710" s="4"/>
      <c r="J710" s="4"/>
    </row>
    <row r="711" spans="8:10" ht="12.75" x14ac:dyDescent="0.2">
      <c r="H711" s="4"/>
      <c r="I711" s="4"/>
      <c r="J711" s="4"/>
    </row>
    <row r="712" spans="8:10" ht="12.75" x14ac:dyDescent="0.2">
      <c r="H712" s="4"/>
      <c r="I712" s="4"/>
      <c r="J712" s="4"/>
    </row>
    <row r="713" spans="8:10" ht="12.75" x14ac:dyDescent="0.2">
      <c r="H713" s="4"/>
      <c r="I713" s="4"/>
      <c r="J713" s="4"/>
    </row>
    <row r="714" spans="8:10" ht="12.75" x14ac:dyDescent="0.2">
      <c r="H714" s="4"/>
      <c r="I714" s="4"/>
      <c r="J714" s="4"/>
    </row>
    <row r="715" spans="8:10" ht="12.75" x14ac:dyDescent="0.2">
      <c r="H715" s="4"/>
      <c r="I715" s="4"/>
      <c r="J715" s="4"/>
    </row>
    <row r="716" spans="8:10" ht="12.75" x14ac:dyDescent="0.2">
      <c r="H716" s="4"/>
      <c r="I716" s="4"/>
      <c r="J716" s="4"/>
    </row>
    <row r="717" spans="8:10" ht="12.75" x14ac:dyDescent="0.2">
      <c r="H717" s="4"/>
      <c r="I717" s="4"/>
      <c r="J717" s="4"/>
    </row>
    <row r="718" spans="8:10" ht="12.75" x14ac:dyDescent="0.2">
      <c r="H718" s="4"/>
      <c r="I718" s="4"/>
      <c r="J718" s="4"/>
    </row>
    <row r="719" spans="8:10" ht="12.75" x14ac:dyDescent="0.2">
      <c r="H719" s="4"/>
      <c r="I719" s="4"/>
      <c r="J719" s="4"/>
    </row>
    <row r="720" spans="8:10" ht="12.75" x14ac:dyDescent="0.2">
      <c r="H720" s="4"/>
      <c r="I720" s="4"/>
      <c r="J720" s="4"/>
    </row>
    <row r="721" spans="8:10" ht="12.75" x14ac:dyDescent="0.2">
      <c r="H721" s="4"/>
      <c r="I721" s="4"/>
      <c r="J721" s="4"/>
    </row>
    <row r="722" spans="8:10" ht="12.75" x14ac:dyDescent="0.2">
      <c r="H722" s="4"/>
      <c r="I722" s="4"/>
      <c r="J722" s="4"/>
    </row>
    <row r="723" spans="8:10" ht="12.75" x14ac:dyDescent="0.2">
      <c r="H723" s="4"/>
      <c r="I723" s="4"/>
      <c r="J723" s="4"/>
    </row>
    <row r="724" spans="8:10" ht="12.75" x14ac:dyDescent="0.2">
      <c r="H724" s="4"/>
      <c r="I724" s="4"/>
      <c r="J724" s="4"/>
    </row>
    <row r="725" spans="8:10" ht="12.75" x14ac:dyDescent="0.2">
      <c r="H725" s="4"/>
      <c r="I725" s="4"/>
      <c r="J725" s="4"/>
    </row>
    <row r="726" spans="8:10" ht="12.75" x14ac:dyDescent="0.2">
      <c r="H726" s="4"/>
      <c r="I726" s="4"/>
      <c r="J726" s="4"/>
    </row>
    <row r="727" spans="8:10" ht="12.75" x14ac:dyDescent="0.2">
      <c r="H727" s="4"/>
      <c r="I727" s="4"/>
      <c r="J727" s="4"/>
    </row>
    <row r="728" spans="8:10" ht="12.75" x14ac:dyDescent="0.2">
      <c r="H728" s="4"/>
      <c r="I728" s="4"/>
      <c r="J728" s="4"/>
    </row>
    <row r="729" spans="8:10" ht="12.75" x14ac:dyDescent="0.2">
      <c r="H729" s="4"/>
      <c r="I729" s="4"/>
      <c r="J729" s="4"/>
    </row>
    <row r="730" spans="8:10" ht="12.75" x14ac:dyDescent="0.2">
      <c r="H730" s="4"/>
      <c r="I730" s="4"/>
      <c r="J730" s="4"/>
    </row>
    <row r="731" spans="8:10" ht="12.75" x14ac:dyDescent="0.2">
      <c r="H731" s="4"/>
      <c r="I731" s="4"/>
      <c r="J731" s="4"/>
    </row>
    <row r="732" spans="8:10" ht="12.75" x14ac:dyDescent="0.2">
      <c r="H732" s="4"/>
      <c r="I732" s="4"/>
      <c r="J732" s="4"/>
    </row>
    <row r="733" spans="8:10" ht="12.75" x14ac:dyDescent="0.2">
      <c r="H733" s="4"/>
      <c r="I733" s="4"/>
      <c r="J733" s="4"/>
    </row>
    <row r="734" spans="8:10" ht="12.75" x14ac:dyDescent="0.2">
      <c r="H734" s="4"/>
      <c r="I734" s="4"/>
      <c r="J734" s="4"/>
    </row>
    <row r="735" spans="8:10" ht="12.75" x14ac:dyDescent="0.2">
      <c r="H735" s="4"/>
      <c r="I735" s="4"/>
      <c r="J735" s="4"/>
    </row>
    <row r="736" spans="8:10" ht="12.75" x14ac:dyDescent="0.2">
      <c r="H736" s="4"/>
      <c r="I736" s="4"/>
      <c r="J736" s="4"/>
    </row>
    <row r="737" spans="8:10" ht="12.75" x14ac:dyDescent="0.2">
      <c r="H737" s="4"/>
      <c r="I737" s="4"/>
      <c r="J737" s="4"/>
    </row>
    <row r="738" spans="8:10" ht="12.75" x14ac:dyDescent="0.2">
      <c r="H738" s="4"/>
      <c r="I738" s="4"/>
      <c r="J738" s="4"/>
    </row>
    <row r="739" spans="8:10" ht="12.75" x14ac:dyDescent="0.2">
      <c r="H739" s="4"/>
      <c r="I739" s="4"/>
      <c r="J739" s="4"/>
    </row>
    <row r="740" spans="8:10" ht="12.75" x14ac:dyDescent="0.2">
      <c r="H740" s="4"/>
      <c r="I740" s="4"/>
      <c r="J740" s="4"/>
    </row>
    <row r="741" spans="8:10" ht="12.75" x14ac:dyDescent="0.2">
      <c r="H741" s="4"/>
      <c r="I741" s="4"/>
      <c r="J741" s="4"/>
    </row>
    <row r="742" spans="8:10" ht="12.75" x14ac:dyDescent="0.2">
      <c r="H742" s="4"/>
      <c r="I742" s="4"/>
      <c r="J742" s="4"/>
    </row>
    <row r="743" spans="8:10" ht="12.75" x14ac:dyDescent="0.2">
      <c r="H743" s="4"/>
      <c r="I743" s="4"/>
      <c r="J743" s="4"/>
    </row>
    <row r="744" spans="8:10" ht="12.75" x14ac:dyDescent="0.2">
      <c r="H744" s="4"/>
      <c r="I744" s="4"/>
      <c r="J744" s="4"/>
    </row>
    <row r="745" spans="8:10" ht="12.75" x14ac:dyDescent="0.2">
      <c r="H745" s="4"/>
      <c r="I745" s="4"/>
      <c r="J745" s="4"/>
    </row>
    <row r="746" spans="8:10" ht="12.75" x14ac:dyDescent="0.2">
      <c r="H746" s="4"/>
      <c r="I746" s="4"/>
      <c r="J746" s="4"/>
    </row>
    <row r="747" spans="8:10" ht="12.75" x14ac:dyDescent="0.2">
      <c r="H747" s="4"/>
      <c r="I747" s="4"/>
      <c r="J747" s="4"/>
    </row>
    <row r="748" spans="8:10" ht="12.75" x14ac:dyDescent="0.2">
      <c r="H748" s="4"/>
      <c r="I748" s="4"/>
      <c r="J748" s="4"/>
    </row>
    <row r="749" spans="8:10" ht="12.75" x14ac:dyDescent="0.2">
      <c r="H749" s="4"/>
      <c r="I749" s="4"/>
      <c r="J749" s="4"/>
    </row>
    <row r="750" spans="8:10" ht="12.75" x14ac:dyDescent="0.2">
      <c r="H750" s="4"/>
      <c r="I750" s="4"/>
      <c r="J750" s="4"/>
    </row>
    <row r="751" spans="8:10" ht="12.75" x14ac:dyDescent="0.2">
      <c r="H751" s="4"/>
      <c r="I751" s="4"/>
      <c r="J751" s="4"/>
    </row>
    <row r="752" spans="8:10" ht="12.75" x14ac:dyDescent="0.2">
      <c r="H752" s="4"/>
      <c r="I752" s="4"/>
      <c r="J752" s="4"/>
    </row>
    <row r="753" spans="8:10" ht="12.75" x14ac:dyDescent="0.2">
      <c r="H753" s="4"/>
      <c r="I753" s="4"/>
      <c r="J753" s="4"/>
    </row>
    <row r="754" spans="8:10" ht="12.75" x14ac:dyDescent="0.2">
      <c r="H754" s="4"/>
      <c r="I754" s="4"/>
      <c r="J754" s="4"/>
    </row>
    <row r="755" spans="8:10" ht="12.75" x14ac:dyDescent="0.2">
      <c r="H755" s="4"/>
      <c r="I755" s="4"/>
      <c r="J755" s="4"/>
    </row>
    <row r="756" spans="8:10" ht="12.75" x14ac:dyDescent="0.2">
      <c r="H756" s="4"/>
      <c r="I756" s="4"/>
      <c r="J756" s="4"/>
    </row>
    <row r="757" spans="8:10" ht="12.75" x14ac:dyDescent="0.2">
      <c r="H757" s="4"/>
      <c r="I757" s="4"/>
      <c r="J757" s="4"/>
    </row>
    <row r="758" spans="8:10" ht="12.75" x14ac:dyDescent="0.2">
      <c r="H758" s="4"/>
      <c r="I758" s="4"/>
      <c r="J758" s="4"/>
    </row>
    <row r="759" spans="8:10" ht="12.75" x14ac:dyDescent="0.2">
      <c r="H759" s="4"/>
      <c r="I759" s="4"/>
      <c r="J759" s="4"/>
    </row>
    <row r="760" spans="8:10" ht="12.75" x14ac:dyDescent="0.2">
      <c r="H760" s="4"/>
      <c r="I760" s="4"/>
      <c r="J760" s="4"/>
    </row>
    <row r="761" spans="8:10" ht="12.75" x14ac:dyDescent="0.2">
      <c r="H761" s="4"/>
      <c r="I761" s="4"/>
      <c r="J761" s="4"/>
    </row>
    <row r="762" spans="8:10" ht="12.75" x14ac:dyDescent="0.2">
      <c r="H762" s="4"/>
      <c r="I762" s="4"/>
      <c r="J762" s="4"/>
    </row>
    <row r="763" spans="8:10" ht="12.75" x14ac:dyDescent="0.2">
      <c r="H763" s="4"/>
      <c r="I763" s="4"/>
      <c r="J763" s="4"/>
    </row>
    <row r="764" spans="8:10" ht="12.75" x14ac:dyDescent="0.2">
      <c r="H764" s="4"/>
      <c r="I764" s="4"/>
      <c r="J764" s="4"/>
    </row>
    <row r="765" spans="8:10" ht="12.75" x14ac:dyDescent="0.2">
      <c r="H765" s="4"/>
      <c r="I765" s="4"/>
      <c r="J765" s="4"/>
    </row>
    <row r="766" spans="8:10" ht="12.75" x14ac:dyDescent="0.2">
      <c r="H766" s="4"/>
      <c r="I766" s="4"/>
      <c r="J766" s="4"/>
    </row>
    <row r="767" spans="8:10" ht="12.75" x14ac:dyDescent="0.2">
      <c r="H767" s="4"/>
      <c r="I767" s="4"/>
      <c r="J767" s="4"/>
    </row>
    <row r="768" spans="8:10" ht="12.75" x14ac:dyDescent="0.2">
      <c r="H768" s="4"/>
      <c r="I768" s="4"/>
      <c r="J768" s="4"/>
    </row>
    <row r="769" spans="8:10" ht="12.75" x14ac:dyDescent="0.2">
      <c r="H769" s="4"/>
      <c r="I769" s="4"/>
      <c r="J769" s="4"/>
    </row>
    <row r="770" spans="8:10" ht="12.75" x14ac:dyDescent="0.2">
      <c r="H770" s="4"/>
      <c r="I770" s="4"/>
      <c r="J770" s="4"/>
    </row>
    <row r="771" spans="8:10" ht="12.75" x14ac:dyDescent="0.2">
      <c r="H771" s="4"/>
      <c r="I771" s="4"/>
      <c r="J771" s="4"/>
    </row>
    <row r="772" spans="8:10" ht="12.75" x14ac:dyDescent="0.2">
      <c r="H772" s="4"/>
      <c r="I772" s="4"/>
      <c r="J772" s="4"/>
    </row>
    <row r="773" spans="8:10" ht="12.75" x14ac:dyDescent="0.2">
      <c r="H773" s="4"/>
      <c r="I773" s="4"/>
      <c r="J773" s="4"/>
    </row>
    <row r="774" spans="8:10" ht="12.75" x14ac:dyDescent="0.2">
      <c r="H774" s="4"/>
      <c r="I774" s="4"/>
      <c r="J774" s="4"/>
    </row>
    <row r="775" spans="8:10" ht="12.75" x14ac:dyDescent="0.2">
      <c r="H775" s="4"/>
      <c r="I775" s="4"/>
      <c r="J775" s="4"/>
    </row>
    <row r="776" spans="8:10" ht="12.75" x14ac:dyDescent="0.2">
      <c r="H776" s="4"/>
      <c r="I776" s="4"/>
      <c r="J776" s="4"/>
    </row>
    <row r="777" spans="8:10" ht="12.75" x14ac:dyDescent="0.2">
      <c r="H777" s="4"/>
      <c r="I777" s="4"/>
      <c r="J777" s="4"/>
    </row>
    <row r="778" spans="8:10" ht="12.75" x14ac:dyDescent="0.2">
      <c r="H778" s="4"/>
      <c r="I778" s="4"/>
      <c r="J778" s="4"/>
    </row>
    <row r="779" spans="8:10" ht="12.75" x14ac:dyDescent="0.2">
      <c r="H779" s="4"/>
      <c r="I779" s="4"/>
      <c r="J779" s="4"/>
    </row>
    <row r="780" spans="8:10" ht="12.75" x14ac:dyDescent="0.2">
      <c r="H780" s="4"/>
      <c r="I780" s="4"/>
      <c r="J780" s="4"/>
    </row>
    <row r="781" spans="8:10" ht="12.75" x14ac:dyDescent="0.2">
      <c r="H781" s="4"/>
      <c r="I781" s="4"/>
      <c r="J781" s="4"/>
    </row>
    <row r="782" spans="8:10" ht="12.75" x14ac:dyDescent="0.2">
      <c r="H782" s="4"/>
      <c r="I782" s="4"/>
      <c r="J782" s="4"/>
    </row>
    <row r="783" spans="8:10" ht="12.75" x14ac:dyDescent="0.2">
      <c r="H783" s="4"/>
      <c r="I783" s="4"/>
      <c r="J783" s="4"/>
    </row>
    <row r="784" spans="8:10" ht="12.75" x14ac:dyDescent="0.2">
      <c r="H784" s="4"/>
      <c r="I784" s="4"/>
      <c r="J784" s="4"/>
    </row>
    <row r="785" spans="8:10" ht="12.75" x14ac:dyDescent="0.2">
      <c r="H785" s="4"/>
      <c r="I785" s="4"/>
      <c r="J785" s="4"/>
    </row>
    <row r="786" spans="8:10" ht="12.75" x14ac:dyDescent="0.2">
      <c r="H786" s="4"/>
      <c r="I786" s="4"/>
      <c r="J786" s="4"/>
    </row>
    <row r="787" spans="8:10" ht="12.75" x14ac:dyDescent="0.2">
      <c r="H787" s="4"/>
      <c r="I787" s="4"/>
      <c r="J787" s="4"/>
    </row>
    <row r="788" spans="8:10" ht="12.75" x14ac:dyDescent="0.2">
      <c r="H788" s="4"/>
      <c r="I788" s="4"/>
      <c r="J788" s="4"/>
    </row>
    <row r="789" spans="8:10" ht="12.75" x14ac:dyDescent="0.2">
      <c r="H789" s="4"/>
      <c r="I789" s="4"/>
      <c r="J789" s="4"/>
    </row>
    <row r="790" spans="8:10" ht="12.75" x14ac:dyDescent="0.2">
      <c r="H790" s="4"/>
      <c r="I790" s="4"/>
      <c r="J790" s="4"/>
    </row>
    <row r="791" spans="8:10" ht="12.75" x14ac:dyDescent="0.2">
      <c r="H791" s="4"/>
      <c r="I791" s="4"/>
      <c r="J791" s="4"/>
    </row>
    <row r="792" spans="8:10" ht="12.75" x14ac:dyDescent="0.2">
      <c r="H792" s="4"/>
      <c r="I792" s="4"/>
      <c r="J792" s="4"/>
    </row>
    <row r="793" spans="8:10" ht="12.75" x14ac:dyDescent="0.2">
      <c r="H793" s="4"/>
      <c r="I793" s="4"/>
      <c r="J793" s="4"/>
    </row>
    <row r="794" spans="8:10" ht="12.75" x14ac:dyDescent="0.2">
      <c r="H794" s="4"/>
      <c r="I794" s="4"/>
      <c r="J794" s="4"/>
    </row>
    <row r="795" spans="8:10" ht="12.75" x14ac:dyDescent="0.2">
      <c r="H795" s="4"/>
      <c r="I795" s="4"/>
      <c r="J795" s="4"/>
    </row>
    <row r="796" spans="8:10" ht="12.75" x14ac:dyDescent="0.2">
      <c r="H796" s="4"/>
      <c r="I796" s="4"/>
      <c r="J796" s="4"/>
    </row>
    <row r="797" spans="8:10" ht="12.75" x14ac:dyDescent="0.2">
      <c r="H797" s="4"/>
      <c r="I797" s="4"/>
      <c r="J797" s="4"/>
    </row>
    <row r="798" spans="8:10" ht="12.75" x14ac:dyDescent="0.2">
      <c r="H798" s="4"/>
      <c r="I798" s="4"/>
      <c r="J798" s="4"/>
    </row>
    <row r="799" spans="8:10" ht="12.75" x14ac:dyDescent="0.2">
      <c r="H799" s="4"/>
      <c r="I799" s="4"/>
      <c r="J799" s="4"/>
    </row>
    <row r="800" spans="8:10" ht="12.75" x14ac:dyDescent="0.2">
      <c r="H800" s="4"/>
      <c r="I800" s="4"/>
      <c r="J800" s="4"/>
    </row>
    <row r="801" spans="8:10" ht="12.75" x14ac:dyDescent="0.2">
      <c r="H801" s="4"/>
      <c r="I801" s="4"/>
      <c r="J801" s="4"/>
    </row>
    <row r="802" spans="8:10" ht="12.75" x14ac:dyDescent="0.2">
      <c r="H802" s="4"/>
      <c r="I802" s="4"/>
      <c r="J802" s="4"/>
    </row>
    <row r="803" spans="8:10" ht="12.75" x14ac:dyDescent="0.2">
      <c r="H803" s="4"/>
      <c r="I803" s="4"/>
      <c r="J803" s="4"/>
    </row>
    <row r="804" spans="8:10" ht="12.75" x14ac:dyDescent="0.2">
      <c r="H804" s="4"/>
      <c r="I804" s="4"/>
      <c r="J804" s="4"/>
    </row>
    <row r="805" spans="8:10" ht="12.75" x14ac:dyDescent="0.2">
      <c r="H805" s="4"/>
      <c r="I805" s="4"/>
      <c r="J805" s="4"/>
    </row>
    <row r="806" spans="8:10" ht="12.75" x14ac:dyDescent="0.2">
      <c r="H806" s="4"/>
      <c r="I806" s="4"/>
      <c r="J806" s="4"/>
    </row>
    <row r="807" spans="8:10" ht="12.75" x14ac:dyDescent="0.2">
      <c r="H807" s="4"/>
      <c r="I807" s="4"/>
      <c r="J807" s="4"/>
    </row>
    <row r="808" spans="8:10" ht="12.75" x14ac:dyDescent="0.2">
      <c r="H808" s="4"/>
      <c r="I808" s="4"/>
      <c r="J808" s="4"/>
    </row>
    <row r="809" spans="8:10" ht="12.75" x14ac:dyDescent="0.2">
      <c r="H809" s="4"/>
      <c r="I809" s="4"/>
      <c r="J809" s="4"/>
    </row>
    <row r="810" spans="8:10" ht="12.75" x14ac:dyDescent="0.2">
      <c r="H810" s="4"/>
      <c r="I810" s="4"/>
      <c r="J810" s="4"/>
    </row>
    <row r="811" spans="8:10" ht="12.75" x14ac:dyDescent="0.2">
      <c r="H811" s="4"/>
      <c r="I811" s="4"/>
      <c r="J811" s="4"/>
    </row>
    <row r="812" spans="8:10" ht="12.75" x14ac:dyDescent="0.2">
      <c r="H812" s="4"/>
      <c r="I812" s="4"/>
      <c r="J812" s="4"/>
    </row>
    <row r="813" spans="8:10" ht="12.75" x14ac:dyDescent="0.2">
      <c r="H813" s="4"/>
      <c r="I813" s="4"/>
      <c r="J813" s="4"/>
    </row>
    <row r="814" spans="8:10" ht="12.75" x14ac:dyDescent="0.2">
      <c r="H814" s="4"/>
      <c r="I814" s="4"/>
      <c r="J814" s="4"/>
    </row>
    <row r="815" spans="8:10" ht="12.75" x14ac:dyDescent="0.2">
      <c r="H815" s="4"/>
      <c r="I815" s="4"/>
      <c r="J815" s="4"/>
    </row>
    <row r="816" spans="8:10" ht="12.75" x14ac:dyDescent="0.2">
      <c r="H816" s="4"/>
      <c r="I816" s="4"/>
      <c r="J816" s="4"/>
    </row>
    <row r="817" spans="8:10" ht="12.75" x14ac:dyDescent="0.2">
      <c r="H817" s="4"/>
      <c r="I817" s="4"/>
      <c r="J817" s="4"/>
    </row>
    <row r="818" spans="8:10" ht="12.75" x14ac:dyDescent="0.2">
      <c r="H818" s="4"/>
      <c r="I818" s="4"/>
      <c r="J818" s="4"/>
    </row>
    <row r="819" spans="8:10" ht="12.75" x14ac:dyDescent="0.2">
      <c r="H819" s="4"/>
      <c r="I819" s="4"/>
      <c r="J819" s="4"/>
    </row>
    <row r="820" spans="8:10" ht="12.75" x14ac:dyDescent="0.2">
      <c r="H820" s="4"/>
      <c r="I820" s="4"/>
      <c r="J820" s="4"/>
    </row>
    <row r="821" spans="8:10" ht="12.75" x14ac:dyDescent="0.2">
      <c r="H821" s="4"/>
      <c r="I821" s="4"/>
      <c r="J821" s="4"/>
    </row>
    <row r="822" spans="8:10" ht="12.75" x14ac:dyDescent="0.2">
      <c r="H822" s="4"/>
      <c r="I822" s="4"/>
      <c r="J822" s="4"/>
    </row>
    <row r="823" spans="8:10" ht="12.75" x14ac:dyDescent="0.2">
      <c r="H823" s="4"/>
      <c r="I823" s="4"/>
      <c r="J823" s="4"/>
    </row>
    <row r="824" spans="8:10" ht="12.75" x14ac:dyDescent="0.2">
      <c r="H824" s="4"/>
      <c r="I824" s="4"/>
      <c r="J824" s="4"/>
    </row>
    <row r="825" spans="8:10" ht="12.75" x14ac:dyDescent="0.2">
      <c r="H825" s="4"/>
      <c r="I825" s="4"/>
      <c r="J825" s="4"/>
    </row>
    <row r="826" spans="8:10" ht="12.75" x14ac:dyDescent="0.2">
      <c r="H826" s="4"/>
      <c r="I826" s="4"/>
      <c r="J826" s="4"/>
    </row>
    <row r="827" spans="8:10" ht="12.75" x14ac:dyDescent="0.2">
      <c r="H827" s="4"/>
      <c r="I827" s="4"/>
      <c r="J827" s="4"/>
    </row>
    <row r="828" spans="8:10" ht="12.75" x14ac:dyDescent="0.2">
      <c r="H828" s="4"/>
      <c r="I828" s="4"/>
      <c r="J828" s="4"/>
    </row>
    <row r="829" spans="8:10" ht="12.75" x14ac:dyDescent="0.2">
      <c r="H829" s="4"/>
      <c r="I829" s="4"/>
      <c r="J829" s="4"/>
    </row>
    <row r="830" spans="8:10" ht="12.75" x14ac:dyDescent="0.2">
      <c r="H830" s="4"/>
      <c r="I830" s="4"/>
      <c r="J830" s="4"/>
    </row>
    <row r="831" spans="8:10" ht="12.75" x14ac:dyDescent="0.2">
      <c r="H831" s="4"/>
      <c r="I831" s="4"/>
      <c r="J831" s="4"/>
    </row>
    <row r="832" spans="8:10" ht="12.75" x14ac:dyDescent="0.2">
      <c r="H832" s="4"/>
      <c r="I832" s="4"/>
      <c r="J832" s="4"/>
    </row>
    <row r="833" spans="8:10" ht="12.75" x14ac:dyDescent="0.2">
      <c r="H833" s="4"/>
      <c r="I833" s="4"/>
      <c r="J833" s="4"/>
    </row>
    <row r="834" spans="8:10" ht="12.75" x14ac:dyDescent="0.2">
      <c r="H834" s="4"/>
      <c r="I834" s="4"/>
      <c r="J834" s="4"/>
    </row>
    <row r="835" spans="8:10" ht="12.75" x14ac:dyDescent="0.2">
      <c r="H835" s="4"/>
      <c r="I835" s="4"/>
      <c r="J835" s="4"/>
    </row>
    <row r="836" spans="8:10" ht="12.75" x14ac:dyDescent="0.2">
      <c r="H836" s="4"/>
      <c r="I836" s="4"/>
      <c r="J836" s="4"/>
    </row>
    <row r="837" spans="8:10" ht="12.75" x14ac:dyDescent="0.2">
      <c r="H837" s="4"/>
      <c r="I837" s="4"/>
      <c r="J837" s="4"/>
    </row>
    <row r="838" spans="8:10" ht="12.75" x14ac:dyDescent="0.2">
      <c r="H838" s="4"/>
      <c r="I838" s="4"/>
      <c r="J838" s="4"/>
    </row>
    <row r="839" spans="8:10" ht="12.75" x14ac:dyDescent="0.2">
      <c r="H839" s="4"/>
      <c r="I839" s="4"/>
      <c r="J839" s="4"/>
    </row>
    <row r="840" spans="8:10" ht="12.75" x14ac:dyDescent="0.2">
      <c r="H840" s="4"/>
      <c r="I840" s="4"/>
      <c r="J840" s="4"/>
    </row>
    <row r="841" spans="8:10" ht="12.75" x14ac:dyDescent="0.2">
      <c r="H841" s="4"/>
      <c r="I841" s="4"/>
      <c r="J841" s="4"/>
    </row>
    <row r="842" spans="8:10" ht="12.75" x14ac:dyDescent="0.2">
      <c r="H842" s="4"/>
      <c r="I842" s="4"/>
      <c r="J842" s="4"/>
    </row>
    <row r="843" spans="8:10" ht="12.75" x14ac:dyDescent="0.2">
      <c r="H843" s="4"/>
      <c r="I843" s="4"/>
      <c r="J843" s="4"/>
    </row>
    <row r="844" spans="8:10" ht="12.75" x14ac:dyDescent="0.2">
      <c r="H844" s="4"/>
      <c r="I844" s="4"/>
      <c r="J844" s="4"/>
    </row>
    <row r="845" spans="8:10" ht="12.75" x14ac:dyDescent="0.2">
      <c r="H845" s="4"/>
      <c r="I845" s="4"/>
      <c r="J845" s="4"/>
    </row>
    <row r="846" spans="8:10" ht="12.75" x14ac:dyDescent="0.2">
      <c r="H846" s="4"/>
      <c r="I846" s="4"/>
      <c r="J846" s="4"/>
    </row>
    <row r="847" spans="8:10" ht="12.75" x14ac:dyDescent="0.2">
      <c r="H847" s="4"/>
      <c r="I847" s="4"/>
      <c r="J847" s="4"/>
    </row>
    <row r="848" spans="8:10" ht="12.75" x14ac:dyDescent="0.2">
      <c r="H848" s="4"/>
      <c r="I848" s="4"/>
      <c r="J848" s="4"/>
    </row>
    <row r="849" spans="8:10" ht="12.75" x14ac:dyDescent="0.2">
      <c r="H849" s="4"/>
      <c r="I849" s="4"/>
      <c r="J849" s="4"/>
    </row>
    <row r="850" spans="8:10" ht="12.75" x14ac:dyDescent="0.2">
      <c r="H850" s="4"/>
      <c r="I850" s="4"/>
      <c r="J850" s="4"/>
    </row>
    <row r="851" spans="8:10" ht="12.75" x14ac:dyDescent="0.2">
      <c r="H851" s="4"/>
      <c r="I851" s="4"/>
      <c r="J851" s="4"/>
    </row>
    <row r="852" spans="8:10" ht="12.75" x14ac:dyDescent="0.2">
      <c r="H852" s="4"/>
      <c r="I852" s="4"/>
      <c r="J852" s="4"/>
    </row>
    <row r="853" spans="8:10" ht="12.75" x14ac:dyDescent="0.2">
      <c r="H853" s="4"/>
      <c r="I853" s="4"/>
      <c r="J853" s="4"/>
    </row>
    <row r="854" spans="8:10" ht="12.75" x14ac:dyDescent="0.2">
      <c r="H854" s="4"/>
      <c r="I854" s="4"/>
      <c r="J854" s="4"/>
    </row>
    <row r="855" spans="8:10" ht="12.75" x14ac:dyDescent="0.2">
      <c r="H855" s="4"/>
      <c r="I855" s="4"/>
      <c r="J855" s="4"/>
    </row>
    <row r="856" spans="8:10" ht="12.75" x14ac:dyDescent="0.2">
      <c r="H856" s="4"/>
      <c r="I856" s="4"/>
      <c r="J856" s="4"/>
    </row>
    <row r="857" spans="8:10" ht="12.75" x14ac:dyDescent="0.2">
      <c r="H857" s="4"/>
      <c r="I857" s="4"/>
      <c r="J857" s="4"/>
    </row>
    <row r="858" spans="8:10" ht="12.75" x14ac:dyDescent="0.2">
      <c r="H858" s="4"/>
      <c r="I858" s="4"/>
      <c r="J858" s="4"/>
    </row>
    <row r="859" spans="8:10" ht="12.75" x14ac:dyDescent="0.2">
      <c r="H859" s="4"/>
      <c r="I859" s="4"/>
      <c r="J859" s="4"/>
    </row>
    <row r="860" spans="8:10" ht="12.75" x14ac:dyDescent="0.2">
      <c r="H860" s="4"/>
      <c r="I860" s="4"/>
      <c r="J860" s="4"/>
    </row>
    <row r="861" spans="8:10" ht="12.75" x14ac:dyDescent="0.2">
      <c r="H861" s="4"/>
      <c r="I861" s="4"/>
      <c r="J861" s="4"/>
    </row>
    <row r="862" spans="8:10" ht="12.75" x14ac:dyDescent="0.2">
      <c r="H862" s="4"/>
      <c r="I862" s="4"/>
      <c r="J862" s="4"/>
    </row>
    <row r="863" spans="8:10" ht="12.75" x14ac:dyDescent="0.2">
      <c r="H863" s="4"/>
      <c r="I863" s="4"/>
      <c r="J863" s="4"/>
    </row>
    <row r="864" spans="8:10" ht="12.75" x14ac:dyDescent="0.2">
      <c r="H864" s="4"/>
      <c r="I864" s="4"/>
      <c r="J864" s="4"/>
    </row>
    <row r="865" spans="8:10" ht="12.75" x14ac:dyDescent="0.2">
      <c r="H865" s="4"/>
      <c r="I865" s="4"/>
      <c r="J865" s="4"/>
    </row>
    <row r="866" spans="8:10" ht="12.75" x14ac:dyDescent="0.2">
      <c r="H866" s="4"/>
      <c r="I866" s="4"/>
      <c r="J866" s="4"/>
    </row>
    <row r="867" spans="8:10" ht="12.75" x14ac:dyDescent="0.2">
      <c r="H867" s="4"/>
      <c r="I867" s="4"/>
      <c r="J867" s="4"/>
    </row>
    <row r="868" spans="8:10" ht="12.75" x14ac:dyDescent="0.2">
      <c r="H868" s="4"/>
      <c r="I868" s="4"/>
      <c r="J868" s="4"/>
    </row>
    <row r="869" spans="8:10" ht="12.75" x14ac:dyDescent="0.2">
      <c r="H869" s="4"/>
      <c r="I869" s="4"/>
      <c r="J869" s="4"/>
    </row>
    <row r="870" spans="8:10" ht="12.75" x14ac:dyDescent="0.2">
      <c r="H870" s="4"/>
      <c r="I870" s="4"/>
      <c r="J870" s="4"/>
    </row>
    <row r="871" spans="8:10" ht="12.75" x14ac:dyDescent="0.2">
      <c r="H871" s="4"/>
      <c r="I871" s="4"/>
      <c r="J871" s="4"/>
    </row>
    <row r="872" spans="8:10" ht="12.75" x14ac:dyDescent="0.2">
      <c r="H872" s="4"/>
      <c r="I872" s="4"/>
      <c r="J872" s="4"/>
    </row>
    <row r="873" spans="8:10" ht="12.75" x14ac:dyDescent="0.2">
      <c r="H873" s="4"/>
      <c r="I873" s="4"/>
      <c r="J873" s="4"/>
    </row>
    <row r="874" spans="8:10" ht="12.75" x14ac:dyDescent="0.2">
      <c r="H874" s="4"/>
      <c r="I874" s="4"/>
      <c r="J874" s="4"/>
    </row>
    <row r="875" spans="8:10" ht="12.75" x14ac:dyDescent="0.2">
      <c r="H875" s="4"/>
      <c r="I875" s="4"/>
      <c r="J875" s="4"/>
    </row>
    <row r="876" spans="8:10" ht="12.75" x14ac:dyDescent="0.2">
      <c r="H876" s="4"/>
      <c r="I876" s="4"/>
      <c r="J876" s="4"/>
    </row>
    <row r="877" spans="8:10" ht="12.75" x14ac:dyDescent="0.2">
      <c r="H877" s="4"/>
      <c r="I877" s="4"/>
      <c r="J877" s="4"/>
    </row>
    <row r="878" spans="8:10" ht="12.75" x14ac:dyDescent="0.2">
      <c r="H878" s="4"/>
      <c r="I878" s="4"/>
      <c r="J878" s="4"/>
    </row>
    <row r="879" spans="8:10" ht="12.75" x14ac:dyDescent="0.2">
      <c r="H879" s="4"/>
      <c r="I879" s="4"/>
      <c r="J879" s="4"/>
    </row>
    <row r="880" spans="8:10" ht="12.75" x14ac:dyDescent="0.2">
      <c r="H880" s="4"/>
      <c r="I880" s="4"/>
      <c r="J880" s="4"/>
    </row>
    <row r="881" spans="8:10" ht="12.75" x14ac:dyDescent="0.2">
      <c r="H881" s="4"/>
      <c r="I881" s="4"/>
      <c r="J881" s="4"/>
    </row>
    <row r="882" spans="8:10" ht="12.75" x14ac:dyDescent="0.2">
      <c r="H882" s="4"/>
      <c r="I882" s="4"/>
      <c r="J882" s="4"/>
    </row>
    <row r="883" spans="8:10" ht="12.75" x14ac:dyDescent="0.2">
      <c r="H883" s="4"/>
      <c r="I883" s="4"/>
      <c r="J883" s="4"/>
    </row>
    <row r="884" spans="8:10" ht="12.75" x14ac:dyDescent="0.2">
      <c r="H884" s="4"/>
      <c r="I884" s="4"/>
      <c r="J884" s="4"/>
    </row>
    <row r="885" spans="8:10" ht="12.75" x14ac:dyDescent="0.2">
      <c r="H885" s="4"/>
      <c r="I885" s="4"/>
      <c r="J885" s="4"/>
    </row>
    <row r="886" spans="8:10" ht="12.75" x14ac:dyDescent="0.2">
      <c r="H886" s="4"/>
      <c r="I886" s="4"/>
      <c r="J886" s="4"/>
    </row>
    <row r="887" spans="8:10" ht="12.75" x14ac:dyDescent="0.2">
      <c r="H887" s="4"/>
      <c r="I887" s="4"/>
      <c r="J887" s="4"/>
    </row>
    <row r="888" spans="8:10" ht="12.75" x14ac:dyDescent="0.2">
      <c r="H888" s="4"/>
      <c r="I888" s="4"/>
      <c r="J888" s="4"/>
    </row>
    <row r="889" spans="8:10" ht="12.75" x14ac:dyDescent="0.2">
      <c r="H889" s="4"/>
      <c r="I889" s="4"/>
      <c r="J889" s="4"/>
    </row>
    <row r="890" spans="8:10" ht="12.75" x14ac:dyDescent="0.2">
      <c r="H890" s="4"/>
      <c r="I890" s="4"/>
      <c r="J890" s="4"/>
    </row>
    <row r="891" spans="8:10" ht="12.75" x14ac:dyDescent="0.2">
      <c r="H891" s="4"/>
      <c r="I891" s="4"/>
      <c r="J891" s="4"/>
    </row>
    <row r="892" spans="8:10" ht="12.75" x14ac:dyDescent="0.2">
      <c r="H892" s="4"/>
      <c r="I892" s="4"/>
      <c r="J892" s="4"/>
    </row>
    <row r="893" spans="8:10" ht="12.75" x14ac:dyDescent="0.2">
      <c r="H893" s="4"/>
      <c r="I893" s="4"/>
      <c r="J893" s="4"/>
    </row>
    <row r="894" spans="8:10" ht="12.75" x14ac:dyDescent="0.2">
      <c r="H894" s="4"/>
      <c r="I894" s="4"/>
      <c r="J894" s="4"/>
    </row>
    <row r="895" spans="8:10" ht="12.75" x14ac:dyDescent="0.2">
      <c r="H895" s="4"/>
      <c r="I895" s="4"/>
      <c r="J895" s="4"/>
    </row>
    <row r="896" spans="8:10" ht="12.75" x14ac:dyDescent="0.2">
      <c r="H896" s="4"/>
      <c r="I896" s="4"/>
      <c r="J896" s="4"/>
    </row>
    <row r="897" spans="8:10" ht="12.75" x14ac:dyDescent="0.2">
      <c r="H897" s="4"/>
      <c r="I897" s="4"/>
      <c r="J897" s="4"/>
    </row>
    <row r="898" spans="8:10" ht="12.75" x14ac:dyDescent="0.2">
      <c r="H898" s="4"/>
      <c r="I898" s="4"/>
      <c r="J898" s="4"/>
    </row>
    <row r="899" spans="8:10" ht="12.75" x14ac:dyDescent="0.2">
      <c r="H899" s="4"/>
      <c r="I899" s="4"/>
      <c r="J899" s="4"/>
    </row>
    <row r="900" spans="8:10" ht="12.75" x14ac:dyDescent="0.2">
      <c r="H900" s="4"/>
      <c r="I900" s="4"/>
      <c r="J900" s="4"/>
    </row>
    <row r="901" spans="8:10" ht="12.75" x14ac:dyDescent="0.2">
      <c r="H901" s="4"/>
      <c r="I901" s="4"/>
      <c r="J901" s="4"/>
    </row>
    <row r="902" spans="8:10" ht="12.75" x14ac:dyDescent="0.2">
      <c r="H902" s="4"/>
      <c r="I902" s="4"/>
      <c r="J902" s="4"/>
    </row>
    <row r="903" spans="8:10" ht="12.75" x14ac:dyDescent="0.2">
      <c r="H903" s="4"/>
      <c r="I903" s="4"/>
      <c r="J903" s="4"/>
    </row>
    <row r="904" spans="8:10" ht="12.75" x14ac:dyDescent="0.2">
      <c r="H904" s="4"/>
      <c r="I904" s="4"/>
      <c r="J904" s="4"/>
    </row>
    <row r="905" spans="8:10" ht="12.75" x14ac:dyDescent="0.2">
      <c r="H905" s="4"/>
      <c r="I905" s="4"/>
      <c r="J905" s="4"/>
    </row>
    <row r="906" spans="8:10" ht="12.75" x14ac:dyDescent="0.2">
      <c r="H906" s="4"/>
      <c r="I906" s="4"/>
      <c r="J906" s="4"/>
    </row>
    <row r="907" spans="8:10" ht="12.75" x14ac:dyDescent="0.2">
      <c r="H907" s="4"/>
      <c r="I907" s="4"/>
      <c r="J907" s="4"/>
    </row>
    <row r="908" spans="8:10" ht="12.75" x14ac:dyDescent="0.2">
      <c r="H908" s="4"/>
      <c r="I908" s="4"/>
      <c r="J908" s="4"/>
    </row>
    <row r="909" spans="8:10" ht="12.75" x14ac:dyDescent="0.2">
      <c r="H909" s="4"/>
      <c r="I909" s="4"/>
      <c r="J909" s="4"/>
    </row>
    <row r="910" spans="8:10" ht="12.75" x14ac:dyDescent="0.2">
      <c r="H910" s="4"/>
      <c r="I910" s="4"/>
      <c r="J910" s="4"/>
    </row>
    <row r="911" spans="8:10" ht="12.75" x14ac:dyDescent="0.2">
      <c r="H911" s="4"/>
      <c r="I911" s="4"/>
      <c r="J911" s="4"/>
    </row>
    <row r="912" spans="8:10" ht="12.75" x14ac:dyDescent="0.2">
      <c r="H912" s="4"/>
      <c r="I912" s="4"/>
      <c r="J912" s="4"/>
    </row>
    <row r="913" spans="8:10" ht="12.75" x14ac:dyDescent="0.2">
      <c r="H913" s="4"/>
      <c r="I913" s="4"/>
      <c r="J913" s="4"/>
    </row>
    <row r="914" spans="8:10" ht="12.75" x14ac:dyDescent="0.2">
      <c r="H914" s="4"/>
      <c r="I914" s="4"/>
      <c r="J914" s="4"/>
    </row>
    <row r="915" spans="8:10" ht="12.75" x14ac:dyDescent="0.2">
      <c r="H915" s="4"/>
      <c r="I915" s="4"/>
      <c r="J915" s="4"/>
    </row>
    <row r="916" spans="8:10" ht="12.75" x14ac:dyDescent="0.2">
      <c r="H916" s="4"/>
      <c r="I916" s="4"/>
      <c r="J916" s="4"/>
    </row>
    <row r="917" spans="8:10" ht="12.75" x14ac:dyDescent="0.2">
      <c r="H917" s="4"/>
      <c r="I917" s="4"/>
      <c r="J917" s="4"/>
    </row>
    <row r="918" spans="8:10" ht="12.75" x14ac:dyDescent="0.2">
      <c r="H918" s="4"/>
      <c r="I918" s="4"/>
      <c r="J918" s="4"/>
    </row>
    <row r="919" spans="8:10" ht="12.75" x14ac:dyDescent="0.2">
      <c r="H919" s="4"/>
      <c r="I919" s="4"/>
      <c r="J919" s="4"/>
    </row>
    <row r="920" spans="8:10" ht="12.75" x14ac:dyDescent="0.2">
      <c r="H920" s="4"/>
      <c r="I920" s="4"/>
      <c r="J920" s="4"/>
    </row>
    <row r="921" spans="8:10" ht="12.75" x14ac:dyDescent="0.2">
      <c r="H921" s="4"/>
      <c r="I921" s="4"/>
      <c r="J921" s="4"/>
    </row>
    <row r="922" spans="8:10" ht="12.75" x14ac:dyDescent="0.2">
      <c r="H922" s="4"/>
      <c r="I922" s="4"/>
      <c r="J922" s="4"/>
    </row>
    <row r="923" spans="8:10" ht="12.75" x14ac:dyDescent="0.2">
      <c r="H923" s="4"/>
      <c r="I923" s="4"/>
      <c r="J923" s="4"/>
    </row>
    <row r="924" spans="8:10" ht="12.75" x14ac:dyDescent="0.2">
      <c r="H924" s="4"/>
      <c r="I924" s="4"/>
      <c r="J924" s="4"/>
    </row>
    <row r="925" spans="8:10" ht="12.75" x14ac:dyDescent="0.2">
      <c r="H925" s="4"/>
      <c r="I925" s="4"/>
      <c r="J925" s="4"/>
    </row>
    <row r="926" spans="8:10" ht="12.75" x14ac:dyDescent="0.2">
      <c r="H926" s="4"/>
      <c r="I926" s="4"/>
      <c r="J926" s="4"/>
    </row>
    <row r="927" spans="8:10" ht="12.75" x14ac:dyDescent="0.2">
      <c r="H927" s="4"/>
      <c r="I927" s="4"/>
      <c r="J927" s="4"/>
    </row>
    <row r="928" spans="8:10" ht="12.75" x14ac:dyDescent="0.2">
      <c r="H928" s="4"/>
      <c r="I928" s="4"/>
      <c r="J928" s="4"/>
    </row>
    <row r="929" spans="8:10" ht="12.75" x14ac:dyDescent="0.2">
      <c r="H929" s="4"/>
      <c r="I929" s="4"/>
      <c r="J929" s="4"/>
    </row>
    <row r="930" spans="8:10" ht="12.75" x14ac:dyDescent="0.2">
      <c r="H930" s="4"/>
      <c r="I930" s="4"/>
      <c r="J930" s="4"/>
    </row>
    <row r="931" spans="8:10" ht="12.75" x14ac:dyDescent="0.2">
      <c r="H931" s="4"/>
      <c r="I931" s="4"/>
      <c r="J931" s="4"/>
    </row>
    <row r="932" spans="8:10" ht="12.75" x14ac:dyDescent="0.2">
      <c r="H932" s="4"/>
      <c r="I932" s="4"/>
      <c r="J932" s="4"/>
    </row>
    <row r="933" spans="8:10" ht="12.75" x14ac:dyDescent="0.2">
      <c r="H933" s="4"/>
      <c r="I933" s="4"/>
      <c r="J933" s="4"/>
    </row>
    <row r="934" spans="8:10" ht="12.75" x14ac:dyDescent="0.2">
      <c r="H934" s="4"/>
      <c r="I934" s="4"/>
      <c r="J934" s="4"/>
    </row>
    <row r="935" spans="8:10" ht="12.75" x14ac:dyDescent="0.2">
      <c r="H935" s="4"/>
      <c r="I935" s="4"/>
      <c r="J935" s="4"/>
    </row>
    <row r="936" spans="8:10" ht="12.75" x14ac:dyDescent="0.2">
      <c r="H936" s="4"/>
      <c r="I936" s="4"/>
      <c r="J936" s="4"/>
    </row>
    <row r="937" spans="8:10" ht="12.75" x14ac:dyDescent="0.2">
      <c r="H937" s="4"/>
      <c r="I937" s="4"/>
      <c r="J937" s="4"/>
    </row>
    <row r="938" spans="8:10" ht="12.75" x14ac:dyDescent="0.2">
      <c r="H938" s="4"/>
      <c r="I938" s="4"/>
      <c r="J938" s="4"/>
    </row>
    <row r="939" spans="8:10" ht="12.75" x14ac:dyDescent="0.2">
      <c r="H939" s="4"/>
      <c r="I939" s="4"/>
      <c r="J939" s="4"/>
    </row>
    <row r="940" spans="8:10" ht="12.75" x14ac:dyDescent="0.2">
      <c r="H940" s="4"/>
      <c r="I940" s="4"/>
      <c r="J940" s="4"/>
    </row>
    <row r="941" spans="8:10" ht="12.75" x14ac:dyDescent="0.2">
      <c r="H941" s="4"/>
      <c r="I941" s="4"/>
      <c r="J941" s="4"/>
    </row>
    <row r="942" spans="8:10" ht="12.75" x14ac:dyDescent="0.2">
      <c r="H942" s="4"/>
      <c r="I942" s="4"/>
      <c r="J942" s="4"/>
    </row>
    <row r="943" spans="8:10" ht="12.75" x14ac:dyDescent="0.2">
      <c r="H943" s="4"/>
      <c r="I943" s="4"/>
      <c r="J943" s="4"/>
    </row>
    <row r="944" spans="8:10" ht="12.75" x14ac:dyDescent="0.2">
      <c r="H944" s="4"/>
      <c r="I944" s="4"/>
      <c r="J944" s="4"/>
    </row>
    <row r="945" spans="8:10" ht="12.75" x14ac:dyDescent="0.2">
      <c r="H945" s="4"/>
      <c r="I945" s="4"/>
      <c r="J945" s="4"/>
    </row>
    <row r="946" spans="8:10" ht="12.75" x14ac:dyDescent="0.2">
      <c r="H946" s="4"/>
      <c r="I946" s="4"/>
      <c r="J946" s="4"/>
    </row>
    <row r="947" spans="8:10" ht="12.75" x14ac:dyDescent="0.2">
      <c r="H947" s="4"/>
      <c r="I947" s="4"/>
      <c r="J947" s="4"/>
    </row>
    <row r="948" spans="8:10" ht="12.75" x14ac:dyDescent="0.2">
      <c r="H948" s="4"/>
      <c r="I948" s="4"/>
      <c r="J948" s="4"/>
    </row>
    <row r="949" spans="8:10" ht="12.75" x14ac:dyDescent="0.2">
      <c r="H949" s="4"/>
      <c r="I949" s="4"/>
      <c r="J949" s="4"/>
    </row>
    <row r="950" spans="8:10" ht="12.75" x14ac:dyDescent="0.2">
      <c r="H950" s="4"/>
      <c r="I950" s="4"/>
      <c r="J950" s="4"/>
    </row>
    <row r="951" spans="8:10" ht="12.75" x14ac:dyDescent="0.2">
      <c r="H951" s="4"/>
      <c r="I951" s="4"/>
      <c r="J951" s="4"/>
    </row>
    <row r="952" spans="8:10" ht="12.75" x14ac:dyDescent="0.2">
      <c r="H952" s="4"/>
      <c r="I952" s="4"/>
      <c r="J952" s="4"/>
    </row>
    <row r="953" spans="8:10" ht="12.75" x14ac:dyDescent="0.2">
      <c r="H953" s="4"/>
      <c r="I953" s="4"/>
      <c r="J953" s="4"/>
    </row>
    <row r="954" spans="8:10" ht="12.75" x14ac:dyDescent="0.2">
      <c r="H954" s="4"/>
      <c r="I954" s="4"/>
      <c r="J954" s="4"/>
    </row>
    <row r="955" spans="8:10" ht="12.75" x14ac:dyDescent="0.2">
      <c r="H955" s="4"/>
      <c r="I955" s="4"/>
      <c r="J955" s="4"/>
    </row>
    <row r="956" spans="8:10" ht="12.75" x14ac:dyDescent="0.2">
      <c r="H956" s="4"/>
      <c r="I956" s="4"/>
      <c r="J956" s="4"/>
    </row>
    <row r="957" spans="8:10" ht="12.75" x14ac:dyDescent="0.2">
      <c r="H957" s="4"/>
      <c r="I957" s="4"/>
      <c r="J957" s="4"/>
    </row>
    <row r="958" spans="8:10" ht="12.75" x14ac:dyDescent="0.2">
      <c r="H958" s="4"/>
      <c r="I958" s="4"/>
      <c r="J958" s="4"/>
    </row>
    <row r="959" spans="8:10" ht="12.75" x14ac:dyDescent="0.2">
      <c r="H959" s="4"/>
      <c r="I959" s="4"/>
      <c r="J959" s="4"/>
    </row>
    <row r="960" spans="8:10" ht="12.75" x14ac:dyDescent="0.2">
      <c r="H960" s="4"/>
      <c r="I960" s="4"/>
      <c r="J960" s="4"/>
    </row>
    <row r="961" spans="8:10" ht="12.75" x14ac:dyDescent="0.2">
      <c r="H961" s="4"/>
      <c r="I961" s="4"/>
      <c r="J961" s="4"/>
    </row>
    <row r="962" spans="8:10" ht="12.75" x14ac:dyDescent="0.2">
      <c r="H962" s="4"/>
      <c r="I962" s="4"/>
      <c r="J962" s="4"/>
    </row>
    <row r="963" spans="8:10" ht="12.75" x14ac:dyDescent="0.2">
      <c r="H963" s="4"/>
      <c r="I963" s="4"/>
      <c r="J963" s="4"/>
    </row>
    <row r="964" spans="8:10" ht="12.75" x14ac:dyDescent="0.2">
      <c r="H964" s="4"/>
      <c r="I964" s="4"/>
      <c r="J964" s="4"/>
    </row>
    <row r="965" spans="8:10" ht="12.75" x14ac:dyDescent="0.2">
      <c r="H965" s="4"/>
      <c r="I965" s="4"/>
      <c r="J965" s="4"/>
    </row>
    <row r="966" spans="8:10" ht="12.75" x14ac:dyDescent="0.2">
      <c r="H966" s="4"/>
      <c r="I966" s="4"/>
      <c r="J966" s="4"/>
    </row>
    <row r="967" spans="8:10" ht="12.75" x14ac:dyDescent="0.2">
      <c r="H967" s="4"/>
      <c r="I967" s="4"/>
      <c r="J967" s="4"/>
    </row>
    <row r="968" spans="8:10" ht="12.75" x14ac:dyDescent="0.2">
      <c r="H968" s="4"/>
      <c r="I968" s="4"/>
      <c r="J968" s="4"/>
    </row>
    <row r="969" spans="8:10" ht="12.75" x14ac:dyDescent="0.2">
      <c r="H969" s="4"/>
      <c r="I969" s="4"/>
      <c r="J969" s="4"/>
    </row>
    <row r="970" spans="8:10" ht="12.75" x14ac:dyDescent="0.2">
      <c r="H970" s="4"/>
      <c r="I970" s="4"/>
      <c r="J970" s="4"/>
    </row>
    <row r="971" spans="8:10" ht="12.75" x14ac:dyDescent="0.2">
      <c r="H971" s="4"/>
      <c r="I971" s="4"/>
      <c r="J971" s="4"/>
    </row>
    <row r="972" spans="8:10" ht="12.75" x14ac:dyDescent="0.2">
      <c r="H972" s="4"/>
      <c r="I972" s="4"/>
      <c r="J972" s="4"/>
    </row>
    <row r="973" spans="8:10" ht="12.75" x14ac:dyDescent="0.2">
      <c r="H973" s="4"/>
      <c r="I973" s="4"/>
      <c r="J973" s="4"/>
    </row>
    <row r="974" spans="8:10" ht="12.75" x14ac:dyDescent="0.2">
      <c r="H974" s="4"/>
      <c r="I974" s="4"/>
      <c r="J974" s="4"/>
    </row>
    <row r="975" spans="8:10" ht="12.75" x14ac:dyDescent="0.2">
      <c r="H975" s="4"/>
      <c r="I975" s="4"/>
      <c r="J975" s="4"/>
    </row>
    <row r="976" spans="8:10" ht="12.75" x14ac:dyDescent="0.2">
      <c r="H976" s="4"/>
      <c r="I976" s="4"/>
      <c r="J976" s="4"/>
    </row>
    <row r="977" spans="8:10" ht="12.75" x14ac:dyDescent="0.2">
      <c r="H977" s="4"/>
      <c r="I977" s="4"/>
      <c r="J977" s="4"/>
    </row>
    <row r="978" spans="8:10" ht="12.75" x14ac:dyDescent="0.2">
      <c r="H978" s="4"/>
      <c r="I978" s="4"/>
      <c r="J978" s="4"/>
    </row>
    <row r="979" spans="8:10" ht="12.75" x14ac:dyDescent="0.2">
      <c r="H979" s="4"/>
      <c r="I979" s="4"/>
      <c r="J979" s="4"/>
    </row>
    <row r="980" spans="8:10" ht="12.75" x14ac:dyDescent="0.2">
      <c r="H980" s="4"/>
      <c r="I980" s="4"/>
      <c r="J980" s="4"/>
    </row>
    <row r="981" spans="8:10" ht="12.75" x14ac:dyDescent="0.2">
      <c r="H981" s="4"/>
      <c r="I981" s="4"/>
      <c r="J981" s="4"/>
    </row>
    <row r="982" spans="8:10" ht="12.75" x14ac:dyDescent="0.2">
      <c r="H982" s="4"/>
      <c r="I982" s="4"/>
      <c r="J982" s="4"/>
    </row>
    <row r="983" spans="8:10" ht="12.75" x14ac:dyDescent="0.2">
      <c r="H983" s="4"/>
      <c r="I983" s="4"/>
      <c r="J983" s="4"/>
    </row>
    <row r="984" spans="8:10" ht="12.75" x14ac:dyDescent="0.2">
      <c r="H984" s="4"/>
      <c r="I984" s="4"/>
      <c r="J984" s="4"/>
    </row>
    <row r="985" spans="8:10" ht="12.75" x14ac:dyDescent="0.2">
      <c r="H985" s="4"/>
      <c r="I985" s="4"/>
      <c r="J985" s="4"/>
    </row>
    <row r="986" spans="8:10" ht="12.75" x14ac:dyDescent="0.2">
      <c r="H986" s="4"/>
      <c r="I986" s="4"/>
      <c r="J986" s="4"/>
    </row>
    <row r="987" spans="8:10" ht="12.75" x14ac:dyDescent="0.2">
      <c r="H987" s="4"/>
      <c r="I987" s="4"/>
      <c r="J987" s="4"/>
    </row>
    <row r="988" spans="8:10" ht="12.75" x14ac:dyDescent="0.2">
      <c r="H988" s="4"/>
      <c r="I988" s="4"/>
      <c r="J988" s="4"/>
    </row>
    <row r="989" spans="8:10" ht="12.75" x14ac:dyDescent="0.2">
      <c r="H989" s="4"/>
      <c r="I989" s="4"/>
      <c r="J989" s="4"/>
    </row>
    <row r="990" spans="8:10" ht="12.75" x14ac:dyDescent="0.2">
      <c r="H990" s="4"/>
      <c r="I990" s="4"/>
      <c r="J990" s="4"/>
    </row>
    <row r="991" spans="8:10" ht="12.75" x14ac:dyDescent="0.2">
      <c r="H991" s="4"/>
      <c r="I991" s="4"/>
      <c r="J991" s="4"/>
    </row>
    <row r="992" spans="8:10" ht="12.75" x14ac:dyDescent="0.2">
      <c r="H992" s="4"/>
      <c r="I992" s="4"/>
      <c r="J992" s="4"/>
    </row>
    <row r="993" spans="8:10" ht="12.75" x14ac:dyDescent="0.2">
      <c r="H993" s="4"/>
      <c r="I993" s="4"/>
      <c r="J993" s="4"/>
    </row>
    <row r="994" spans="8:10" ht="12.75" x14ac:dyDescent="0.2">
      <c r="H994" s="4"/>
      <c r="I994" s="4"/>
      <c r="J994" s="4"/>
    </row>
    <row r="995" spans="8:10" ht="12.75" x14ac:dyDescent="0.2">
      <c r="H995" s="4"/>
      <c r="I995" s="4"/>
      <c r="J995" s="4"/>
    </row>
    <row r="996" spans="8:10" ht="12.75" x14ac:dyDescent="0.2">
      <c r="H996" s="4"/>
      <c r="I996" s="4"/>
      <c r="J996" s="4"/>
    </row>
    <row r="997" spans="8:10" ht="12.75" x14ac:dyDescent="0.2">
      <c r="H997" s="4"/>
      <c r="I997" s="4"/>
      <c r="J997" s="4"/>
    </row>
    <row r="998" spans="8:10" ht="12.75" x14ac:dyDescent="0.2">
      <c r="H998" s="4"/>
      <c r="I998" s="4"/>
      <c r="J998" s="4"/>
    </row>
    <row r="999" spans="8:10" ht="12.75" x14ac:dyDescent="0.2">
      <c r="H999" s="4"/>
      <c r="I999" s="4"/>
      <c r="J999" s="4"/>
    </row>
    <row r="1000" spans="8:10" ht="12.75" x14ac:dyDescent="0.2">
      <c r="H1000" s="4"/>
      <c r="I1000" s="4"/>
      <c r="J1000" s="4"/>
    </row>
    <row r="1001" spans="8:10" ht="12.75" x14ac:dyDescent="0.2">
      <c r="H1001" s="4"/>
      <c r="I1001" s="4"/>
      <c r="J1001" s="4"/>
    </row>
    <row r="1002" spans="8:10" ht="12.75" x14ac:dyDescent="0.2">
      <c r="H1002" s="4"/>
      <c r="I1002" s="4"/>
      <c r="J1002" s="4"/>
    </row>
    <row r="1003" spans="8:10" ht="12.75" x14ac:dyDescent="0.2">
      <c r="H1003" s="4"/>
      <c r="I1003" s="4"/>
      <c r="J1003" s="4"/>
    </row>
    <row r="1004" spans="8:10" ht="12.75" x14ac:dyDescent="0.2">
      <c r="H1004" s="4"/>
      <c r="I1004" s="4"/>
      <c r="J1004" s="4"/>
    </row>
    <row r="1005" spans="8:10" ht="12.75" x14ac:dyDescent="0.2">
      <c r="H1005" s="4"/>
      <c r="I1005" s="4"/>
      <c r="J1005" s="4"/>
    </row>
    <row r="1006" spans="8:10" ht="12.75" x14ac:dyDescent="0.2">
      <c r="H1006" s="4"/>
      <c r="I1006" s="4"/>
      <c r="J1006" s="4"/>
    </row>
    <row r="1007" spans="8:10" ht="12.75" x14ac:dyDescent="0.2">
      <c r="H1007" s="4"/>
      <c r="I1007" s="4"/>
      <c r="J1007" s="4"/>
    </row>
    <row r="1008" spans="8:10" ht="12.75" x14ac:dyDescent="0.2">
      <c r="H1008" s="4"/>
      <c r="I1008" s="4"/>
      <c r="J1008" s="4"/>
    </row>
    <row r="1009" spans="8:10" ht="12.75" x14ac:dyDescent="0.2">
      <c r="H1009" s="4"/>
      <c r="I1009" s="4"/>
      <c r="J1009" s="4"/>
    </row>
    <row r="1010" spans="8:10" ht="12.75" x14ac:dyDescent="0.2">
      <c r="H1010" s="4"/>
      <c r="I1010" s="4"/>
      <c r="J1010" s="4"/>
    </row>
    <row r="1011" spans="8:10" ht="12.75" x14ac:dyDescent="0.2">
      <c r="H1011" s="4"/>
      <c r="I1011" s="4"/>
      <c r="J1011" s="4"/>
    </row>
    <row r="1012" spans="8:10" ht="12.75" x14ac:dyDescent="0.2">
      <c r="H1012" s="4"/>
      <c r="I1012" s="4"/>
      <c r="J1012" s="4"/>
    </row>
    <row r="1013" spans="8:10" ht="12.75" x14ac:dyDescent="0.2">
      <c r="H1013" s="4"/>
      <c r="I1013" s="4"/>
      <c r="J1013" s="4"/>
    </row>
    <row r="1014" spans="8:10" ht="12.75" x14ac:dyDescent="0.2">
      <c r="H1014" s="4"/>
      <c r="I1014" s="4"/>
      <c r="J1014" s="4"/>
    </row>
    <row r="1015" spans="8:10" ht="12.75" x14ac:dyDescent="0.2">
      <c r="H1015" s="4"/>
      <c r="I1015" s="4"/>
      <c r="J1015" s="4"/>
    </row>
    <row r="1016" spans="8:10" ht="12.75" x14ac:dyDescent="0.2">
      <c r="H1016" s="4"/>
      <c r="I1016" s="4"/>
      <c r="J1016" s="4"/>
    </row>
    <row r="1017" spans="8:10" ht="12.75" x14ac:dyDescent="0.2">
      <c r="H1017" s="4"/>
      <c r="I1017" s="4"/>
      <c r="J1017" s="4"/>
    </row>
    <row r="1018" spans="8:10" ht="12.75" x14ac:dyDescent="0.2">
      <c r="H1018" s="4"/>
      <c r="I1018" s="4"/>
      <c r="J1018" s="4"/>
    </row>
    <row r="1019" spans="8:10" ht="12.75" x14ac:dyDescent="0.2">
      <c r="H1019" s="4"/>
      <c r="I1019" s="4"/>
      <c r="J1019" s="4"/>
    </row>
    <row r="1020" spans="8:10" ht="12.75" x14ac:dyDescent="0.2">
      <c r="H1020" s="4"/>
      <c r="I1020" s="4"/>
      <c r="J1020" s="4"/>
    </row>
    <row r="1021" spans="8:10" ht="12.75" x14ac:dyDescent="0.2">
      <c r="H1021" s="4"/>
      <c r="I1021" s="4"/>
      <c r="J1021" s="4"/>
    </row>
    <row r="1022" spans="8:10" ht="12.75" x14ac:dyDescent="0.2">
      <c r="H1022" s="4"/>
      <c r="I1022" s="4"/>
      <c r="J1022" s="4"/>
    </row>
    <row r="1023" spans="8:10" ht="12.75" x14ac:dyDescent="0.2">
      <c r="H1023" s="4"/>
      <c r="I1023" s="4"/>
      <c r="J1023" s="4"/>
    </row>
    <row r="1024" spans="8:10" ht="12.75" x14ac:dyDescent="0.2">
      <c r="H1024" s="4"/>
      <c r="I1024" s="4"/>
      <c r="J1024" s="4"/>
    </row>
    <row r="1025" spans="8:10" ht="12.75" x14ac:dyDescent="0.2">
      <c r="H1025" s="4"/>
      <c r="I1025" s="4"/>
      <c r="J1025" s="4"/>
    </row>
    <row r="1026" spans="8:10" ht="12.75" x14ac:dyDescent="0.2">
      <c r="H1026" s="4"/>
      <c r="I1026" s="4"/>
      <c r="J1026" s="4"/>
    </row>
    <row r="1027" spans="8:10" ht="12.75" x14ac:dyDescent="0.2">
      <c r="H1027" s="4"/>
      <c r="I1027" s="4"/>
      <c r="J1027" s="4"/>
    </row>
    <row r="1028" spans="8:10" ht="12.75" x14ac:dyDescent="0.2">
      <c r="H1028" s="4"/>
      <c r="I1028" s="4"/>
      <c r="J1028" s="4"/>
    </row>
    <row r="1029" spans="8:10" ht="12.75" x14ac:dyDescent="0.2">
      <c r="H1029" s="4"/>
      <c r="I1029" s="4"/>
      <c r="J1029" s="4"/>
    </row>
    <row r="1030" spans="8:10" ht="12.75" x14ac:dyDescent="0.2">
      <c r="H1030" s="4"/>
      <c r="I1030" s="4"/>
      <c r="J1030" s="4"/>
    </row>
    <row r="1031" spans="8:10" ht="12.75" x14ac:dyDescent="0.2">
      <c r="H1031" s="4"/>
      <c r="I1031" s="4"/>
      <c r="J1031" s="4"/>
    </row>
    <row r="1032" spans="8:10" ht="12.75" x14ac:dyDescent="0.2">
      <c r="H1032" s="4"/>
      <c r="I1032" s="4"/>
      <c r="J1032" s="4"/>
    </row>
    <row r="1033" spans="8:10" ht="12.75" x14ac:dyDescent="0.2">
      <c r="H1033" s="4"/>
      <c r="I1033" s="4"/>
      <c r="J1033" s="4"/>
    </row>
    <row r="1034" spans="8:10" ht="12.75" x14ac:dyDescent="0.2">
      <c r="H1034" s="4"/>
      <c r="I1034" s="4"/>
      <c r="J1034" s="4"/>
    </row>
    <row r="1035" spans="8:10" ht="12.75" x14ac:dyDescent="0.2">
      <c r="H1035" s="4"/>
      <c r="I1035" s="4"/>
      <c r="J1035" s="4"/>
    </row>
    <row r="1036" spans="8:10" ht="12.75" x14ac:dyDescent="0.2">
      <c r="H1036" s="4"/>
      <c r="I1036" s="4"/>
      <c r="J1036" s="4"/>
    </row>
    <row r="1037" spans="8:10" ht="12.75" x14ac:dyDescent="0.2">
      <c r="H1037" s="4"/>
      <c r="I1037" s="4"/>
      <c r="J1037" s="4"/>
    </row>
    <row r="1038" spans="8:10" ht="12.75" x14ac:dyDescent="0.2">
      <c r="H1038" s="4"/>
      <c r="I1038" s="4"/>
      <c r="J1038" s="4"/>
    </row>
    <row r="1039" spans="8:10" ht="12.75" x14ac:dyDescent="0.2">
      <c r="H1039" s="4"/>
      <c r="I1039" s="4"/>
      <c r="J1039" s="4"/>
    </row>
    <row r="1040" spans="8:10" ht="12.75" x14ac:dyDescent="0.2">
      <c r="H1040" s="4"/>
      <c r="I1040" s="4"/>
      <c r="J1040" s="4"/>
    </row>
    <row r="1041" spans="8:10" ht="12.75" x14ac:dyDescent="0.2">
      <c r="H1041" s="4"/>
      <c r="I1041" s="4"/>
      <c r="J1041" s="4"/>
    </row>
    <row r="1042" spans="8:10" ht="12.75" x14ac:dyDescent="0.2">
      <c r="H1042" s="4"/>
      <c r="I1042" s="4"/>
      <c r="J1042" s="4"/>
    </row>
    <row r="1043" spans="8:10" ht="12.75" x14ac:dyDescent="0.2">
      <c r="H1043" s="4"/>
      <c r="I1043" s="4"/>
      <c r="J1043" s="4"/>
    </row>
    <row r="1044" spans="8:10" ht="12.75" x14ac:dyDescent="0.2"/>
    <row r="1045" spans="8:10" ht="12.75" x14ac:dyDescent="0.2"/>
    <row r="1046" spans="8:10" ht="12.75" x14ac:dyDescent="0.2"/>
    <row r="1047" spans="8:10" ht="12.75" x14ac:dyDescent="0.2"/>
    <row r="1048" spans="8:10" ht="12.75" x14ac:dyDescent="0.2"/>
    <row r="1049" spans="8:10" ht="12.75" x14ac:dyDescent="0.2"/>
    <row r="1050" spans="8:10" ht="12.75" x14ac:dyDescent="0.2"/>
    <row r="1051" spans="8:10" ht="12.75" x14ac:dyDescent="0.2"/>
    <row r="1052" spans="8:10" ht="12.75" x14ac:dyDescent="0.2"/>
    <row r="1053" spans="8:10" ht="12.75" x14ac:dyDescent="0.2"/>
    <row r="1054" spans="8:10" ht="12.75" x14ac:dyDescent="0.2"/>
    <row r="1055" spans="8:10" ht="12.75" x14ac:dyDescent="0.2"/>
    <row r="1056" spans="8:10" ht="12.75" x14ac:dyDescent="0.2"/>
    <row r="1057" ht="12.75" x14ac:dyDescent="0.2"/>
    <row r="1058" ht="12.75" x14ac:dyDescent="0.2"/>
    <row r="1059" ht="12.75" x14ac:dyDescent="0.2"/>
    <row r="1060" ht="12.75" x14ac:dyDescent="0.2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planner</vt:lpstr>
      <vt:lpstr>product-view</vt:lpstr>
      <vt:lpstr>stock_on_hand</vt:lpstr>
      <vt:lpstr>stock_on_hand_pro</vt:lpstr>
      <vt:lpstr>orders</vt:lpstr>
      <vt:lpstr>material_list</vt:lpstr>
      <vt:lpstr>commodities</vt:lpstr>
      <vt:lpstr>units</vt:lpstr>
      <vt:lpstr>locations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2024-06-02T11:14:29Z</dcterms:modified>
</cp:coreProperties>
</file>