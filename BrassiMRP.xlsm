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21921DDE-FC05-442F-B085-41B19543C543}" xr6:coauthVersionLast="47" xr6:coauthVersionMax="47" xr10:uidLastSave="{00000000-0000-0000-0000-000000000000}"/>
  <bookViews>
    <workbookView xWindow="-120" yWindow="-120" windowWidth="29040" windowHeight="15720" tabRatio="929" xr2:uid="{00000000-000D-0000-FFFF-FFFF00000000}"/>
  </bookViews>
  <sheets>
    <sheet name="planner" sheetId="1" r:id="rId1"/>
    <sheet name="product-view" sheetId="2" r:id="rId2"/>
    <sheet name="stock_on_hand" sheetId="3" r:id="rId3"/>
    <sheet name="orders" sheetId="17" r:id="rId4"/>
    <sheet name="material_list" sheetId="19" r:id="rId5"/>
    <sheet name="commodities" sheetId="26" r:id="rId6"/>
    <sheet name="units" sheetId="28" r:id="rId7"/>
    <sheet name="mynotes" sheetId="15" r:id="rId8"/>
  </sheets>
  <functionGroups builtInGroupCount="19"/>
  <definedNames>
    <definedName name="_xlnm._FilterDatabase" localSheetId="2" hidden="1">stock_on_hand!$A$1:$E$1000</definedName>
    <definedName name="ExternalData_1" localSheetId="5" hidden="1">'commodities'!$A$1:$D$22</definedName>
    <definedName name="ExternalData_1" localSheetId="4" hidden="1">material_list!$A$1:$E$301</definedName>
    <definedName name="ExternalData_1" localSheetId="6" hidden="1">units!$A$1:$B$19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109" i="1" l="1"/>
  <c r="F108" i="1"/>
  <c r="BR106" i="1"/>
  <c r="F105" i="1"/>
  <c r="BR103" i="1"/>
  <c r="F102" i="1"/>
  <c r="BK100" i="1"/>
  <c r="F99" i="1"/>
  <c r="BN97" i="1"/>
  <c r="F96" i="1"/>
  <c r="BO94" i="1"/>
  <c r="BQ94" i="1"/>
  <c r="F93" i="1"/>
  <c r="BL91" i="1"/>
  <c r="F90" i="1"/>
  <c r="BN88" i="1"/>
  <c r="F87" i="1"/>
  <c r="BQ85" i="1"/>
  <c r="F84" i="1"/>
  <c r="BC82" i="1"/>
  <c r="F81" i="1"/>
  <c r="BK79" i="1"/>
  <c r="BC79" i="1"/>
  <c r="BP79" i="1"/>
  <c r="F78" i="1"/>
  <c r="BQ76" i="1"/>
  <c r="F75" i="1"/>
  <c r="BD73" i="1"/>
  <c r="F72" i="1"/>
  <c r="BQ70" i="1"/>
  <c r="F69" i="1"/>
  <c r="BR67" i="1"/>
  <c r="F66" i="1"/>
  <c r="BL64" i="1"/>
  <c r="F63" i="1"/>
  <c r="BG61" i="1"/>
  <c r="F60" i="1"/>
  <c r="BL58" i="1"/>
  <c r="F57" i="1"/>
  <c r="BR55" i="1"/>
  <c r="F54" i="1"/>
  <c r="BN52" i="1"/>
  <c r="F51" i="1"/>
  <c r="BR2" i="1"/>
  <c r="BR50" i="1" s="1"/>
  <c r="BQ2" i="1"/>
  <c r="BQ50" i="1" s="1"/>
  <c r="BP2" i="1"/>
  <c r="BP50" i="1" s="1"/>
  <c r="BO2" i="1"/>
  <c r="BO50" i="1" s="1"/>
  <c r="BN2" i="1"/>
  <c r="BN50" i="1" s="1"/>
  <c r="BM2" i="1"/>
  <c r="BM50" i="1" s="1"/>
  <c r="BL2" i="1"/>
  <c r="BL50" i="1" s="1"/>
  <c r="BK2" i="1"/>
  <c r="BK50" i="1" s="1"/>
  <c r="BJ2" i="1"/>
  <c r="BJ50" i="1" s="1"/>
  <c r="BI2" i="1"/>
  <c r="BI50" i="1" s="1"/>
  <c r="BH2" i="1"/>
  <c r="BH50" i="1" s="1"/>
  <c r="BG2" i="1"/>
  <c r="BG50" i="1" s="1"/>
  <c r="BF2" i="1"/>
  <c r="BF50" i="1" s="1"/>
  <c r="BE2" i="1"/>
  <c r="BE50" i="1" s="1"/>
  <c r="BD2" i="1"/>
  <c r="BD50" i="1" s="1"/>
  <c r="BC2" i="1"/>
  <c r="BC50" i="1" s="1"/>
  <c r="BB2" i="1"/>
  <c r="BB50" i="1" s="1"/>
  <c r="BA2" i="1"/>
  <c r="BA50" i="1" s="1"/>
  <c r="AZ2" i="1"/>
  <c r="AZ50" i="1" s="1"/>
  <c r="AY2" i="1"/>
  <c r="AY50" i="1" s="1"/>
  <c r="BO88" i="1" l="1"/>
  <c r="AY58" i="1"/>
  <c r="AZ58" i="1"/>
  <c r="BA58" i="1"/>
  <c r="BI58" i="1"/>
  <c r="BE85" i="1"/>
  <c r="BQ58" i="1"/>
  <c r="BF85" i="1"/>
  <c r="BE70" i="1"/>
  <c r="BF79" i="1"/>
  <c r="BR73" i="1"/>
  <c r="BL55" i="1"/>
  <c r="BQ82" i="1"/>
  <c r="BC88" i="1"/>
  <c r="BC70" i="1"/>
  <c r="BD88" i="1"/>
  <c r="AY88" i="1"/>
  <c r="AY87" i="1" s="1"/>
  <c r="BH61" i="1"/>
  <c r="BD70" i="1"/>
  <c r="BG88" i="1"/>
  <c r="BL88" i="1"/>
  <c r="BH85" i="1"/>
  <c r="BO91" i="1"/>
  <c r="BF58" i="1"/>
  <c r="BF70" i="1"/>
  <c r="BI76" i="1"/>
  <c r="BN85" i="1"/>
  <c r="BE88" i="1"/>
  <c r="BR91" i="1"/>
  <c r="BH58" i="1"/>
  <c r="BN70" i="1"/>
  <c r="BO85" i="1"/>
  <c r="BO70" i="1"/>
  <c r="BR85" i="1"/>
  <c r="BD79" i="1"/>
  <c r="AY85" i="1"/>
  <c r="AY84" i="1" s="1"/>
  <c r="BR88" i="1"/>
  <c r="BA55" i="1"/>
  <c r="AY61" i="1"/>
  <c r="AY60" i="1" s="1"/>
  <c r="BL61" i="1"/>
  <c r="BG85" i="1"/>
  <c r="BP85" i="1"/>
  <c r="AZ103" i="1"/>
  <c r="BL103" i="1"/>
  <c r="BD106" i="1"/>
  <c r="AY52" i="1"/>
  <c r="AY51" i="1" s="1"/>
  <c r="AX51" i="1" s="1"/>
  <c r="BC55" i="1"/>
  <c r="BQ55" i="1"/>
  <c r="BA61" i="1"/>
  <c r="BM61" i="1"/>
  <c r="BH67" i="1"/>
  <c r="BD97" i="1"/>
  <c r="BC103" i="1"/>
  <c r="BM103" i="1"/>
  <c r="BE106" i="1"/>
  <c r="BC52" i="1"/>
  <c r="BE55" i="1"/>
  <c r="AY57" i="1"/>
  <c r="AZ57" i="1" s="1"/>
  <c r="BA57" i="1" s="1"/>
  <c r="BJ58" i="1"/>
  <c r="BC61" i="1"/>
  <c r="BO61" i="1"/>
  <c r="BG70" i="1"/>
  <c r="BA73" i="1"/>
  <c r="BN76" i="1"/>
  <c r="BL79" i="1"/>
  <c r="AZ85" i="1"/>
  <c r="BJ85" i="1"/>
  <c r="BJ88" i="1"/>
  <c r="AY91" i="1"/>
  <c r="AY90" i="1" s="1"/>
  <c r="AY94" i="1"/>
  <c r="AY93" i="1" s="1"/>
  <c r="BL97" i="1"/>
  <c r="BD103" i="1"/>
  <c r="BN103" i="1"/>
  <c r="BK106" i="1"/>
  <c r="BK61" i="1"/>
  <c r="AY103" i="1"/>
  <c r="AY102" i="1" s="1"/>
  <c r="BC106" i="1"/>
  <c r="BG52" i="1"/>
  <c r="BF55" i="1"/>
  <c r="BO58" i="1"/>
  <c r="BD61" i="1"/>
  <c r="BP61" i="1"/>
  <c r="BK70" i="1"/>
  <c r="BB73" i="1"/>
  <c r="BO76" i="1"/>
  <c r="BN79" i="1"/>
  <c r="BB85" i="1"/>
  <c r="BK85" i="1"/>
  <c r="BK88" i="1"/>
  <c r="BB91" i="1"/>
  <c r="BD94" i="1"/>
  <c r="BE103" i="1"/>
  <c r="BO103" i="1"/>
  <c r="BL106" i="1"/>
  <c r="BH103" i="1"/>
  <c r="BN55" i="1"/>
  <c r="BO55" i="1"/>
  <c r="BK52" i="1"/>
  <c r="BG55" i="1"/>
  <c r="BF61" i="1"/>
  <c r="BQ61" i="1"/>
  <c r="BL70" i="1"/>
  <c r="BL73" i="1"/>
  <c r="BC85" i="1"/>
  <c r="BL85" i="1"/>
  <c r="BG91" i="1"/>
  <c r="BG94" i="1"/>
  <c r="BF103" i="1"/>
  <c r="BP103" i="1"/>
  <c r="BM106" i="1"/>
  <c r="BK103" i="1"/>
  <c r="BO52" i="1"/>
  <c r="BJ55" i="1"/>
  <c r="BR58" i="1"/>
  <c r="AY70" i="1"/>
  <c r="AY69" i="1" s="1"/>
  <c r="AX69" i="1" s="1"/>
  <c r="BM70" i="1"/>
  <c r="BQ73" i="1"/>
  <c r="BD85" i="1"/>
  <c r="BM85" i="1"/>
  <c r="BB88" i="1"/>
  <c r="BM88" i="1"/>
  <c r="BJ91" i="1"/>
  <c r="BL94" i="1"/>
  <c r="BG103" i="1"/>
  <c r="AZ52" i="1"/>
  <c r="BH52" i="1"/>
  <c r="BP52" i="1"/>
  <c r="BJ64" i="1"/>
  <c r="BL67" i="1"/>
  <c r="BD67" i="1"/>
  <c r="BM67" i="1"/>
  <c r="BE67" i="1"/>
  <c r="AY67" i="1"/>
  <c r="AY66" i="1" s="1"/>
  <c r="BI67" i="1"/>
  <c r="BA52" i="1"/>
  <c r="BI52" i="1"/>
  <c r="BQ52" i="1"/>
  <c r="BA64" i="1"/>
  <c r="BK64" i="1"/>
  <c r="AZ67" i="1"/>
  <c r="BJ67" i="1"/>
  <c r="BB52" i="1"/>
  <c r="BJ52" i="1"/>
  <c r="BR52" i="1"/>
  <c r="AY55" i="1"/>
  <c r="AY54" i="1" s="1"/>
  <c r="BI55" i="1"/>
  <c r="BB58" i="1"/>
  <c r="BK58" i="1"/>
  <c r="BR61" i="1"/>
  <c r="BJ61" i="1"/>
  <c r="BB61" i="1"/>
  <c r="BE61" i="1"/>
  <c r="BN61" i="1"/>
  <c r="BB64" i="1"/>
  <c r="BA67" i="1"/>
  <c r="BK67" i="1"/>
  <c r="BC73" i="1"/>
  <c r="BO64" i="1"/>
  <c r="BG64" i="1"/>
  <c r="AY64" i="1"/>
  <c r="AY63" i="1" s="1"/>
  <c r="BP64" i="1"/>
  <c r="BH64" i="1"/>
  <c r="AZ64" i="1"/>
  <c r="BI64" i="1"/>
  <c r="BC58" i="1"/>
  <c r="BC64" i="1"/>
  <c r="BM64" i="1"/>
  <c r="BB67" i="1"/>
  <c r="BN67" i="1"/>
  <c r="BK76" i="1"/>
  <c r="BC76" i="1"/>
  <c r="BR76" i="1"/>
  <c r="BJ76" i="1"/>
  <c r="BB76" i="1"/>
  <c r="BP76" i="1"/>
  <c r="BH76" i="1"/>
  <c r="AZ76" i="1"/>
  <c r="BM76" i="1"/>
  <c r="BE76" i="1"/>
  <c r="BL76" i="1"/>
  <c r="BD76" i="1"/>
  <c r="AY76" i="1"/>
  <c r="AY75" i="1" s="1"/>
  <c r="BA82" i="1"/>
  <c r="BD52" i="1"/>
  <c r="BL52" i="1"/>
  <c r="BP55" i="1"/>
  <c r="BH55" i="1"/>
  <c r="AZ55" i="1"/>
  <c r="BB55" i="1"/>
  <c r="BK55" i="1"/>
  <c r="BM58" i="1"/>
  <c r="BE58" i="1"/>
  <c r="BD58" i="1"/>
  <c r="BN58" i="1"/>
  <c r="BD64" i="1"/>
  <c r="BN64" i="1"/>
  <c r="BC67" i="1"/>
  <c r="BO67" i="1"/>
  <c r="BN73" i="1"/>
  <c r="BF73" i="1"/>
  <c r="BM73" i="1"/>
  <c r="BE73" i="1"/>
  <c r="BP73" i="1"/>
  <c r="BH73" i="1"/>
  <c r="AZ73" i="1"/>
  <c r="BO73" i="1"/>
  <c r="BG73" i="1"/>
  <c r="AY73" i="1"/>
  <c r="AY72" i="1" s="1"/>
  <c r="BI73" i="1"/>
  <c r="BA76" i="1"/>
  <c r="BE52" i="1"/>
  <c r="BM52" i="1"/>
  <c r="BE64" i="1"/>
  <c r="BQ64" i="1"/>
  <c r="BF67" i="1"/>
  <c r="BP67" i="1"/>
  <c r="BJ73" i="1"/>
  <c r="BF76" i="1"/>
  <c r="BM82" i="1"/>
  <c r="BE82" i="1"/>
  <c r="BL82" i="1"/>
  <c r="BD82" i="1"/>
  <c r="BR82" i="1"/>
  <c r="BJ82" i="1"/>
  <c r="BB82" i="1"/>
  <c r="BP82" i="1"/>
  <c r="BH82" i="1"/>
  <c r="AZ82" i="1"/>
  <c r="BO82" i="1"/>
  <c r="BG82" i="1"/>
  <c r="AY82" i="1"/>
  <c r="AY81" i="1" s="1"/>
  <c r="BN82" i="1"/>
  <c r="BF82" i="1"/>
  <c r="BI82" i="1"/>
  <c r="BF52" i="1"/>
  <c r="BD55" i="1"/>
  <c r="BM55" i="1"/>
  <c r="BG58" i="1"/>
  <c r="BP58" i="1"/>
  <c r="AZ61" i="1"/>
  <c r="BI61" i="1"/>
  <c r="BF64" i="1"/>
  <c r="BR64" i="1"/>
  <c r="BG67" i="1"/>
  <c r="BQ67" i="1"/>
  <c r="BK73" i="1"/>
  <c r="BG76" i="1"/>
  <c r="BK82" i="1"/>
  <c r="BB70" i="1"/>
  <c r="BJ70" i="1"/>
  <c r="BR70" i="1"/>
  <c r="BA79" i="1"/>
  <c r="BI79" i="1"/>
  <c r="BQ79" i="1"/>
  <c r="AZ88" i="1"/>
  <c r="BH88" i="1"/>
  <c r="BP88" i="1"/>
  <c r="BE91" i="1"/>
  <c r="BM91" i="1"/>
  <c r="BB94" i="1"/>
  <c r="BJ94" i="1"/>
  <c r="BR94" i="1"/>
  <c r="AY97" i="1"/>
  <c r="AY96" i="1" s="1"/>
  <c r="BG97" i="1"/>
  <c r="BO97" i="1"/>
  <c r="BD100" i="1"/>
  <c r="BL100" i="1"/>
  <c r="BA103" i="1"/>
  <c r="BI103" i="1"/>
  <c r="BQ103" i="1"/>
  <c r="BF106" i="1"/>
  <c r="BN106" i="1"/>
  <c r="BC109" i="1"/>
  <c r="BK109" i="1"/>
  <c r="BB79" i="1"/>
  <c r="BJ79" i="1"/>
  <c r="BR79" i="1"/>
  <c r="BA88" i="1"/>
  <c r="BI88" i="1"/>
  <c r="BQ88" i="1"/>
  <c r="BF91" i="1"/>
  <c r="BN91" i="1"/>
  <c r="BC94" i="1"/>
  <c r="BK94" i="1"/>
  <c r="AZ97" i="1"/>
  <c r="BH97" i="1"/>
  <c r="BP97" i="1"/>
  <c r="BE100" i="1"/>
  <c r="BM100" i="1"/>
  <c r="BB103" i="1"/>
  <c r="BJ103" i="1"/>
  <c r="AY106" i="1"/>
  <c r="AY105" i="1" s="1"/>
  <c r="BG106" i="1"/>
  <c r="BO106" i="1"/>
  <c r="BD109" i="1"/>
  <c r="BL109" i="1"/>
  <c r="BA97" i="1"/>
  <c r="BI97" i="1"/>
  <c r="BQ97" i="1"/>
  <c r="BF100" i="1"/>
  <c r="BN100" i="1"/>
  <c r="AZ106" i="1"/>
  <c r="BH106" i="1"/>
  <c r="BP106" i="1"/>
  <c r="BE109" i="1"/>
  <c r="BM109" i="1"/>
  <c r="AZ91" i="1"/>
  <c r="BH91" i="1"/>
  <c r="BP91" i="1"/>
  <c r="BE94" i="1"/>
  <c r="BM94" i="1"/>
  <c r="BB97" i="1"/>
  <c r="BJ97" i="1"/>
  <c r="BR97" i="1"/>
  <c r="AY100" i="1"/>
  <c r="AY99" i="1" s="1"/>
  <c r="BG100" i="1"/>
  <c r="BO100" i="1"/>
  <c r="BA106" i="1"/>
  <c r="BI106" i="1"/>
  <c r="BQ106" i="1"/>
  <c r="BF109" i="1"/>
  <c r="BN109" i="1"/>
  <c r="BE79" i="1"/>
  <c r="BM79" i="1"/>
  <c r="BA91" i="1"/>
  <c r="BI91" i="1"/>
  <c r="BQ91" i="1"/>
  <c r="BF94" i="1"/>
  <c r="BN94" i="1"/>
  <c r="BC97" i="1"/>
  <c r="BK97" i="1"/>
  <c r="AZ100" i="1"/>
  <c r="BH100" i="1"/>
  <c r="BP100" i="1"/>
  <c r="BB106" i="1"/>
  <c r="BJ106" i="1"/>
  <c r="AY109" i="1"/>
  <c r="AY108" i="1" s="1"/>
  <c r="BG109" i="1"/>
  <c r="BO109" i="1"/>
  <c r="BA100" i="1"/>
  <c r="BI100" i="1"/>
  <c r="BQ100" i="1"/>
  <c r="AZ109" i="1"/>
  <c r="BH109" i="1"/>
  <c r="BP109" i="1"/>
  <c r="AZ70" i="1"/>
  <c r="BH70" i="1"/>
  <c r="BP70" i="1"/>
  <c r="AY79" i="1"/>
  <c r="AY78" i="1" s="1"/>
  <c r="BG79" i="1"/>
  <c r="BO79" i="1"/>
  <c r="BA85" i="1"/>
  <c r="BI85" i="1"/>
  <c r="BF88" i="1"/>
  <c r="BC91" i="1"/>
  <c r="BK91" i="1"/>
  <c r="AZ94" i="1"/>
  <c r="BH94" i="1"/>
  <c r="BP94" i="1"/>
  <c r="BE97" i="1"/>
  <c r="BM97" i="1"/>
  <c r="BB100" i="1"/>
  <c r="BJ100" i="1"/>
  <c r="BR100" i="1"/>
  <c r="BA109" i="1"/>
  <c r="BI109" i="1"/>
  <c r="BQ109" i="1"/>
  <c r="BA70" i="1"/>
  <c r="BI70" i="1"/>
  <c r="AZ79" i="1"/>
  <c r="BH79" i="1"/>
  <c r="BD91" i="1"/>
  <c r="BA94" i="1"/>
  <c r="BI94" i="1"/>
  <c r="BF97" i="1"/>
  <c r="BC100" i="1"/>
  <c r="BB109" i="1"/>
  <c r="BJ109" i="1"/>
  <c r="AZ105" i="1" l="1"/>
  <c r="BA105" i="1" s="1"/>
  <c r="BB105" i="1" s="1"/>
  <c r="BC105" i="1" s="1"/>
  <c r="BD105" i="1" s="1"/>
  <c r="BE105" i="1" s="1"/>
  <c r="BF105" i="1" s="1"/>
  <c r="BG105" i="1" s="1"/>
  <c r="BH105" i="1" s="1"/>
  <c r="BI105" i="1" s="1"/>
  <c r="BJ105" i="1" s="1"/>
  <c r="BK105" i="1" s="1"/>
  <c r="BL105" i="1" s="1"/>
  <c r="BM105" i="1" s="1"/>
  <c r="BN105" i="1" s="1"/>
  <c r="BO105" i="1" s="1"/>
  <c r="BP105" i="1" s="1"/>
  <c r="BQ105" i="1" s="1"/>
  <c r="BR105" i="1" s="1"/>
  <c r="AZ90" i="1"/>
  <c r="BA90" i="1" s="1"/>
  <c r="BB90" i="1" s="1"/>
  <c r="BC90" i="1" s="1"/>
  <c r="BD90" i="1" s="1"/>
  <c r="BE90" i="1" s="1"/>
  <c r="BF90" i="1" s="1"/>
  <c r="BG90" i="1" s="1"/>
  <c r="BH90" i="1" s="1"/>
  <c r="BI90" i="1" s="1"/>
  <c r="BJ90" i="1" s="1"/>
  <c r="BK90" i="1" s="1"/>
  <c r="BL90" i="1" s="1"/>
  <c r="BM90" i="1" s="1"/>
  <c r="BN90" i="1" s="1"/>
  <c r="BO90" i="1" s="1"/>
  <c r="BP90" i="1" s="1"/>
  <c r="BQ90" i="1" s="1"/>
  <c r="BR90" i="1" s="1"/>
  <c r="AZ87" i="1"/>
  <c r="BA87" i="1" s="1"/>
  <c r="BB87" i="1" s="1"/>
  <c r="BC87" i="1" s="1"/>
  <c r="BD87" i="1" s="1"/>
  <c r="AZ84" i="1"/>
  <c r="BA84" i="1" s="1"/>
  <c r="BB84" i="1" s="1"/>
  <c r="BC84" i="1" s="1"/>
  <c r="BD84" i="1" s="1"/>
  <c r="BE84" i="1" s="1"/>
  <c r="BF84" i="1" s="1"/>
  <c r="BG84" i="1" s="1"/>
  <c r="BH84" i="1" s="1"/>
  <c r="BI84" i="1" s="1"/>
  <c r="BJ84" i="1" s="1"/>
  <c r="BK84" i="1" s="1"/>
  <c r="BL84" i="1" s="1"/>
  <c r="BM84" i="1" s="1"/>
  <c r="BN84" i="1" s="1"/>
  <c r="BO84" i="1" s="1"/>
  <c r="BP84" i="1" s="1"/>
  <c r="BQ84" i="1" s="1"/>
  <c r="BR84" i="1" s="1"/>
  <c r="AZ60" i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BQ60" i="1" s="1"/>
  <c r="BR60" i="1" s="1"/>
  <c r="AZ102" i="1"/>
  <c r="BA102" i="1" s="1"/>
  <c r="AZ51" i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BQ51" i="1" s="1"/>
  <c r="BR51" i="1" s="1"/>
  <c r="AZ93" i="1"/>
  <c r="BA93" i="1" s="1"/>
  <c r="BB93" i="1" s="1"/>
  <c r="AZ69" i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BP69" i="1" s="1"/>
  <c r="BQ69" i="1" s="1"/>
  <c r="BR69" i="1" s="1"/>
  <c r="BB57" i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BQ57" i="1" s="1"/>
  <c r="BR57" i="1" s="1"/>
  <c r="AZ72" i="1"/>
  <c r="BA72" i="1" s="1"/>
  <c r="BB72" i="1" s="1"/>
  <c r="BC72" i="1" s="1"/>
  <c r="BD72" i="1" s="1"/>
  <c r="BE72" i="1" s="1"/>
  <c r="BF72" i="1" s="1"/>
  <c r="BG72" i="1" s="1"/>
  <c r="BH72" i="1" s="1"/>
  <c r="BI72" i="1" s="1"/>
  <c r="BJ72" i="1" s="1"/>
  <c r="BK72" i="1" s="1"/>
  <c r="BL72" i="1" s="1"/>
  <c r="BM72" i="1" s="1"/>
  <c r="BN72" i="1" s="1"/>
  <c r="BO72" i="1" s="1"/>
  <c r="BP72" i="1" s="1"/>
  <c r="BQ72" i="1" s="1"/>
  <c r="BR72" i="1" s="1"/>
  <c r="AZ108" i="1"/>
  <c r="BA108" i="1" s="1"/>
  <c r="BB108" i="1" s="1"/>
  <c r="AZ54" i="1"/>
  <c r="BA54" i="1" s="1"/>
  <c r="BB54" i="1" s="1"/>
  <c r="AZ66" i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BQ66" i="1" s="1"/>
  <c r="BR66" i="1" s="1"/>
  <c r="AZ63" i="1"/>
  <c r="BA63" i="1" s="1"/>
  <c r="BB63" i="1" s="1"/>
  <c r="BC63" i="1" s="1"/>
  <c r="BD63" i="1" s="1"/>
  <c r="AZ81" i="1"/>
  <c r="BA81" i="1" s="1"/>
  <c r="BB81" i="1" s="1"/>
  <c r="BC81" i="1" s="1"/>
  <c r="BD81" i="1" s="1"/>
  <c r="BE81" i="1" s="1"/>
  <c r="BF81" i="1" s="1"/>
  <c r="BG81" i="1" s="1"/>
  <c r="BH81" i="1" s="1"/>
  <c r="BI81" i="1" s="1"/>
  <c r="BJ81" i="1" s="1"/>
  <c r="BK81" i="1" s="1"/>
  <c r="BL81" i="1" s="1"/>
  <c r="BM81" i="1" s="1"/>
  <c r="BN81" i="1" s="1"/>
  <c r="BO81" i="1" s="1"/>
  <c r="BP81" i="1" s="1"/>
  <c r="BQ81" i="1" s="1"/>
  <c r="BR81" i="1" s="1"/>
  <c r="AZ75" i="1"/>
  <c r="BA75" i="1" s="1"/>
  <c r="BB75" i="1" s="1"/>
  <c r="BC75" i="1" s="1"/>
  <c r="BD75" i="1" s="1"/>
  <c r="BE75" i="1" s="1"/>
  <c r="BF75" i="1" s="1"/>
  <c r="BG75" i="1" s="1"/>
  <c r="BH75" i="1" s="1"/>
  <c r="BI75" i="1" s="1"/>
  <c r="BJ75" i="1" s="1"/>
  <c r="BK75" i="1" s="1"/>
  <c r="BL75" i="1" s="1"/>
  <c r="BM75" i="1" s="1"/>
  <c r="BN75" i="1" s="1"/>
  <c r="BO75" i="1" s="1"/>
  <c r="BP75" i="1" s="1"/>
  <c r="BQ75" i="1" s="1"/>
  <c r="BR75" i="1" s="1"/>
  <c r="AZ78" i="1"/>
  <c r="BA78" i="1" s="1"/>
  <c r="BB78" i="1" s="1"/>
  <c r="AX99" i="1"/>
  <c r="AZ99" i="1"/>
  <c r="BA99" i="1" s="1"/>
  <c r="BB99" i="1" s="1"/>
  <c r="BC99" i="1" s="1"/>
  <c r="BD99" i="1" s="1"/>
  <c r="BE99" i="1" s="1"/>
  <c r="BF99" i="1" s="1"/>
  <c r="BG99" i="1" s="1"/>
  <c r="BH99" i="1" s="1"/>
  <c r="BI99" i="1" s="1"/>
  <c r="BJ99" i="1" s="1"/>
  <c r="BK99" i="1" s="1"/>
  <c r="BL99" i="1" s="1"/>
  <c r="BM99" i="1" s="1"/>
  <c r="BN99" i="1" s="1"/>
  <c r="BO99" i="1" s="1"/>
  <c r="BP99" i="1" s="1"/>
  <c r="BQ99" i="1" s="1"/>
  <c r="BR99" i="1" s="1"/>
  <c r="AZ96" i="1"/>
  <c r="BA96" i="1" s="1"/>
  <c r="BC93" i="1" l="1"/>
  <c r="BD93" i="1" s="1"/>
  <c r="BE93" i="1" s="1"/>
  <c r="BF93" i="1" s="1"/>
  <c r="BG93" i="1" s="1"/>
  <c r="BH93" i="1" s="1"/>
  <c r="BI93" i="1" s="1"/>
  <c r="BJ93" i="1" s="1"/>
  <c r="BK93" i="1" s="1"/>
  <c r="BL93" i="1" s="1"/>
  <c r="BM93" i="1" s="1"/>
  <c r="BN93" i="1" s="1"/>
  <c r="BO93" i="1" s="1"/>
  <c r="BP93" i="1" s="1"/>
  <c r="BQ93" i="1" s="1"/>
  <c r="BR93" i="1" s="1"/>
  <c r="AX93" i="1"/>
  <c r="AX102" i="1"/>
  <c r="BB102" i="1"/>
  <c r="BC102" i="1" s="1"/>
  <c r="BD102" i="1" s="1"/>
  <c r="BE102" i="1" s="1"/>
  <c r="BF102" i="1" s="1"/>
  <c r="BG102" i="1" s="1"/>
  <c r="BH102" i="1" s="1"/>
  <c r="BI102" i="1" s="1"/>
  <c r="BJ102" i="1" s="1"/>
  <c r="BK102" i="1" s="1"/>
  <c r="BL102" i="1" s="1"/>
  <c r="BM102" i="1" s="1"/>
  <c r="BN102" i="1" s="1"/>
  <c r="BO102" i="1" s="1"/>
  <c r="BP102" i="1" s="1"/>
  <c r="BQ102" i="1" s="1"/>
  <c r="BR102" i="1" s="1"/>
  <c r="BE87" i="1"/>
  <c r="BF87" i="1" s="1"/>
  <c r="BG87" i="1" s="1"/>
  <c r="BH87" i="1" s="1"/>
  <c r="BI87" i="1" s="1"/>
  <c r="BJ87" i="1" s="1"/>
  <c r="BK87" i="1" s="1"/>
  <c r="BL87" i="1" s="1"/>
  <c r="BM87" i="1" s="1"/>
  <c r="BN87" i="1" s="1"/>
  <c r="BO87" i="1" s="1"/>
  <c r="BP87" i="1" s="1"/>
  <c r="BQ87" i="1" s="1"/>
  <c r="BR87" i="1" s="1"/>
  <c r="AX87" i="1"/>
  <c r="AX105" i="1"/>
  <c r="AX57" i="1"/>
  <c r="BC108" i="1"/>
  <c r="BD108" i="1" s="1"/>
  <c r="BE108" i="1" s="1"/>
  <c r="BF108" i="1" s="1"/>
  <c r="BG108" i="1" s="1"/>
  <c r="BH108" i="1" s="1"/>
  <c r="BI108" i="1" s="1"/>
  <c r="BJ108" i="1" s="1"/>
  <c r="BK108" i="1" s="1"/>
  <c r="BL108" i="1" s="1"/>
  <c r="BM108" i="1" s="1"/>
  <c r="BN108" i="1" s="1"/>
  <c r="BO108" i="1" s="1"/>
  <c r="BP108" i="1" s="1"/>
  <c r="BQ108" i="1" s="1"/>
  <c r="BR108" i="1" s="1"/>
  <c r="AX108" i="1"/>
  <c r="AX75" i="1"/>
  <c r="AX66" i="1"/>
  <c r="AX60" i="1"/>
  <c r="AX90" i="1"/>
  <c r="AX72" i="1"/>
  <c r="BC54" i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BQ54" i="1" s="1"/>
  <c r="BR54" i="1" s="1"/>
  <c r="AX84" i="1"/>
  <c r="AX81" i="1"/>
  <c r="BC78" i="1"/>
  <c r="BD78" i="1" s="1"/>
  <c r="BE78" i="1" s="1"/>
  <c r="BF78" i="1" s="1"/>
  <c r="BG78" i="1" s="1"/>
  <c r="BH78" i="1" s="1"/>
  <c r="BI78" i="1" s="1"/>
  <c r="BJ78" i="1" s="1"/>
  <c r="BK78" i="1" s="1"/>
  <c r="BL78" i="1" s="1"/>
  <c r="BM78" i="1" s="1"/>
  <c r="BN78" i="1" s="1"/>
  <c r="BO78" i="1" s="1"/>
  <c r="BP78" i="1" s="1"/>
  <c r="BQ78" i="1" s="1"/>
  <c r="BR78" i="1" s="1"/>
  <c r="BE63" i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BB96" i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BM96" i="1" s="1"/>
  <c r="BN96" i="1" s="1"/>
  <c r="BO96" i="1" s="1"/>
  <c r="BP96" i="1" s="1"/>
  <c r="BQ96" i="1" s="1"/>
  <c r="BR96" i="1" s="1"/>
  <c r="AX63" i="1" l="1"/>
  <c r="AX54" i="1"/>
  <c r="AX78" i="1"/>
  <c r="AX9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C8688F-DC56-4FBE-A5D5-4EF754F33117}" keepAlive="1" name="Query - commodities" description="Connection to the 'commodities' query in the workbook." type="5" refreshedVersion="8" background="1" saveData="1">
    <dbPr connection="Provider=Microsoft.Mashup.OleDb.1;Data Source=$Workbook$;Location=commodities;Extended Properties=&quot;&quot;" command="SELECT * FROM [commodities]"/>
  </connection>
  <connection id="2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3" xr16:uid="{D343266D-CB6A-453B-B169-995D30C7B90F}" keepAlive="1" name="Query - material_list_clever" description="Connection to the 'material_list_clever' query in the workbook." type="5" refreshedVersion="8" background="1" saveData="1">
    <dbPr connection="Provider=Microsoft.Mashup.OleDb.1;Data Source=$Workbook$;Location=material_list_clever;Extended Properties=&quot;&quot;" command="SELECT * FROM [material_list_clever]"/>
  </connection>
  <connection id="4" xr16:uid="{7A5449A4-8131-4E56-B0F2-A4E79F6419AB}" keepAlive="1" name="Query - units" description="Connection to the 'units' query in the workbook." type="5" refreshedVersion="8" background="1" saveData="1">
    <dbPr connection="Provider=Microsoft.Mashup.OleDb.1;Data Source=$Workbook$;Location=units;Extended Properties=&quot;&quot;" command="SELECT * FROM [units]"/>
  </connection>
</connections>
</file>

<file path=xl/sharedStrings.xml><?xml version="1.0" encoding="utf-8"?>
<sst xmlns="http://schemas.openxmlformats.org/spreadsheetml/2006/main" count="4153" uniqueCount="722">
  <si>
    <t xml:space="preserve"> </t>
  </si>
  <si>
    <t>Noir</t>
  </si>
  <si>
    <t>Wicker</t>
  </si>
  <si>
    <t>Henry</t>
  </si>
  <si>
    <t>Min</t>
  </si>
  <si>
    <t>xx</t>
  </si>
  <si>
    <t>Status</t>
  </si>
  <si>
    <t>POP00003</t>
  </si>
  <si>
    <t>popruh černý PAD 20 mm</t>
  </si>
  <si>
    <t>Popruh</t>
  </si>
  <si>
    <t>m</t>
  </si>
  <si>
    <t>spotřeba</t>
  </si>
  <si>
    <t>dodávka</t>
  </si>
  <si>
    <t>BRA00001</t>
  </si>
  <si>
    <t>tkaná etiketa kosočtverec černobílá Braasi Industry</t>
  </si>
  <si>
    <t>Branding</t>
  </si>
  <si>
    <t>ks</t>
  </si>
  <si>
    <t>BRA00002</t>
  </si>
  <si>
    <t>tkaná etiketa přežehlená černobílá B/IN</t>
  </si>
  <si>
    <t>HAR00005</t>
  </si>
  <si>
    <t>YKK samice 20 mm černá</t>
  </si>
  <si>
    <t>Hardware</t>
  </si>
  <si>
    <t>HAR00006</t>
  </si>
  <si>
    <t>YKK samec 20 mm černá</t>
  </si>
  <si>
    <t>HAR00010</t>
  </si>
  <si>
    <t>YKK žebříček 20 mm černá</t>
  </si>
  <si>
    <t>HAR00018</t>
  </si>
  <si>
    <t>YKK 5 zip černý reverzní</t>
  </si>
  <si>
    <t>HAR00019</t>
  </si>
  <si>
    <t>YKK jezdec 5E černá</t>
  </si>
  <si>
    <t>LAT00008</t>
  </si>
  <si>
    <t>černý PES s PVC zátěrem</t>
  </si>
  <si>
    <t>Latky</t>
  </si>
  <si>
    <t>VYP00001</t>
  </si>
  <si>
    <t>Molitan 2 cm</t>
  </si>
  <si>
    <t>Vyplne</t>
  </si>
  <si>
    <t>LAT00101</t>
  </si>
  <si>
    <t>podložení molitanu záda</t>
  </si>
  <si>
    <t>LAT00090</t>
  </si>
  <si>
    <t>Bavlna IT impregnace černá</t>
  </si>
  <si>
    <t>LAT00015</t>
  </si>
  <si>
    <t>Ubeon se zátěrem bílá</t>
  </si>
  <si>
    <t>LAT00102</t>
  </si>
  <si>
    <t>SILK 0842 černá</t>
  </si>
  <si>
    <t>BAL00001</t>
  </si>
  <si>
    <t>papírová karta příběh + označení batohu</t>
  </si>
  <si>
    <t>Baleni</t>
  </si>
  <si>
    <t>BAL00002</t>
  </si>
  <si>
    <t>igelitový pytel s logem</t>
  </si>
  <si>
    <t>BAL00003</t>
  </si>
  <si>
    <t>krabice 51x38x7</t>
  </si>
  <si>
    <t>BAL00004</t>
  </si>
  <si>
    <t>lepící páska Braasi Industry</t>
  </si>
  <si>
    <t>BAL00006</t>
  </si>
  <si>
    <t>štítek GLS</t>
  </si>
  <si>
    <t>BAL00005</t>
  </si>
  <si>
    <t>štítek Zásilkovna</t>
  </si>
  <si>
    <t>formát dodá denisa</t>
  </si>
  <si>
    <t>POP00001</t>
  </si>
  <si>
    <t>poporuh černý PAD 10 mm</t>
  </si>
  <si>
    <t>SKL</t>
  </si>
  <si>
    <t>POP00002</t>
  </si>
  <si>
    <t>popruh černý PAD 16 mm</t>
  </si>
  <si>
    <t>POP00004</t>
  </si>
  <si>
    <t>popruh černý PAD 25 mm</t>
  </si>
  <si>
    <t>POP00005</t>
  </si>
  <si>
    <t>popruh černý PAD 40 mm</t>
  </si>
  <si>
    <t>POP00006</t>
  </si>
  <si>
    <t>lemovka černá PAD 25 mm</t>
  </si>
  <si>
    <t>POP00007</t>
  </si>
  <si>
    <t>lemovka černá PES 25 mm</t>
  </si>
  <si>
    <t>POP00008</t>
  </si>
  <si>
    <t>pruženka černá 25 mm</t>
  </si>
  <si>
    <t>POP00009</t>
  </si>
  <si>
    <t>popruh černý PES 10 mm</t>
  </si>
  <si>
    <t>POP00010</t>
  </si>
  <si>
    <t>popruh černý PES 16 mm</t>
  </si>
  <si>
    <t>POP00011</t>
  </si>
  <si>
    <t>popruh černý PES 20 mm</t>
  </si>
  <si>
    <t>POP00012</t>
  </si>
  <si>
    <t>popruh černý PES 25 mm</t>
  </si>
  <si>
    <t>POP00013</t>
  </si>
  <si>
    <t>popruh černý PES 55 mm</t>
  </si>
  <si>
    <t>POP00014</t>
  </si>
  <si>
    <t>popruh černý bavlna 20 mm</t>
  </si>
  <si>
    <t>POP00015</t>
  </si>
  <si>
    <t>popruh bílý PAD 10 mm</t>
  </si>
  <si>
    <t>POP00016</t>
  </si>
  <si>
    <t>popruh bílý PAD 20 mm</t>
  </si>
  <si>
    <t>POP00017</t>
  </si>
  <si>
    <t>popruh bílý PAD 25 mm</t>
  </si>
  <si>
    <t>POP00018</t>
  </si>
  <si>
    <t>popruh přírodní bavlna 20 mm</t>
  </si>
  <si>
    <t>POP00019</t>
  </si>
  <si>
    <t>popruh přírodní bavlna 30 mm</t>
  </si>
  <si>
    <t>POP00020</t>
  </si>
  <si>
    <t>popruh modrý PAD 10 mm</t>
  </si>
  <si>
    <t>POP00021</t>
  </si>
  <si>
    <t>popruh modrý PAD 20 mm</t>
  </si>
  <si>
    <t>POP00022</t>
  </si>
  <si>
    <t>popruh modrý PAD 25 mm</t>
  </si>
  <si>
    <t>POP00023</t>
  </si>
  <si>
    <t>popruh modrý bavlna 40 mm</t>
  </si>
  <si>
    <t>POP00024</t>
  </si>
  <si>
    <t>popruh oranžový reflexní PAD 16 mm</t>
  </si>
  <si>
    <t>POP00025</t>
  </si>
  <si>
    <t>popruh oranžový reflexní PAD 20 mm</t>
  </si>
  <si>
    <t>POP00026</t>
  </si>
  <si>
    <t>popruh oranžový tmavě PAD 20 mm</t>
  </si>
  <si>
    <t>POP00027</t>
  </si>
  <si>
    <t>popruh červený PAD 10 mm</t>
  </si>
  <si>
    <t>POP00028</t>
  </si>
  <si>
    <t>popruh červený PAD 20 mm</t>
  </si>
  <si>
    <t>POP00029</t>
  </si>
  <si>
    <t>popruh červený PAD 25 mm</t>
  </si>
  <si>
    <t>POP00030</t>
  </si>
  <si>
    <t>popruh zelený reflexní PAD 10 mm</t>
  </si>
  <si>
    <t>POP00031</t>
  </si>
  <si>
    <t>popruh žlutý PAD 10 mm</t>
  </si>
  <si>
    <t>POP00032</t>
  </si>
  <si>
    <t>popruh šedý PAD 10 mm</t>
  </si>
  <si>
    <t>POP00033</t>
  </si>
  <si>
    <t>popruh béžový PAD 20 mm</t>
  </si>
  <si>
    <t>POP00034</t>
  </si>
  <si>
    <t>popruh fialový PAD 20 mm</t>
  </si>
  <si>
    <t>POP00035</t>
  </si>
  <si>
    <t>popruh kaki bavlna 34 mm</t>
  </si>
  <si>
    <t>POP00036</t>
  </si>
  <si>
    <t>popruh pruhovaný č,o,z,m,ž 25 mm</t>
  </si>
  <si>
    <t>POP00037</t>
  </si>
  <si>
    <t>popruh pruhovaný š,f,š 30 mm</t>
  </si>
  <si>
    <t>POP00038</t>
  </si>
  <si>
    <t>pryžové vlákno černá PES</t>
  </si>
  <si>
    <t>POP00039</t>
  </si>
  <si>
    <t>gumolano červené 4mm</t>
  </si>
  <si>
    <t>POP00040</t>
  </si>
  <si>
    <t>oděvní vázačka bílý PES 3,5mm</t>
  </si>
  <si>
    <t>POP00041</t>
  </si>
  <si>
    <t>oděvní vázačka černý PES 3,5 mm</t>
  </si>
  <si>
    <t>POP00042</t>
  </si>
  <si>
    <t>oděvní vázačka žlutý PES 3,5 mm</t>
  </si>
  <si>
    <t>POP00043</t>
  </si>
  <si>
    <t>paracorde modrá  3,5 mm</t>
  </si>
  <si>
    <t>POP00044</t>
  </si>
  <si>
    <t>paracorde červený 3,5 mm</t>
  </si>
  <si>
    <t>POP00045</t>
  </si>
  <si>
    <t>paracorde černý 3,5 mm</t>
  </si>
  <si>
    <t>POP00046</t>
  </si>
  <si>
    <t>automobilové pásy 45mm</t>
  </si>
  <si>
    <t>POP00047</t>
  </si>
  <si>
    <t>dutinka zlatá 20 mm</t>
  </si>
  <si>
    <t>POP00048</t>
  </si>
  <si>
    <t>suché zipy 10 mm háček</t>
  </si>
  <si>
    <t>POP00049</t>
  </si>
  <si>
    <t>suché zipy 10 mm plyš</t>
  </si>
  <si>
    <t>POP00050</t>
  </si>
  <si>
    <t>suché zipy 25 mm háček</t>
  </si>
  <si>
    <t>POP00051</t>
  </si>
  <si>
    <t>suché zipy 25 mm plyš</t>
  </si>
  <si>
    <t>POP00052</t>
  </si>
  <si>
    <t>suché zipy 30 mm háček</t>
  </si>
  <si>
    <t>POP00053</t>
  </si>
  <si>
    <t>suché zipy 30 mm plyš</t>
  </si>
  <si>
    <t>POP00054</t>
  </si>
  <si>
    <t>prsní zavírání pytel 20mm*600mm</t>
  </si>
  <si>
    <t>POP00055</t>
  </si>
  <si>
    <t>horní lem pytel 20mm*930mm</t>
  </si>
  <si>
    <t>HAR00001</t>
  </si>
  <si>
    <t>YKK samice 25 mm černá</t>
  </si>
  <si>
    <t>HAR00002</t>
  </si>
  <si>
    <t>YKK samec 25 mm černá</t>
  </si>
  <si>
    <t>HAR00003</t>
  </si>
  <si>
    <t>YKK samec 25 mm černá EVO</t>
  </si>
  <si>
    <t>HAR00004</t>
  </si>
  <si>
    <t>YKK samice 25 mm černá EVO</t>
  </si>
  <si>
    <t>HAR00007</t>
  </si>
  <si>
    <t>YKK samec 16 mm černá</t>
  </si>
  <si>
    <t>HAR00008</t>
  </si>
  <si>
    <t>YKK samice 16 mm černá</t>
  </si>
  <si>
    <t>HAR00009</t>
  </si>
  <si>
    <t>YKK žebříček 16 mm černá</t>
  </si>
  <si>
    <t>HAR00011</t>
  </si>
  <si>
    <t>YKK žebříček 25 mm černá</t>
  </si>
  <si>
    <t>HAR00012</t>
  </si>
  <si>
    <t>YKK žebříček 25 mm černá WICKER</t>
  </si>
  <si>
    <t>HAR00013</t>
  </si>
  <si>
    <t>YKK očko 18 mm černá</t>
  </si>
  <si>
    <t>HAR00014</t>
  </si>
  <si>
    <t>YKK očko 20 mm černá</t>
  </si>
  <si>
    <t>HAR00015</t>
  </si>
  <si>
    <t>YKK očko 25 mm černá</t>
  </si>
  <si>
    <t>HAR00016</t>
  </si>
  <si>
    <t>YKK očko 40 mm černá</t>
  </si>
  <si>
    <t>HAR00017</t>
  </si>
  <si>
    <t>YKK zip černý pogumovaný</t>
  </si>
  <si>
    <t>HAR00020</t>
  </si>
  <si>
    <t>YKK jezdec 5EJ černá</t>
  </si>
  <si>
    <t>HAR00021</t>
  </si>
  <si>
    <t>YKK klíčenka černá</t>
  </si>
  <si>
    <t>HAR00022</t>
  </si>
  <si>
    <t>YKK D-kroužek černá</t>
  </si>
  <si>
    <t>HAR00023</t>
  </si>
  <si>
    <t>YKK karabina černá</t>
  </si>
  <si>
    <t>HAR00024</t>
  </si>
  <si>
    <t>YKK trojzubec 50 mm černá (samec+samice)</t>
  </si>
  <si>
    <t>HAR00025</t>
  </si>
  <si>
    <t>YKK bikeroller přezka</t>
  </si>
  <si>
    <t>HAR00026</t>
  </si>
  <si>
    <t>YKK jezdec 5E bílý</t>
  </si>
  <si>
    <t>HAR00027</t>
  </si>
  <si>
    <t>YKK průvleky 20 mm</t>
  </si>
  <si>
    <t>HAR00028</t>
  </si>
  <si>
    <t>trojzubec 40 mm černá (samec+samice)</t>
  </si>
  <si>
    <t>HAR00029</t>
  </si>
  <si>
    <t>žebříček 40 mm černá CROSSBODY</t>
  </si>
  <si>
    <t>HAR00030</t>
  </si>
  <si>
    <t>YKK zip 28 cm žlutý</t>
  </si>
  <si>
    <t>HAR00031</t>
  </si>
  <si>
    <t>YKK zip 28 cm bílý</t>
  </si>
  <si>
    <t>HAR00032</t>
  </si>
  <si>
    <t>YKK zip kovový 18 cm černý</t>
  </si>
  <si>
    <t>HAR00033</t>
  </si>
  <si>
    <t>YKK zip kovový 18 cm bílý</t>
  </si>
  <si>
    <t>HAR00034</t>
  </si>
  <si>
    <t>zip kovový 18 cm černý</t>
  </si>
  <si>
    <t>HAR00035</t>
  </si>
  <si>
    <t>YKK zip spirálový reverzní 5 CI černá</t>
  </si>
  <si>
    <t>HAR00036</t>
  </si>
  <si>
    <t>Fidlock V-BUCKLE 20 mm jednostranně nastavitelná</t>
  </si>
  <si>
    <t>HAR00037</t>
  </si>
  <si>
    <t>Fidlock V-BUCKLE 25 mm jednostranně nastavitelná</t>
  </si>
  <si>
    <t>HAR00038</t>
  </si>
  <si>
    <t>Fidlock V-BUCKLE 40 LL 40 mm nastavitelná černá</t>
  </si>
  <si>
    <t>HAR00039</t>
  </si>
  <si>
    <t>Fidlock V-BUCKLE 40 SB 40 mm fix černá</t>
  </si>
  <si>
    <t>HAR00040</t>
  </si>
  <si>
    <t>Fidlock HOOK 40 belt LL</t>
  </si>
  <si>
    <t>HAR00041</t>
  </si>
  <si>
    <t>Fidlock přezka 20 mm stříbrná</t>
  </si>
  <si>
    <t>HAR00042</t>
  </si>
  <si>
    <t>Fidlock Stripe X3</t>
  </si>
  <si>
    <t>HAR00043</t>
  </si>
  <si>
    <t>Fidlock Coinstrap 15 mm na helmu</t>
  </si>
  <si>
    <t>HAR00044</t>
  </si>
  <si>
    <t>Fidlock SNAP špuntík samec M kulatá nízká černá</t>
  </si>
  <si>
    <t>HAR00045</t>
  </si>
  <si>
    <t>Fidlock SNAP špuntík samice M kulatá nízká černá</t>
  </si>
  <si>
    <t>HAR00046</t>
  </si>
  <si>
    <t>Fidlock SNAP samec S na gumičku</t>
  </si>
  <si>
    <t>HAR00047</t>
  </si>
  <si>
    <t>Fidlock SNAP samice S kulatá nízká černá</t>
  </si>
  <si>
    <t>HAR00048</t>
  </si>
  <si>
    <t>Fidlock SNAP male M 25 adjuster k rolce</t>
  </si>
  <si>
    <t>HAR00049</t>
  </si>
  <si>
    <t>Fidlock HOOK 20 na gumičku černá</t>
  </si>
  <si>
    <t>HAR00050</t>
  </si>
  <si>
    <t>WeTool kovový žebříček 20 mm černá</t>
  </si>
  <si>
    <t>HAR00051</t>
  </si>
  <si>
    <t>WeTool kovový žebříček 25 mm černá</t>
  </si>
  <si>
    <t>HAR00052</t>
  </si>
  <si>
    <t>WeTool kovový G-Hook 20 mm levá černá</t>
  </si>
  <si>
    <t>HAR00053</t>
  </si>
  <si>
    <t>WeTool kovový G-Hook 20 mm pravá černá</t>
  </si>
  <si>
    <t>HAR00054</t>
  </si>
  <si>
    <t>WeTool kovový G-Hook 25 mm levá černý</t>
  </si>
  <si>
    <t>HAR00055</t>
  </si>
  <si>
    <t>WeTool kovový H-Hook 25 mm černá</t>
  </si>
  <si>
    <t>HAR00056</t>
  </si>
  <si>
    <t>WeTool kovový karabina 20 mm černá</t>
  </si>
  <si>
    <t>HAR00057</t>
  </si>
  <si>
    <t>WeTool kovový protikus karabina 20 mm černá</t>
  </si>
  <si>
    <t>HAR00058</t>
  </si>
  <si>
    <t>WeTool kovová karabina obdélníková 20 mm černá</t>
  </si>
  <si>
    <t>HAR00059</t>
  </si>
  <si>
    <t>WeTool kovová karabina obdélníková 10 mm černá</t>
  </si>
  <si>
    <t>HAR00060</t>
  </si>
  <si>
    <t>WeTool kovová karabina otočná 20 mm černá</t>
  </si>
  <si>
    <t>HAR00061</t>
  </si>
  <si>
    <t>WeTool kovové D-očko 20 mm černá</t>
  </si>
  <si>
    <t>HAR00062</t>
  </si>
  <si>
    <t>titanová žabka 20 mm</t>
  </si>
  <si>
    <t>HAR00063</t>
  </si>
  <si>
    <t>PJ trojzubec 25 mm bílá (samec+samice)</t>
  </si>
  <si>
    <t>HAR00064</t>
  </si>
  <si>
    <t>PJ žebříček 25 mm bílá</t>
  </si>
  <si>
    <t>HAR00065</t>
  </si>
  <si>
    <t>PJ žebříček 20 mm bílá</t>
  </si>
  <si>
    <t>HAR00066</t>
  </si>
  <si>
    <t>PJ samec 20 mm bílá</t>
  </si>
  <si>
    <t>HAR00067</t>
  </si>
  <si>
    <t>PJ samice 20 mm bílá</t>
  </si>
  <si>
    <t>HAR00068</t>
  </si>
  <si>
    <t>PJ očko 20 mm bílá</t>
  </si>
  <si>
    <t>HAR00069</t>
  </si>
  <si>
    <t>PJ očko 20 mm černá</t>
  </si>
  <si>
    <t>HAR00070</t>
  </si>
  <si>
    <t>PJ očko 40 mm černá</t>
  </si>
  <si>
    <t>HAR00071</t>
  </si>
  <si>
    <t>PJ spona 20 mm bílá</t>
  </si>
  <si>
    <t>HAR00072</t>
  </si>
  <si>
    <t>PJ trojzubec 10 mm bílá (samec+samice)</t>
  </si>
  <si>
    <t>HAR00073</t>
  </si>
  <si>
    <t>PJ trojzubec 10 mm černá</t>
  </si>
  <si>
    <t>HAR00074</t>
  </si>
  <si>
    <t>PJ karabina 20 mm černá</t>
  </si>
  <si>
    <t>HAR00075</t>
  </si>
  <si>
    <t>PJ karabina 30 mm černá</t>
  </si>
  <si>
    <t>HAR00076</t>
  </si>
  <si>
    <t>PJ trojzubec 30 mm černá</t>
  </si>
  <si>
    <t>HAR00077</t>
  </si>
  <si>
    <t>PJ žebříček 40 mm černá</t>
  </si>
  <si>
    <t>HAR00078</t>
  </si>
  <si>
    <t>PJ D-kroužek černá 20 mm</t>
  </si>
  <si>
    <t>HAR00079</t>
  </si>
  <si>
    <t>Massag kovový zebříček 20 mm měděný</t>
  </si>
  <si>
    <t>HAR00080</t>
  </si>
  <si>
    <t>Massa kovový žebříček 20 mm černá</t>
  </si>
  <si>
    <t>HAR00081</t>
  </si>
  <si>
    <t>Metal clash hook</t>
  </si>
  <si>
    <t>LAT00001</t>
  </si>
  <si>
    <t>Kortexin černý</t>
  </si>
  <si>
    <t>LAT00002</t>
  </si>
  <si>
    <t>Kortexin žlutý</t>
  </si>
  <si>
    <t>LAT00003</t>
  </si>
  <si>
    <t>Kortexin bílý</t>
  </si>
  <si>
    <t>LAT00004</t>
  </si>
  <si>
    <t>Kortexin červený</t>
  </si>
  <si>
    <t>LAT00005</t>
  </si>
  <si>
    <t>Kortexin sv.šedá</t>
  </si>
  <si>
    <t>LAT00006</t>
  </si>
  <si>
    <t>Kortexin hnědý</t>
  </si>
  <si>
    <t>LAT00007</t>
  </si>
  <si>
    <t>Kortexin oranžový</t>
  </si>
  <si>
    <t>LAT00009</t>
  </si>
  <si>
    <t>žlutý PES s PVC zátěrem</t>
  </si>
  <si>
    <t>VYP00002</t>
  </si>
  <si>
    <t>EVA pěna 10 mm</t>
  </si>
  <si>
    <t>VYP00003</t>
  </si>
  <si>
    <t>Eva pěna 6 mm</t>
  </si>
  <si>
    <t>VYP00004</t>
  </si>
  <si>
    <t>Eva pěna 2 mm</t>
  </si>
  <si>
    <t>LAT00010</t>
  </si>
  <si>
    <t>3D tkanina</t>
  </si>
  <si>
    <t>LAT00011</t>
  </si>
  <si>
    <t>Outlast</t>
  </si>
  <si>
    <t>LAT00012</t>
  </si>
  <si>
    <t>Ubeon žlutá</t>
  </si>
  <si>
    <t>LAT00013</t>
  </si>
  <si>
    <t>Ubeon světle šedá</t>
  </si>
  <si>
    <t>LAT00014</t>
  </si>
  <si>
    <t>Ubeon modrá</t>
  </si>
  <si>
    <t>LAT00016</t>
  </si>
  <si>
    <t>Ulsedan zářivě žlutá</t>
  </si>
  <si>
    <t>LAT00017</t>
  </si>
  <si>
    <t>Ulsedan zářivě oranžová</t>
  </si>
  <si>
    <t>LAT00018</t>
  </si>
  <si>
    <t>Ulsedan modrá</t>
  </si>
  <si>
    <t>LAT00019</t>
  </si>
  <si>
    <t>Ulsedan černá</t>
  </si>
  <si>
    <t>LAT00020</t>
  </si>
  <si>
    <t>Ulsedan zelená plzeňská</t>
  </si>
  <si>
    <t>LAT00021</t>
  </si>
  <si>
    <t>Ulsedan červená</t>
  </si>
  <si>
    <t>LAT00022</t>
  </si>
  <si>
    <t>Ulsedan fialová</t>
  </si>
  <si>
    <t>LAT00023</t>
  </si>
  <si>
    <t>Uzaron fialová</t>
  </si>
  <si>
    <t>LAT00024</t>
  </si>
  <si>
    <t>Uzaron červená</t>
  </si>
  <si>
    <t>LAT00025</t>
  </si>
  <si>
    <t>Uzaron růžová</t>
  </si>
  <si>
    <t>LAT00026</t>
  </si>
  <si>
    <t>Uzaron žlutá</t>
  </si>
  <si>
    <t>LAT00027</t>
  </si>
  <si>
    <t>Uzaron královská modrá</t>
  </si>
  <si>
    <t>LAT00028</t>
  </si>
  <si>
    <t>Uzaron černá</t>
  </si>
  <si>
    <t>LAT00029</t>
  </si>
  <si>
    <t>Ubeon zelená</t>
  </si>
  <si>
    <t>LAT00030</t>
  </si>
  <si>
    <t>Padákovina černá</t>
  </si>
  <si>
    <t>LAT00031</t>
  </si>
  <si>
    <t>Padákovina khaki</t>
  </si>
  <si>
    <t>LAT00032</t>
  </si>
  <si>
    <t>Padákovina stříbrná</t>
  </si>
  <si>
    <t>LAT00033</t>
  </si>
  <si>
    <t>Padákovina navy</t>
  </si>
  <si>
    <t>LAT00034</t>
  </si>
  <si>
    <t>Cordura CZ 1100 černá PU zátěr</t>
  </si>
  <si>
    <t>LAT00035</t>
  </si>
  <si>
    <t>Cordura CZ 1100 khaki PU zátěr</t>
  </si>
  <si>
    <t>LAT00036</t>
  </si>
  <si>
    <t>Cordura DE 1100 černá AC zátěr</t>
  </si>
  <si>
    <t>LAT00037</t>
  </si>
  <si>
    <t>Cordura DE 1100 navy AC zátěr</t>
  </si>
  <si>
    <t>LAT00038</t>
  </si>
  <si>
    <t>Cordura DE 1100 oranžová AC zátěr</t>
  </si>
  <si>
    <t>LAT00039</t>
  </si>
  <si>
    <t>Cordura DE 1100 červená AC zátěr</t>
  </si>
  <si>
    <t>LAT00040</t>
  </si>
  <si>
    <t>Cordura DE 1100 modrá AC zátěr</t>
  </si>
  <si>
    <t>LAT00041</t>
  </si>
  <si>
    <t>Cordura DE 1100 žlutá AC zátěr</t>
  </si>
  <si>
    <t>LAT00042</t>
  </si>
  <si>
    <t>Cordura DE 1100 ecru AC zátěr</t>
  </si>
  <si>
    <t>LAT00043</t>
  </si>
  <si>
    <t>Cordura DE 1100 tmavě šedá AC zátěr</t>
  </si>
  <si>
    <t>LAT00044</t>
  </si>
  <si>
    <t>Cordura DE 1100 khaki AC zátěr</t>
  </si>
  <si>
    <t>LAT00045</t>
  </si>
  <si>
    <t>Cordura DE 1100 kávová AC zátěr</t>
  </si>
  <si>
    <t>LAT00046</t>
  </si>
  <si>
    <t>Cordura Belgická "UKORET" 1100 černá</t>
  </si>
  <si>
    <t>LAT00047</t>
  </si>
  <si>
    <t>Cordura DE 1100 trávově zelená AC zátěr</t>
  </si>
  <si>
    <t>LAT00048</t>
  </si>
  <si>
    <t>Cordura DE 1100 coyote AC zátěr</t>
  </si>
  <si>
    <t>LAT00049</t>
  </si>
  <si>
    <t>Cordura DE 1100 jarní zelená AC zátěr</t>
  </si>
  <si>
    <t>LAT00050</t>
  </si>
  <si>
    <t>Cordura DE 1100 tan AC zátěr</t>
  </si>
  <si>
    <t>LAT00051</t>
  </si>
  <si>
    <t>Cordura DE 1100 akvamarin AC zátěr</t>
  </si>
  <si>
    <t>LAT00052</t>
  </si>
  <si>
    <t>Cordura DE 1100 khaki PVC zátěr</t>
  </si>
  <si>
    <t>LAT00053</t>
  </si>
  <si>
    <t>Cordura DE 1100 šedá AC zátěr</t>
  </si>
  <si>
    <t>LAT00054</t>
  </si>
  <si>
    <t>Cordura DE 1100 fialová AC zátěr</t>
  </si>
  <si>
    <t>LAT00055</t>
  </si>
  <si>
    <t>Cordura DE 1100 zlatá AC zátěr</t>
  </si>
  <si>
    <t>LAT00056</t>
  </si>
  <si>
    <t>Cordura DE 1100 tmavě zelená AC zátěr</t>
  </si>
  <si>
    <t>LAT00057</t>
  </si>
  <si>
    <t>Cordura DE 1100 armádní zelená AC zátěr</t>
  </si>
  <si>
    <t>LAT00058</t>
  </si>
  <si>
    <t>Cordura DE 1100 olivově zelená AC zátěr</t>
  </si>
  <si>
    <t>LAT00059</t>
  </si>
  <si>
    <t>Cordura DE 1100 růžová AC zátěr</t>
  </si>
  <si>
    <t>LAT00060</t>
  </si>
  <si>
    <t>Cordura CZ 500 černá PU zátěr</t>
  </si>
  <si>
    <t>LAT00061</t>
  </si>
  <si>
    <t>Cordura DE 500 černá PU zátěr</t>
  </si>
  <si>
    <t>LAT00062</t>
  </si>
  <si>
    <t>Cordura DE 500 navy AC zátěr</t>
  </si>
  <si>
    <t>LAT00063</t>
  </si>
  <si>
    <t>Cordura DE 500 oranžová AC zátěr</t>
  </si>
  <si>
    <t>LAT00064</t>
  </si>
  <si>
    <t>Cordura DE 500 žlutá AC zátěr</t>
  </si>
  <si>
    <t>LAT00065</t>
  </si>
  <si>
    <t>Cordura DE 500 bílá AC zátěr</t>
  </si>
  <si>
    <t>LAT00066</t>
  </si>
  <si>
    <t>Cordura DE 500 světle modrá AC zátěr</t>
  </si>
  <si>
    <t>LAT00067</t>
  </si>
  <si>
    <t>Cordura DE 500 šedá AC zátěr</t>
  </si>
  <si>
    <t>LAT00068</t>
  </si>
  <si>
    <t>Cordura DE 500 šedá/zelená AC zátěr</t>
  </si>
  <si>
    <t>LAT00069</t>
  </si>
  <si>
    <t>Cordura DE 500 hnědá AC zátěr</t>
  </si>
  <si>
    <t>LAT00070</t>
  </si>
  <si>
    <t>Cordura DE 500 zářivě žlutá AC zátěr</t>
  </si>
  <si>
    <t>LAT00071</t>
  </si>
  <si>
    <t>Cordura DE 500 blankytně modrá AC zátěr</t>
  </si>
  <si>
    <t>LAT00072</t>
  </si>
  <si>
    <t>Cordura DE 500 světle šedá AC zátěr</t>
  </si>
  <si>
    <t>LAT00073</t>
  </si>
  <si>
    <t>Cordura DE 500 červená AC zátěr</t>
  </si>
  <si>
    <t>LAT00074</t>
  </si>
  <si>
    <t>Cordura DE 500 khaki AC zátěr</t>
  </si>
  <si>
    <t>LAT00075</t>
  </si>
  <si>
    <t>Cordura DE 500 vínová AC zátěr</t>
  </si>
  <si>
    <t>LAT00076</t>
  </si>
  <si>
    <t>Cordura DE 500 šedá ocelová AC zátěr</t>
  </si>
  <si>
    <t>LAT00077</t>
  </si>
  <si>
    <t>Cordura DE 500 tan AC zátěr</t>
  </si>
  <si>
    <t>LAT00078</t>
  </si>
  <si>
    <t>Xpac VX21 black</t>
  </si>
  <si>
    <t>LAT00079</t>
  </si>
  <si>
    <t>Xpac VX21 purple</t>
  </si>
  <si>
    <t>LAT00080</t>
  </si>
  <si>
    <t>Xpac VX21 yellow</t>
  </si>
  <si>
    <t>LAT00081</t>
  </si>
  <si>
    <t>Xpac VX21 white</t>
  </si>
  <si>
    <t>LAT00082</t>
  </si>
  <si>
    <t>Xpac RX36/DWR black</t>
  </si>
  <si>
    <t>LAT00083</t>
  </si>
  <si>
    <t>Xpac RX36/DWR white</t>
  </si>
  <si>
    <t>LAT00084</t>
  </si>
  <si>
    <t>Xpac RX30/DWR black</t>
  </si>
  <si>
    <t>LAT00085</t>
  </si>
  <si>
    <t>Xpac RX15/DWR white</t>
  </si>
  <si>
    <t>LAT00086</t>
  </si>
  <si>
    <t>Xpac VX21 RIPSTOP black</t>
  </si>
  <si>
    <t>LAT00087</t>
  </si>
  <si>
    <t>Patrik Antzcak tisk</t>
  </si>
  <si>
    <t>LAT00088</t>
  </si>
  <si>
    <t>Paperjoe tisk</t>
  </si>
  <si>
    <t>LAT00089</t>
  </si>
  <si>
    <t>Bavlna CZ černá</t>
  </si>
  <si>
    <t>LAT00091</t>
  </si>
  <si>
    <t>Bavlna IT oranžová</t>
  </si>
  <si>
    <t>LAT00092</t>
  </si>
  <si>
    <t>Bavlna CZ khaki</t>
  </si>
  <si>
    <t>LAT00093</t>
  </si>
  <si>
    <t>Bavlna IT přírodní</t>
  </si>
  <si>
    <t>LAT00094</t>
  </si>
  <si>
    <t>Bavlna CZ přírodn</t>
  </si>
  <si>
    <t>LAT00095</t>
  </si>
  <si>
    <t>Bavlna CZ žlutá</t>
  </si>
  <si>
    <t>LAT00096</t>
  </si>
  <si>
    <t>Bavlna CZ tmavě žlutá</t>
  </si>
  <si>
    <t>LAT00097</t>
  </si>
  <si>
    <t>Bavlna CZ magenta</t>
  </si>
  <si>
    <t>LAT00098</t>
  </si>
  <si>
    <t>Bavlna CZ modrá</t>
  </si>
  <si>
    <t>LAT00099</t>
  </si>
  <si>
    <t>Bavlna England (monocle) khaki</t>
  </si>
  <si>
    <t>LAT00100</t>
  </si>
  <si>
    <t>Bavlna England (monocle) navy</t>
  </si>
  <si>
    <t>BRA00003</t>
  </si>
  <si>
    <t>tkaná etiketa přežehlená úzká čepice</t>
  </si>
  <si>
    <t>BRA00004</t>
  </si>
  <si>
    <t>tkaná etiketa kosočtverec meděná Braasi Industry</t>
  </si>
  <si>
    <t>BRA00005</t>
  </si>
  <si>
    <t>tkaná etiketa ROBE</t>
  </si>
  <si>
    <t>BRA00006</t>
  </si>
  <si>
    <t>tkaná etiketa DIRECT</t>
  </si>
  <si>
    <t>BRA00007</t>
  </si>
  <si>
    <t>tkaná etiketa SEYFOR</t>
  </si>
  <si>
    <t>BRA00008</t>
  </si>
  <si>
    <t>tkaná etiketa PPF/ BRAASI</t>
  </si>
  <si>
    <t>BRA00009</t>
  </si>
  <si>
    <t>tkaná etiketa ČESKO DIGITAL</t>
  </si>
  <si>
    <t>BRA00010</t>
  </si>
  <si>
    <t>tkaná etiketa WE ARE PUBLICIS</t>
  </si>
  <si>
    <t>BRA00011</t>
  </si>
  <si>
    <t>tkaná etiketa CLEVERHOOD</t>
  </si>
  <si>
    <t>BRA00012</t>
  </si>
  <si>
    <t>tkaná etiketa CLEVERHOOD/ BRAASI</t>
  </si>
  <si>
    <t>BRA00013</t>
  </si>
  <si>
    <t>tkaná etiketa WINQS</t>
  </si>
  <si>
    <t>BRA00014</t>
  </si>
  <si>
    <t>tkaná etiketa GARAGE 22</t>
  </si>
  <si>
    <t>BRA00015</t>
  </si>
  <si>
    <t>tkaná etiketa BEEFEATER</t>
  </si>
  <si>
    <t>BRA00016</t>
  </si>
  <si>
    <t>tkaná etiketa JOHNNIE WALKER</t>
  </si>
  <si>
    <t>BRA00017</t>
  </si>
  <si>
    <t>tkaná etiketa HORALKY</t>
  </si>
  <si>
    <t>BRA00018</t>
  </si>
  <si>
    <t>tkaná etiketa CANVA</t>
  </si>
  <si>
    <t>LAT00103</t>
  </si>
  <si>
    <t>SILK 0250 rezavá</t>
  </si>
  <si>
    <t>LAT00104</t>
  </si>
  <si>
    <t>VENICE 64080 Albiocca tělová</t>
  </si>
  <si>
    <t>LAT00105</t>
  </si>
  <si>
    <t>VENICE 64100 Black černá</t>
  </si>
  <si>
    <t>LAT00106</t>
  </si>
  <si>
    <t>VENICE 64030 Ecrú písková</t>
  </si>
  <si>
    <t>LAT00107</t>
  </si>
  <si>
    <t>VENICE 64150 Pervinca lila</t>
  </si>
  <si>
    <t>LAT00108</t>
  </si>
  <si>
    <t>VENICE 64150 Cloud Pink nude</t>
  </si>
  <si>
    <t>LAT00109</t>
  </si>
  <si>
    <t>VENICE 64110 Corallo lososová</t>
  </si>
  <si>
    <t>LAT00110</t>
  </si>
  <si>
    <t>VENICE 64040 Cappuccino bílá káva</t>
  </si>
  <si>
    <t>NIT00001</t>
  </si>
  <si>
    <t>Ultrapoly 30 černá 999</t>
  </si>
  <si>
    <t>NIT00002</t>
  </si>
  <si>
    <t>Ultrapoly 30 modrá 549</t>
  </si>
  <si>
    <t>NIT00003</t>
  </si>
  <si>
    <t>Ultrapoly 30 světle šedá 882</t>
  </si>
  <si>
    <t>NIT00004</t>
  </si>
  <si>
    <t>Ultrapoly 30 žlutá 125</t>
  </si>
  <si>
    <t>NIT00005</t>
  </si>
  <si>
    <t>Ultrapoly 30 královská modrá 556</t>
  </si>
  <si>
    <t>NIT00006</t>
  </si>
  <si>
    <t>Ultrapoly 30 zářivě růžová 345</t>
  </si>
  <si>
    <t>NIT00007</t>
  </si>
  <si>
    <t>Ultrapoly 30 neon oranžová 215</t>
  </si>
  <si>
    <t>NIT00008</t>
  </si>
  <si>
    <t>Ultrapoly 30 bílá 001</t>
  </si>
  <si>
    <t>NIT00009</t>
  </si>
  <si>
    <t>Ultrapoly 30 modrá podšívka 658</t>
  </si>
  <si>
    <t>NIT00010</t>
  </si>
  <si>
    <t>Ultrapoly 30 fialová 458</t>
  </si>
  <si>
    <t>NIT00011</t>
  </si>
  <si>
    <t>Ultrapoly 30 přírodní 710</t>
  </si>
  <si>
    <t>NIT00012</t>
  </si>
  <si>
    <t>Ultrapoly 30 vínová 344</t>
  </si>
  <si>
    <t>NIT00013</t>
  </si>
  <si>
    <t>Ultrapoly 30 červená 337</t>
  </si>
  <si>
    <t>NIT00014</t>
  </si>
  <si>
    <t>Ultrapoly 30 tmavě šedá 888</t>
  </si>
  <si>
    <t>NIT00015</t>
  </si>
  <si>
    <t>Ultrapoly 30 desertní 1222</t>
  </si>
  <si>
    <t>NIT00016</t>
  </si>
  <si>
    <t>Ultrapoly 30 neon žlutá 115</t>
  </si>
  <si>
    <t>NIT00017</t>
  </si>
  <si>
    <t>Ultrapoly 30 foxy 273</t>
  </si>
  <si>
    <t>DIL</t>
  </si>
  <si>
    <t>Skripty</t>
  </si>
  <si>
    <t>VBA</t>
  </si>
  <si>
    <t>MVC s ADO.NET</t>
  </si>
  <si>
    <t>Webova aplikace</t>
  </si>
  <si>
    <t>planovac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</si>
  <si>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</si>
  <si>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</si>
  <si>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</si>
  <si>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</si>
  <si>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</si>
  <si>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</si>
  <si>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</si>
  <si>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</si>
  <si>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</si>
  <si>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unit</t>
  </si>
  <si>
    <t>qty</t>
  </si>
  <si>
    <t>location_code</t>
  </si>
  <si>
    <t>description</t>
  </si>
  <si>
    <t>Part Number</t>
  </si>
  <si>
    <t>part_number</t>
  </si>
  <si>
    <t>¨</t>
  </si>
  <si>
    <t>unit_code</t>
  </si>
  <si>
    <t>BAL</t>
  </si>
  <si>
    <t>BRA</t>
  </si>
  <si>
    <t>HAR</t>
  </si>
  <si>
    <t>LAT</t>
  </si>
  <si>
    <t>NIT</t>
  </si>
  <si>
    <t>POP</t>
  </si>
  <si>
    <t>VYP</t>
  </si>
  <si>
    <t>DB</t>
  </si>
  <si>
    <t>MySql</t>
  </si>
  <si>
    <t>skripty</t>
  </si>
  <si>
    <t>balení sedm</t>
  </si>
  <si>
    <t>Excel</t>
  </si>
  <si>
    <t>com_code</t>
  </si>
  <si>
    <t>subcom_code</t>
  </si>
  <si>
    <t>ASI</t>
  </si>
  <si>
    <t/>
  </si>
  <si>
    <t>tkaná etiketa kosočtverec černobílá Braasi Industr</t>
  </si>
  <si>
    <t>FUN</t>
  </si>
  <si>
    <t>PODS</t>
  </si>
  <si>
    <t>PAD</t>
  </si>
  <si>
    <t>COR</t>
  </si>
  <si>
    <t>AME</t>
  </si>
  <si>
    <t>PES</t>
  </si>
  <si>
    <t>BAV</t>
  </si>
  <si>
    <t>PODK</t>
  </si>
  <si>
    <t>KUZ</t>
  </si>
  <si>
    <t>com_name</t>
  </si>
  <si>
    <t>BAT</t>
  </si>
  <si>
    <t>Batoh</t>
  </si>
  <si>
    <t>Nite</t>
  </si>
  <si>
    <t>subcom_name</t>
  </si>
  <si>
    <t>Not defined</t>
  </si>
  <si>
    <t>Amerika</t>
  </si>
  <si>
    <t>Latky Asie</t>
  </si>
  <si>
    <t>Bavlna</t>
  </si>
  <si>
    <t>Cordura</t>
  </si>
  <si>
    <t>Funkcni latky</t>
  </si>
  <si>
    <t>Kuze</t>
  </si>
  <si>
    <t>Padakovina</t>
  </si>
  <si>
    <t>Potiskly PES</t>
  </si>
  <si>
    <t>Podklad</t>
  </si>
  <si>
    <t>Podsivkovina</t>
  </si>
  <si>
    <t>TEST</t>
  </si>
  <si>
    <t>TEST2</t>
  </si>
  <si>
    <t>TEST3</t>
  </si>
  <si>
    <t>TEST5</t>
  </si>
  <si>
    <t>TEST6</t>
  </si>
  <si>
    <t>TEST7</t>
  </si>
  <si>
    <t>TEST8</t>
  </si>
  <si>
    <t>TEST10</t>
  </si>
  <si>
    <t>TEST9</t>
  </si>
  <si>
    <t>unit_name</t>
  </si>
  <si>
    <t>kus</t>
  </si>
  <si>
    <t>metr</t>
  </si>
  <si>
    <t>roll</t>
  </si>
  <si>
    <t>role</t>
  </si>
  <si>
    <t>km</t>
  </si>
  <si>
    <t>kilometr</t>
  </si>
  <si>
    <t>km2</t>
  </si>
  <si>
    <t>kilometr2</t>
  </si>
  <si>
    <t>km3</t>
  </si>
  <si>
    <t>kilometr3</t>
  </si>
  <si>
    <t>km4</t>
  </si>
  <si>
    <t>km5</t>
  </si>
  <si>
    <t>kilometr5</t>
  </si>
  <si>
    <t>Tab</t>
  </si>
  <si>
    <t>Issue material</t>
  </si>
  <si>
    <t>Receive material</t>
  </si>
  <si>
    <t>Stock difference correction</t>
  </si>
  <si>
    <t>Change location</t>
  </si>
  <si>
    <t>Issue product</t>
  </si>
  <si>
    <t>Receive product</t>
  </si>
  <si>
    <t>Orders</t>
  </si>
  <si>
    <t>Warehouse</t>
  </si>
  <si>
    <t>New items</t>
  </si>
  <si>
    <t>Transactions</t>
  </si>
  <si>
    <t>Suppliers</t>
  </si>
  <si>
    <t>km6</t>
  </si>
  <si>
    <t>km7</t>
  </si>
  <si>
    <t>ksks</t>
  </si>
  <si>
    <t>sss</t>
  </si>
  <si>
    <t>abc</t>
  </si>
  <si>
    <t>sssd</t>
  </si>
  <si>
    <t>ert</t>
  </si>
  <si>
    <t>uuu</t>
  </si>
  <si>
    <t>aaa</t>
  </si>
  <si>
    <t>cod</t>
  </si>
  <si>
    <t>codigo</t>
  </si>
  <si>
    <t>qqq</t>
  </si>
  <si>
    <t>ddd</t>
  </si>
  <si>
    <t>test</t>
  </si>
  <si>
    <t>new</t>
  </si>
  <si>
    <t>newaa</t>
  </si>
  <si>
    <t>newddd</t>
  </si>
  <si>
    <t>vytvorit metodu AddNewSucom ve tride Subcommodity</t>
  </si>
  <si>
    <t>vytvorit inicializace CreateNewSubcomForm, která vola GetData pro ziskani existujicich com_code z commodities</t>
  </si>
  <si>
    <t>vlozit tyhle hodnoty do ComCodeComboBox</t>
  </si>
  <si>
    <t>vytvareni stringu v metodach AddNew lze zjednodusit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</si>
</sst>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"/>
    <numFmt numFmtId="165" formatCode="0.0"/>
  </numFmts>
  <fonts count="18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10"/>
      <color rgb="FF222222"/>
      <name val="Calibri"/>
      <family val="2"/>
    </font>
    <font>
      <b/>
      <sz val="10"/>
      <color rgb="FF000000"/>
      <name val="Calibri"/>
      <family val="2"/>
    </font>
    <font>
      <sz val="8"/>
      <name val="Arial"/>
      <family val="2"/>
      <scheme val="minor"/>
    </font>
    <font>
      <sz val="8"/>
      <name val="Arial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</fills>
  <borders count="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9" xfId="0" applyFont="1" applyBorder="1"/>
    <xf numFmtId="0" fontId="9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5" xfId="0" applyFont="1" applyBorder="1" applyAlignment="1">
      <alignment horizontal="center"/>
    </xf>
    <xf numFmtId="0" fontId="9" fillId="0" borderId="6" xfId="0" applyFont="1" applyBorder="1"/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" fontId="4" fillId="0" borderId="0" xfId="0" applyNumberFormat="1" applyFont="1"/>
    <xf numFmtId="0" fontId="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5" fillId="0" borderId="0" xfId="0" applyFont="1"/>
    <xf numFmtId="0" fontId="4" fillId="3" borderId="0" xfId="0" applyFont="1" applyFill="1"/>
    <xf numFmtId="0" fontId="14" fillId="3" borderId="0" xfId="0" applyFont="1" applyFill="1"/>
    <xf numFmtId="0" fontId="2" fillId="4" borderId="0" xfId="0" applyFont="1" applyFill="1" applyAlignment="1">
      <alignment horizontal="center"/>
    </xf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16"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28575</xdr:rowOff>
        </xdr:from>
        <xdr:to>
          <xdr:col>1</xdr:col>
          <xdr:colOff>1733550</xdr:colOff>
          <xdr:row>46</xdr:row>
          <xdr:rowOff>57150</xdr:rowOff>
        </xdr:to>
        <xdr:sp macro="" textlink="">
          <xdr:nvSpPr>
            <xdr:cNvPr id="1029" name="Menu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FFE98F3-F364-4D86-9865-CDADBF565168}" autoFormatId="16" applyNumberFormats="0" applyBorderFormats="0" applyFontFormats="0" applyPatternFormats="0" applyAlignmentFormats="0" applyWidthHeightFormats="0">
  <queryTableRefresh nextId="9">
    <queryTableFields count="5">
      <queryTableField id="1" name="part_number" tableColumnId="1"/>
      <queryTableField id="2" name="description" tableColumnId="2"/>
      <queryTableField id="3" name="unit_code" tableColumnId="3"/>
      <queryTableField id="6" name="com_code" tableColumnId="4"/>
      <queryTableField id="7" name="subcom_cod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ACB45BD-43C7-4B35-B20E-5D8CFCFF32D0}" autoFormatId="16" applyNumberFormats="0" applyBorderFormats="0" applyFontFormats="0" applyPatternFormats="0" applyAlignmentFormats="0" applyWidthHeightFormats="0">
  <queryTableRefresh nextId="5">
    <queryTableFields count="4">
      <queryTableField id="1" name="com_code" tableColumnId="1"/>
      <queryTableField id="2" name="com_name" tableColumnId="2"/>
      <queryTableField id="3" name="subcom_code" tableColumnId="3"/>
      <queryTableField id="4" name="subcom_nam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E51D278-A75F-437B-8BC4-8D2D1698069D}" autoFormatId="16" applyNumberFormats="0" applyBorderFormats="0" applyFontFormats="0" applyPatternFormats="0" applyAlignmentFormats="0" applyWidthHeightFormats="0">
  <queryTableRefresh nextId="3">
    <queryTableFields count="2">
      <queryTableField id="1" name="unit_code" tableColumnId="1"/>
      <queryTableField id="2" name="unit_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301" tableType="queryTable" totalsRowShown="0">
  <autoFilter ref="A1:E301" xr:uid="{C83872D7-E33E-42E9-8D18-AD0106B554F9}"/>
  <tableColumns count="5">
    <tableColumn id="1" xr3:uid="{84E91586-F9A8-45A6-BC12-348FC29A6A05}" uniqueName="1" name="part_number" queryTableFieldId="1" dataDxfId="15"/>
    <tableColumn id="2" xr3:uid="{AA6E8315-6CCE-444D-861C-6B8C0F1DE33A}" uniqueName="2" name="description" queryTableFieldId="2" dataDxfId="14"/>
    <tableColumn id="3" xr3:uid="{0C6B5625-30AC-4F54-99F1-C0B0EDB0B6E9}" uniqueName="3" name="unit_code" queryTableFieldId="3" dataDxfId="13"/>
    <tableColumn id="4" xr3:uid="{F8726BA5-E8A0-4906-B2C0-A813F1160BD4}" uniqueName="4" name="com_code" queryTableFieldId="6" dataDxfId="12"/>
    <tableColumn id="5" xr3:uid="{382FEDDE-F90A-4575-957C-A5E4C254740F}" uniqueName="5" name="subcom_code" queryTableFieldId="7" dataDxfId="1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4DD9A8-D33E-4B4D-A9DB-3CCC8448CAC3}" name="commodities" displayName="commodities" ref="A1:D22" tableType="queryTable" totalsRowShown="0">
  <autoFilter ref="A1:D22" xr:uid="{7F4DD9A8-D33E-4B4D-A9DB-3CCC8448CAC3}"/>
  <tableColumns count="4">
    <tableColumn id="1" xr3:uid="{19A23B16-3B04-4720-9D1E-8A3DFCAD3A31}" uniqueName="1" name="com_code" queryTableFieldId="1" dataDxfId="8"/>
    <tableColumn id="2" xr3:uid="{E938FC26-CDD9-4CC0-9656-B36C18473EE6}" uniqueName="2" name="com_name" queryTableFieldId="2" dataDxfId="7"/>
    <tableColumn id="3" xr3:uid="{BEA86AD8-7D7D-4FB4-80A0-9A8AC935D9FC}" uniqueName="3" name="subcom_code" queryTableFieldId="3" dataDxfId="6"/>
    <tableColumn id="4" xr3:uid="{ED9BFC95-65FB-4F34-B2CC-395DDE48236B}" uniqueName="4" name="subcom_name" queryTableFieldId="4" dataDxfId="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260923-F0F6-4B2D-ACB6-6E842037F0C3}" name="units" displayName="units" ref="A1:B19" tableType="queryTable" totalsRowShown="0">
  <autoFilter ref="A1:B19" xr:uid="{6D260923-F0F6-4B2D-ACB6-6E842037F0C3}"/>
  <tableColumns count="2">
    <tableColumn id="1" xr3:uid="{FB49F6B1-F9B6-4C1D-898E-E8BA88500A8A}" uniqueName="1" name="unit_code" queryTableFieldId="1" dataDxfId="10"/>
    <tableColumn id="2" xr3:uid="{8363A1BC-F769-4EA7-9A69-CD02E71414FA}" uniqueName="2" name="unit_name" queryTableFieldId="2" dataDxfId="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CE110"/>
  <sheetViews>
    <sheetView showGridLines="0" tabSelected="1" zoomScale="90" zoomScaleNormal="90" workbookViewId="0">
      <selection activeCell="BS84" sqref="BS84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10.140625" style="1" bestFit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/>
    <col min="9" max="9" width="10.7109375" style="1" customWidth="1" collapsed="1"/>
    <col min="10" max="10" width="6.42578125" style="1" hidden="1" customWidth="1" outlineLevel="1"/>
    <col min="11" max="11" width="6.5703125" style="1" hidden="1" customWidth="1" outlineLevel="1"/>
    <col min="12" max="49" width="4.42578125" style="1" hidden="1" customWidth="1" outlineLevel="1"/>
    <col min="50" max="50" width="14.28515625" style="1" bestFit="1" customWidth="1"/>
    <col min="51" max="51" width="4.7109375" style="1" customWidth="1"/>
    <col min="52" max="53" width="4.85546875" style="1" customWidth="1"/>
    <col min="54" max="54" width="5.5703125" style="1" customWidth="1"/>
    <col min="55" max="55" width="5.140625" style="1" customWidth="1"/>
    <col min="56" max="57" width="6.42578125" style="1" customWidth="1"/>
    <col min="58" max="58" width="5.140625" style="1" customWidth="1"/>
    <col min="59" max="59" width="5.5703125" style="1" customWidth="1"/>
    <col min="60" max="61" width="6.42578125" style="1" customWidth="1"/>
    <col min="62" max="62" width="5.5703125" style="1" customWidth="1"/>
    <col min="63" max="63" width="5.140625" style="1" customWidth="1"/>
    <col min="64" max="64" width="5.5703125" style="1" customWidth="1"/>
    <col min="65" max="66" width="6.42578125" style="1" customWidth="1"/>
    <col min="67" max="70" width="5.5703125" style="1" customWidth="1"/>
    <col min="71" max="74" width="12.5703125" style="1"/>
    <col min="75" max="75" width="2.85546875" style="1" customWidth="1"/>
    <col min="76" max="77" width="4.28515625" style="1" customWidth="1"/>
    <col min="78" max="78" width="5.140625" style="1" customWidth="1"/>
    <col min="79" max="79" width="6.140625" style="1" customWidth="1"/>
    <col min="80" max="82" width="12.5703125" style="1"/>
    <col min="83" max="83" width="16.42578125" style="1" customWidth="1"/>
    <col min="84" max="16384" width="12.5703125" style="1"/>
  </cols>
  <sheetData>
    <row r="1" spans="2:79" ht="12.75" x14ac:dyDescent="0.2">
      <c r="AX1" s="2" t="s">
        <v>607</v>
      </c>
      <c r="AY1" s="3">
        <v>0</v>
      </c>
      <c r="AZ1" s="3">
        <v>1</v>
      </c>
      <c r="BA1" s="3">
        <v>2</v>
      </c>
      <c r="BB1" s="3">
        <v>3</v>
      </c>
      <c r="BC1" s="3">
        <v>4</v>
      </c>
      <c r="BD1" s="3">
        <v>5</v>
      </c>
      <c r="BE1" s="3">
        <v>6</v>
      </c>
      <c r="BF1" s="3">
        <v>7</v>
      </c>
      <c r="BG1" s="3">
        <v>8</v>
      </c>
      <c r="BH1" s="3">
        <v>9</v>
      </c>
      <c r="BI1" s="3">
        <v>10</v>
      </c>
      <c r="BJ1" s="3">
        <v>11</v>
      </c>
      <c r="BK1" s="3">
        <v>12</v>
      </c>
      <c r="BL1" s="3">
        <v>13</v>
      </c>
      <c r="BM1" s="3">
        <v>14</v>
      </c>
      <c r="BN1" s="3">
        <v>15</v>
      </c>
      <c r="BO1" s="3">
        <v>16</v>
      </c>
      <c r="BP1" s="3">
        <v>17</v>
      </c>
      <c r="BQ1" s="3">
        <v>18</v>
      </c>
      <c r="BR1" s="3">
        <v>19</v>
      </c>
    </row>
    <row r="2" spans="2:79" ht="12.75" x14ac:dyDescent="0.2">
      <c r="B2" s="4" t="s">
        <v>0</v>
      </c>
      <c r="AX2" s="5" t="s">
        <v>608</v>
      </c>
      <c r="AY2" s="6" t="str">
        <f t="shared" ref="AY2:BR2" ca="1" si="0">"W"&amp;WEEKNUM(TODAY())+AY1</f>
        <v>W20</v>
      </c>
      <c r="AZ2" s="6" t="str">
        <f t="shared" ca="1" si="0"/>
        <v>W21</v>
      </c>
      <c r="BA2" s="6" t="str">
        <f t="shared" ca="1" si="0"/>
        <v>W22</v>
      </c>
      <c r="BB2" s="6" t="str">
        <f t="shared" ca="1" si="0"/>
        <v>W23</v>
      </c>
      <c r="BC2" s="6" t="str">
        <f t="shared" ca="1" si="0"/>
        <v>W24</v>
      </c>
      <c r="BD2" s="6" t="str">
        <f t="shared" ca="1" si="0"/>
        <v>W25</v>
      </c>
      <c r="BE2" s="6" t="str">
        <f t="shared" ca="1" si="0"/>
        <v>W26</v>
      </c>
      <c r="BF2" s="6" t="str">
        <f t="shared" ca="1" si="0"/>
        <v>W27</v>
      </c>
      <c r="BG2" s="6" t="str">
        <f t="shared" ca="1" si="0"/>
        <v>W28</v>
      </c>
      <c r="BH2" s="6" t="str">
        <f t="shared" ca="1" si="0"/>
        <v>W29</v>
      </c>
      <c r="BI2" s="6" t="str">
        <f t="shared" ca="1" si="0"/>
        <v>W30</v>
      </c>
      <c r="BJ2" s="6" t="str">
        <f t="shared" ca="1" si="0"/>
        <v>W31</v>
      </c>
      <c r="BK2" s="6" t="str">
        <f t="shared" ca="1" si="0"/>
        <v>W32</v>
      </c>
      <c r="BL2" s="6" t="str">
        <f t="shared" ca="1" si="0"/>
        <v>W33</v>
      </c>
      <c r="BM2" s="6" t="str">
        <f t="shared" ca="1" si="0"/>
        <v>W34</v>
      </c>
      <c r="BN2" s="6" t="str">
        <f t="shared" ca="1" si="0"/>
        <v>W35</v>
      </c>
      <c r="BO2" s="6" t="str">
        <f t="shared" ca="1" si="0"/>
        <v>W36</v>
      </c>
      <c r="BP2" s="6" t="str">
        <f t="shared" ca="1" si="0"/>
        <v>W37</v>
      </c>
      <c r="BQ2" s="6" t="str">
        <f t="shared" ca="1" si="0"/>
        <v>W38</v>
      </c>
      <c r="BR2" s="7" t="str">
        <f t="shared" ca="1" si="0"/>
        <v>W39</v>
      </c>
      <c r="CA2" s="8"/>
    </row>
    <row r="3" spans="2:79" ht="12.75" x14ac:dyDescent="0.2">
      <c r="AX3" s="9" t="s">
        <v>1</v>
      </c>
      <c r="AY3" s="8">
        <v>10</v>
      </c>
      <c r="AZ3" s="8">
        <v>10</v>
      </c>
      <c r="BA3" s="8">
        <v>10</v>
      </c>
      <c r="BB3" s="8">
        <v>10</v>
      </c>
      <c r="BC3" s="8">
        <v>10</v>
      </c>
      <c r="BD3" s="8">
        <v>10</v>
      </c>
      <c r="BE3" s="8">
        <v>10</v>
      </c>
      <c r="BF3" s="8">
        <v>10</v>
      </c>
      <c r="BG3" s="8">
        <v>10</v>
      </c>
      <c r="BH3" s="8">
        <v>10</v>
      </c>
      <c r="BI3" s="8">
        <v>10</v>
      </c>
      <c r="BJ3" s="8">
        <v>10</v>
      </c>
      <c r="BK3" s="8">
        <v>10</v>
      </c>
      <c r="BL3" s="8">
        <v>10</v>
      </c>
      <c r="BM3" s="8">
        <v>10</v>
      </c>
      <c r="BN3" s="8">
        <v>10</v>
      </c>
      <c r="BO3" s="8">
        <v>10</v>
      </c>
      <c r="BP3" s="8">
        <v>10</v>
      </c>
      <c r="BQ3" s="8">
        <v>10</v>
      </c>
      <c r="BR3" s="8">
        <v>10</v>
      </c>
    </row>
    <row r="4" spans="2:79" ht="12.75" x14ac:dyDescent="0.2">
      <c r="AX4" s="9" t="s">
        <v>2</v>
      </c>
      <c r="AY4" s="8">
        <v>10</v>
      </c>
      <c r="AZ4" s="8">
        <v>10</v>
      </c>
      <c r="BA4" s="8">
        <v>10</v>
      </c>
      <c r="BB4" s="8">
        <v>10</v>
      </c>
      <c r="BC4" s="8">
        <v>10</v>
      </c>
      <c r="BD4" s="8">
        <v>10</v>
      </c>
      <c r="BE4" s="8">
        <v>10</v>
      </c>
      <c r="BF4" s="8">
        <v>10</v>
      </c>
      <c r="BG4" s="8">
        <v>10</v>
      </c>
      <c r="BH4" s="8">
        <v>10</v>
      </c>
      <c r="BI4" s="8">
        <v>10</v>
      </c>
      <c r="BJ4" s="8">
        <v>10</v>
      </c>
      <c r="BK4" s="8">
        <v>10</v>
      </c>
      <c r="BL4" s="8">
        <v>10</v>
      </c>
      <c r="BM4" s="8">
        <v>10</v>
      </c>
      <c r="BN4" s="8">
        <v>10</v>
      </c>
      <c r="BO4" s="8">
        <v>10</v>
      </c>
      <c r="BP4" s="8">
        <v>10</v>
      </c>
      <c r="BQ4" s="8">
        <v>10</v>
      </c>
      <c r="BR4" s="8">
        <v>10</v>
      </c>
    </row>
    <row r="5" spans="2:79" ht="12.75" x14ac:dyDescent="0.2">
      <c r="AX5" s="10" t="s">
        <v>3</v>
      </c>
      <c r="AY5" s="8">
        <v>10</v>
      </c>
      <c r="AZ5" s="8">
        <v>10</v>
      </c>
      <c r="BA5" s="8">
        <v>10</v>
      </c>
      <c r="BB5" s="8">
        <v>10</v>
      </c>
      <c r="BC5" s="8">
        <v>10</v>
      </c>
      <c r="BD5" s="8">
        <v>10</v>
      </c>
      <c r="BE5" s="8">
        <v>10</v>
      </c>
      <c r="BF5" s="8">
        <v>10</v>
      </c>
      <c r="BG5" s="8">
        <v>10</v>
      </c>
      <c r="BH5" s="8">
        <v>10</v>
      </c>
      <c r="BI5" s="8">
        <v>10</v>
      </c>
      <c r="BJ5" s="8">
        <v>10</v>
      </c>
      <c r="BK5" s="8">
        <v>10</v>
      </c>
      <c r="BL5" s="8">
        <v>10</v>
      </c>
      <c r="BM5" s="8">
        <v>10</v>
      </c>
      <c r="BN5" s="8">
        <v>10</v>
      </c>
      <c r="BO5" s="8">
        <v>10</v>
      </c>
      <c r="BP5" s="8">
        <v>10</v>
      </c>
      <c r="BQ5" s="8">
        <v>10</v>
      </c>
      <c r="BR5" s="8">
        <v>10</v>
      </c>
    </row>
    <row r="6" spans="2:79" ht="12.75" hidden="1" x14ac:dyDescent="0.2">
      <c r="AP6" s="11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79" ht="12.75" hidden="1" x14ac:dyDescent="0.2">
      <c r="AP7" s="11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79" ht="12.75" hidden="1" x14ac:dyDescent="0.2">
      <c r="AP8" s="11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2:79" ht="12.75" hidden="1" x14ac:dyDescent="0.2">
      <c r="AP9" s="11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2:79" ht="12.75" hidden="1" x14ac:dyDescent="0.2">
      <c r="AP10" s="11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2:79" ht="12.75" hidden="1" x14ac:dyDescent="0.2">
      <c r="AP11" s="11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2:79" ht="12.75" hidden="1" x14ac:dyDescent="0.2">
      <c r="AP12" s="11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2:79" ht="12.75" hidden="1" x14ac:dyDescent="0.2">
      <c r="AP13" s="11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2:79" ht="12.75" hidden="1" x14ac:dyDescent="0.2">
      <c r="AP14" s="11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2:79" ht="12.75" hidden="1" x14ac:dyDescent="0.2">
      <c r="AP15" s="11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2:79" ht="12.75" hidden="1" x14ac:dyDescent="0.2">
      <c r="AP16" s="11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42:57" ht="12.75" hidden="1" x14ac:dyDescent="0.2">
      <c r="AP17" s="11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42:57" ht="12.75" hidden="1" x14ac:dyDescent="0.2">
      <c r="AP18" s="11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42:57" ht="12.75" hidden="1" x14ac:dyDescent="0.2">
      <c r="AP19" s="11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42:57" ht="12.75" hidden="1" x14ac:dyDescent="0.2">
      <c r="AP20" s="11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42:57" ht="12.75" hidden="1" x14ac:dyDescent="0.2">
      <c r="AP21" s="11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42:57" ht="12.75" hidden="1" x14ac:dyDescent="0.2">
      <c r="AP22" s="11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42:57" ht="12.75" hidden="1" x14ac:dyDescent="0.2">
      <c r="AP23" s="11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42:57" ht="12.75" hidden="1" x14ac:dyDescent="0.2">
      <c r="AP24" s="11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42:57" ht="12.75" hidden="1" x14ac:dyDescent="0.2">
      <c r="AP25" s="11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42:57" ht="12.75" hidden="1" x14ac:dyDescent="0.2">
      <c r="AP26" s="11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42:57" ht="12.75" hidden="1" x14ac:dyDescent="0.2">
      <c r="AP27" s="11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42:57" ht="12.75" hidden="1" x14ac:dyDescent="0.2">
      <c r="AP28" s="11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42:57" ht="12.75" hidden="1" x14ac:dyDescent="0.2">
      <c r="AP29" s="11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42:57" ht="12.75" hidden="1" x14ac:dyDescent="0.2">
      <c r="AP30" s="11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42:57" ht="12.75" hidden="1" x14ac:dyDescent="0.2">
      <c r="AP31" s="11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42:57" ht="12.75" hidden="1" x14ac:dyDescent="0.2">
      <c r="AP32" s="11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83" ht="12.75" hidden="1" x14ac:dyDescent="0.2">
      <c r="AP33" s="11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83" ht="12.75" hidden="1" x14ac:dyDescent="0.2">
      <c r="AP34" s="11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83" ht="12.75" hidden="1" x14ac:dyDescent="0.2">
      <c r="AP35" s="11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83" ht="12.75" hidden="1" x14ac:dyDescent="0.2">
      <c r="AP36" s="11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83" ht="12.75" hidden="1" x14ac:dyDescent="0.2">
      <c r="AP37" s="11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1:83" ht="12.75" hidden="1" x14ac:dyDescent="0.2">
      <c r="AP38" s="11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83" ht="12.75" hidden="1" x14ac:dyDescent="0.2">
      <c r="AP39" s="11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83" ht="12.75" hidden="1" x14ac:dyDescent="0.2">
      <c r="AP40" s="11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83" ht="12.75" hidden="1" x14ac:dyDescent="0.2">
      <c r="AP41" s="11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83" ht="12.75" hidden="1" x14ac:dyDescent="0.2">
      <c r="AP42" s="11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83" ht="12.75" hidden="1" x14ac:dyDescent="0.2">
      <c r="AP43" s="11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1:83" ht="12.75" hidden="1" x14ac:dyDescent="0.2">
      <c r="AP44" s="11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83" ht="12.75" hidden="1" x14ac:dyDescent="0.2">
      <c r="AP45" s="11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83" ht="12.75" hidden="1" x14ac:dyDescent="0.2">
      <c r="AP46" s="11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83" ht="12.75" x14ac:dyDescent="0.2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3"/>
      <c r="AQ47" s="12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</row>
    <row r="48" spans="1:83" ht="12.75" x14ac:dyDescent="0.2">
      <c r="G48" s="15"/>
      <c r="H48" s="15"/>
      <c r="I48" s="15"/>
    </row>
    <row r="49" spans="1:83" ht="12.75" x14ac:dyDescent="0.2">
      <c r="I49" s="43" t="s">
        <v>615</v>
      </c>
      <c r="J49" s="44"/>
      <c r="K49" s="44"/>
    </row>
    <row r="50" spans="1:83" ht="12.75" x14ac:dyDescent="0.2">
      <c r="A50" s="17" t="s">
        <v>620</v>
      </c>
      <c r="B50" s="17" t="s">
        <v>609</v>
      </c>
      <c r="C50" s="18" t="s">
        <v>610</v>
      </c>
      <c r="D50" s="19" t="s">
        <v>611</v>
      </c>
      <c r="E50" s="16" t="s">
        <v>612</v>
      </c>
      <c r="F50" s="16" t="s">
        <v>613</v>
      </c>
      <c r="G50" s="19" t="s">
        <v>4</v>
      </c>
      <c r="H50" s="19" t="s">
        <v>614</v>
      </c>
      <c r="I50" s="16" t="s">
        <v>1</v>
      </c>
      <c r="J50" s="16" t="s">
        <v>2</v>
      </c>
      <c r="K50" s="16" t="s">
        <v>3</v>
      </c>
      <c r="L50" s="19" t="s">
        <v>5</v>
      </c>
      <c r="M50" s="19" t="s">
        <v>5</v>
      </c>
      <c r="N50" s="19" t="s">
        <v>5</v>
      </c>
      <c r="O50" s="19" t="s">
        <v>5</v>
      </c>
      <c r="P50" s="19" t="s">
        <v>5</v>
      </c>
      <c r="Q50" s="19" t="s">
        <v>5</v>
      </c>
      <c r="R50" s="19" t="s">
        <v>5</v>
      </c>
      <c r="S50" s="19" t="s">
        <v>5</v>
      </c>
      <c r="T50" s="19" t="s">
        <v>5</v>
      </c>
      <c r="U50" s="19" t="s">
        <v>5</v>
      </c>
      <c r="V50" s="19" t="s">
        <v>5</v>
      </c>
      <c r="W50" s="19" t="s">
        <v>5</v>
      </c>
      <c r="X50" s="19" t="s">
        <v>5</v>
      </c>
      <c r="Y50" s="19" t="s">
        <v>5</v>
      </c>
      <c r="Z50" s="19" t="s">
        <v>5</v>
      </c>
      <c r="AA50" s="19" t="s">
        <v>5</v>
      </c>
      <c r="AB50" s="19" t="s">
        <v>5</v>
      </c>
      <c r="AC50" s="19" t="s">
        <v>5</v>
      </c>
      <c r="AD50" s="19" t="s">
        <v>5</v>
      </c>
      <c r="AE50" s="19" t="s">
        <v>5</v>
      </c>
      <c r="AF50" s="19" t="s">
        <v>5</v>
      </c>
      <c r="AG50" s="19" t="s">
        <v>5</v>
      </c>
      <c r="AH50" s="19" t="s">
        <v>5</v>
      </c>
      <c r="AI50" s="19" t="s">
        <v>5</v>
      </c>
      <c r="AJ50" s="19" t="s">
        <v>5</v>
      </c>
      <c r="AK50" s="19" t="s">
        <v>5</v>
      </c>
      <c r="AL50" s="19" t="s">
        <v>5</v>
      </c>
      <c r="AM50" s="19" t="s">
        <v>5</v>
      </c>
      <c r="AN50" s="19" t="s">
        <v>5</v>
      </c>
      <c r="AO50" s="19" t="s">
        <v>5</v>
      </c>
      <c r="AP50" s="19" t="s">
        <v>5</v>
      </c>
      <c r="AQ50" s="19" t="s">
        <v>5</v>
      </c>
      <c r="AR50" s="19" t="s">
        <v>5</v>
      </c>
      <c r="AS50" s="19" t="s">
        <v>5</v>
      </c>
      <c r="AT50" s="19" t="s">
        <v>5</v>
      </c>
      <c r="AU50" s="19" t="s">
        <v>5</v>
      </c>
      <c r="AV50" s="19" t="s">
        <v>5</v>
      </c>
      <c r="AW50" s="19" t="s">
        <v>5</v>
      </c>
      <c r="AX50" s="19" t="s">
        <v>6</v>
      </c>
      <c r="AY50" s="16" t="str">
        <f t="shared" ref="AY50:BR50" ca="1" si="1">AY2</f>
        <v>W20</v>
      </c>
      <c r="AZ50" s="16" t="str">
        <f t="shared" ca="1" si="1"/>
        <v>W21</v>
      </c>
      <c r="BA50" s="16" t="str">
        <f t="shared" ca="1" si="1"/>
        <v>W22</v>
      </c>
      <c r="BB50" s="16" t="str">
        <f t="shared" ca="1" si="1"/>
        <v>W23</v>
      </c>
      <c r="BC50" s="16" t="str">
        <f t="shared" ca="1" si="1"/>
        <v>W24</v>
      </c>
      <c r="BD50" s="16" t="str">
        <f t="shared" ca="1" si="1"/>
        <v>W25</v>
      </c>
      <c r="BE50" s="16" t="str">
        <f t="shared" ca="1" si="1"/>
        <v>W26</v>
      </c>
      <c r="BF50" s="16" t="str">
        <f t="shared" ca="1" si="1"/>
        <v>W27</v>
      </c>
      <c r="BG50" s="16" t="str">
        <f t="shared" ca="1" si="1"/>
        <v>W28</v>
      </c>
      <c r="BH50" s="16" t="str">
        <f t="shared" ca="1" si="1"/>
        <v>W29</v>
      </c>
      <c r="BI50" s="16" t="str">
        <f t="shared" ca="1" si="1"/>
        <v>W30</v>
      </c>
      <c r="BJ50" s="16" t="str">
        <f t="shared" ca="1" si="1"/>
        <v>W31</v>
      </c>
      <c r="BK50" s="16" t="str">
        <f t="shared" ca="1" si="1"/>
        <v>W32</v>
      </c>
      <c r="BL50" s="16" t="str">
        <f t="shared" ca="1" si="1"/>
        <v>W33</v>
      </c>
      <c r="BM50" s="16" t="str">
        <f t="shared" ca="1" si="1"/>
        <v>W34</v>
      </c>
      <c r="BN50" s="16" t="str">
        <f t="shared" ca="1" si="1"/>
        <v>W35</v>
      </c>
      <c r="BO50" s="16" t="str">
        <f t="shared" ca="1" si="1"/>
        <v>W36</v>
      </c>
      <c r="BP50" s="16" t="str">
        <f t="shared" ca="1" si="1"/>
        <v>W37</v>
      </c>
      <c r="BQ50" s="16" t="str">
        <f t="shared" ca="1" si="1"/>
        <v>W38</v>
      </c>
      <c r="BR50" s="16" t="str">
        <f t="shared" ca="1" si="1"/>
        <v>W39</v>
      </c>
      <c r="BS50" s="8"/>
      <c r="BT50" s="8"/>
      <c r="BU50" s="8"/>
      <c r="BV50" s="8"/>
      <c r="BW50" s="8"/>
      <c r="BX50" s="20"/>
      <c r="BY50" s="8"/>
      <c r="BZ50" s="8"/>
      <c r="CA50" s="8"/>
      <c r="CB50" s="8"/>
      <c r="CC50" s="8"/>
      <c r="CD50" s="8"/>
      <c r="CE50" s="8"/>
    </row>
    <row r="51" spans="1:83" ht="12.75" collapsed="1" x14ac:dyDescent="0.2">
      <c r="A51" s="21" t="s">
        <v>7</v>
      </c>
      <c r="B51" s="21" t="s">
        <v>8</v>
      </c>
      <c r="C51" s="21"/>
      <c r="D51" s="22" t="s">
        <v>9</v>
      </c>
      <c r="E51" s="22">
        <v>2</v>
      </c>
      <c r="F51" s="22">
        <f>SUMIF(stock_on_hand!A:A,A51,stock_on_hand!C:C)</f>
        <v>186</v>
      </c>
      <c r="G51" s="22">
        <v>200</v>
      </c>
      <c r="H51" s="22" t="s">
        <v>10</v>
      </c>
      <c r="I51" s="22">
        <v>1.74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3" t="str">
        <f>IF(G51&gt;0,IF(AY51&lt;(0.8*G51),"WARNING!!!",IF(AY51&lt;G51,"ORDER","OK")),IF((VLOOKUP(A51,A:BR,51+E51,0))&lt;0,"WARNING!!!",IF((VLOOKUP(A51,A:BR,51+ROUND(1.25*E51,0),0))&lt;0,"ORDER","OK")))</f>
        <v>ORDER</v>
      </c>
      <c r="AY51" s="24">
        <f>F51-AY52+AY53</f>
        <v>168.6</v>
      </c>
      <c r="AZ51" s="24">
        <f t="shared" ref="AZ51:BR51" si="2">AY51-AZ52+AZ53</f>
        <v>151.19999999999999</v>
      </c>
      <c r="BA51" s="24">
        <f t="shared" si="2"/>
        <v>133.79999999999998</v>
      </c>
      <c r="BB51" s="24">
        <f t="shared" si="2"/>
        <v>116.39999999999998</v>
      </c>
      <c r="BC51" s="24">
        <f t="shared" si="2"/>
        <v>98.999999999999972</v>
      </c>
      <c r="BD51" s="24">
        <f t="shared" si="2"/>
        <v>81.599999999999966</v>
      </c>
      <c r="BE51" s="24">
        <f t="shared" si="2"/>
        <v>64.19999999999996</v>
      </c>
      <c r="BF51" s="24">
        <f t="shared" si="2"/>
        <v>46.799999999999962</v>
      </c>
      <c r="BG51" s="24">
        <f t="shared" si="2"/>
        <v>29.399999999999963</v>
      </c>
      <c r="BH51" s="24">
        <f t="shared" si="2"/>
        <v>11.999999999999964</v>
      </c>
      <c r="BI51" s="24">
        <f t="shared" si="2"/>
        <v>-5.4000000000000341</v>
      </c>
      <c r="BJ51" s="24">
        <f t="shared" si="2"/>
        <v>-22.800000000000033</v>
      </c>
      <c r="BK51" s="24">
        <f t="shared" si="2"/>
        <v>-40.200000000000031</v>
      </c>
      <c r="BL51" s="24">
        <f t="shared" si="2"/>
        <v>-57.60000000000003</v>
      </c>
      <c r="BM51" s="24">
        <f t="shared" si="2"/>
        <v>-75.000000000000028</v>
      </c>
      <c r="BN51" s="24">
        <f t="shared" si="2"/>
        <v>-92.400000000000034</v>
      </c>
      <c r="BO51" s="24">
        <f t="shared" si="2"/>
        <v>-109.80000000000004</v>
      </c>
      <c r="BP51" s="24">
        <f t="shared" si="2"/>
        <v>-127.20000000000005</v>
      </c>
      <c r="BQ51" s="24">
        <f t="shared" si="2"/>
        <v>-144.60000000000005</v>
      </c>
      <c r="BR51" s="24">
        <f t="shared" si="2"/>
        <v>-162.00000000000006</v>
      </c>
      <c r="BX51" s="25"/>
    </row>
    <row r="52" spans="1:83" ht="12.75" hidden="1" outlineLevel="1" x14ac:dyDescent="0.2">
      <c r="A52" s="26"/>
      <c r="B52" s="27"/>
      <c r="C52" s="27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9" t="s">
        <v>11</v>
      </c>
      <c r="AY52" s="29">
        <f t="shared" ref="AY52:BR52" si="3">$I51*AY$3-$J51*AY$4-$K51*AY$5</f>
        <v>17.399999999999999</v>
      </c>
      <c r="AZ52" s="29">
        <f t="shared" si="3"/>
        <v>17.399999999999999</v>
      </c>
      <c r="BA52" s="29">
        <f t="shared" si="3"/>
        <v>17.399999999999999</v>
      </c>
      <c r="BB52" s="29">
        <f t="shared" si="3"/>
        <v>17.399999999999999</v>
      </c>
      <c r="BC52" s="29">
        <f t="shared" si="3"/>
        <v>17.399999999999999</v>
      </c>
      <c r="BD52" s="29">
        <f t="shared" si="3"/>
        <v>17.399999999999999</v>
      </c>
      <c r="BE52" s="29">
        <f t="shared" si="3"/>
        <v>17.399999999999999</v>
      </c>
      <c r="BF52" s="29">
        <f t="shared" si="3"/>
        <v>17.399999999999999</v>
      </c>
      <c r="BG52" s="29">
        <f t="shared" si="3"/>
        <v>17.399999999999999</v>
      </c>
      <c r="BH52" s="29">
        <f t="shared" si="3"/>
        <v>17.399999999999999</v>
      </c>
      <c r="BI52" s="29">
        <f t="shared" si="3"/>
        <v>17.399999999999999</v>
      </c>
      <c r="BJ52" s="29">
        <f t="shared" si="3"/>
        <v>17.399999999999999</v>
      </c>
      <c r="BK52" s="29">
        <f t="shared" si="3"/>
        <v>17.399999999999999</v>
      </c>
      <c r="BL52" s="29">
        <f t="shared" si="3"/>
        <v>17.399999999999999</v>
      </c>
      <c r="BM52" s="29">
        <f t="shared" si="3"/>
        <v>17.399999999999999</v>
      </c>
      <c r="BN52" s="29">
        <f t="shared" si="3"/>
        <v>17.399999999999999</v>
      </c>
      <c r="BO52" s="29">
        <f t="shared" si="3"/>
        <v>17.399999999999999</v>
      </c>
      <c r="BP52" s="29">
        <f t="shared" si="3"/>
        <v>17.399999999999999</v>
      </c>
      <c r="BQ52" s="29">
        <f t="shared" si="3"/>
        <v>17.399999999999999</v>
      </c>
      <c r="BR52" s="30">
        <f t="shared" si="3"/>
        <v>17.399999999999999</v>
      </c>
    </row>
    <row r="53" spans="1:83" ht="12.75" hidden="1" outlineLevel="1" x14ac:dyDescent="0.2">
      <c r="A53" s="31"/>
      <c r="B53" s="32"/>
      <c r="C53" s="32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4" t="s">
        <v>12</v>
      </c>
      <c r="AY53" s="35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6"/>
    </row>
    <row r="54" spans="1:83" ht="12.75" collapsed="1" x14ac:dyDescent="0.2">
      <c r="A54" s="21" t="s">
        <v>13</v>
      </c>
      <c r="B54" s="21" t="s">
        <v>14</v>
      </c>
      <c r="C54" s="21"/>
      <c r="D54" s="22" t="s">
        <v>15</v>
      </c>
      <c r="E54" s="22">
        <v>3</v>
      </c>
      <c r="F54" s="22">
        <f>SUMIF(stock_on_hand!A:A,A54,stock_on_hand!C:C)</f>
        <v>293</v>
      </c>
      <c r="G54" s="22"/>
      <c r="H54" s="22" t="s">
        <v>16</v>
      </c>
      <c r="I54" s="22">
        <v>1</v>
      </c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3" t="str">
        <f>IF(G54&gt;0,IF(AY54&lt;(0.8*G54),"WARNING!!!",IF(AY54&lt;G54,"ORDER","OK")),IF((VLOOKUP(A54,A:BR,51+E54,0))&lt;0,"WARNING!!!",IF((VLOOKUP(A54,A:BR,51+ROUND(1.25*E54,0),0))&lt;0,"ORDER","OK")))</f>
        <v>OK</v>
      </c>
      <c r="AY54" s="24">
        <f>F54-AY55+AY56</f>
        <v>283</v>
      </c>
      <c r="AZ54" s="24">
        <f t="shared" ref="AZ54:BR54" si="4">AY54-AZ55+AZ56</f>
        <v>273</v>
      </c>
      <c r="BA54" s="24">
        <f t="shared" si="4"/>
        <v>263</v>
      </c>
      <c r="BB54" s="24">
        <f t="shared" si="4"/>
        <v>253</v>
      </c>
      <c r="BC54" s="24">
        <f t="shared" si="4"/>
        <v>243</v>
      </c>
      <c r="BD54" s="24">
        <f t="shared" si="4"/>
        <v>233</v>
      </c>
      <c r="BE54" s="24">
        <f t="shared" si="4"/>
        <v>223</v>
      </c>
      <c r="BF54" s="24">
        <f t="shared" si="4"/>
        <v>213</v>
      </c>
      <c r="BG54" s="24">
        <f t="shared" si="4"/>
        <v>203</v>
      </c>
      <c r="BH54" s="24">
        <f t="shared" si="4"/>
        <v>193</v>
      </c>
      <c r="BI54" s="24">
        <f t="shared" si="4"/>
        <v>183</v>
      </c>
      <c r="BJ54" s="24">
        <f t="shared" si="4"/>
        <v>173</v>
      </c>
      <c r="BK54" s="24">
        <f t="shared" si="4"/>
        <v>163</v>
      </c>
      <c r="BL54" s="24">
        <f t="shared" si="4"/>
        <v>153</v>
      </c>
      <c r="BM54" s="24">
        <f t="shared" si="4"/>
        <v>143</v>
      </c>
      <c r="BN54" s="24">
        <f t="shared" si="4"/>
        <v>133</v>
      </c>
      <c r="BO54" s="24">
        <f t="shared" si="4"/>
        <v>123</v>
      </c>
      <c r="BP54" s="24">
        <f t="shared" si="4"/>
        <v>113</v>
      </c>
      <c r="BQ54" s="24">
        <f t="shared" si="4"/>
        <v>103</v>
      </c>
      <c r="BR54" s="24">
        <f t="shared" si="4"/>
        <v>93</v>
      </c>
      <c r="BX54" s="25"/>
    </row>
    <row r="55" spans="1:83" ht="12.75" hidden="1" outlineLevel="1" x14ac:dyDescent="0.2">
      <c r="A55" s="26"/>
      <c r="B55" s="27"/>
      <c r="C55" s="27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9" t="s">
        <v>11</v>
      </c>
      <c r="AY55" s="29">
        <f t="shared" ref="AY55:BR55" si="5">$I54*AY$3-$J54*AY$4-$K54*AY$5</f>
        <v>10</v>
      </c>
      <c r="AZ55" s="29">
        <f t="shared" si="5"/>
        <v>10</v>
      </c>
      <c r="BA55" s="29">
        <f t="shared" si="5"/>
        <v>10</v>
      </c>
      <c r="BB55" s="29">
        <f t="shared" si="5"/>
        <v>10</v>
      </c>
      <c r="BC55" s="29">
        <f t="shared" si="5"/>
        <v>10</v>
      </c>
      <c r="BD55" s="29">
        <f t="shared" si="5"/>
        <v>10</v>
      </c>
      <c r="BE55" s="29">
        <f t="shared" si="5"/>
        <v>10</v>
      </c>
      <c r="BF55" s="29">
        <f t="shared" si="5"/>
        <v>10</v>
      </c>
      <c r="BG55" s="29">
        <f t="shared" si="5"/>
        <v>10</v>
      </c>
      <c r="BH55" s="29">
        <f t="shared" si="5"/>
        <v>10</v>
      </c>
      <c r="BI55" s="29">
        <f t="shared" si="5"/>
        <v>10</v>
      </c>
      <c r="BJ55" s="29">
        <f t="shared" si="5"/>
        <v>10</v>
      </c>
      <c r="BK55" s="29">
        <f t="shared" si="5"/>
        <v>10</v>
      </c>
      <c r="BL55" s="29">
        <f t="shared" si="5"/>
        <v>10</v>
      </c>
      <c r="BM55" s="29">
        <f t="shared" si="5"/>
        <v>10</v>
      </c>
      <c r="BN55" s="29">
        <f t="shared" si="5"/>
        <v>10</v>
      </c>
      <c r="BO55" s="29">
        <f t="shared" si="5"/>
        <v>10</v>
      </c>
      <c r="BP55" s="29">
        <f t="shared" si="5"/>
        <v>10</v>
      </c>
      <c r="BQ55" s="29">
        <f t="shared" si="5"/>
        <v>10</v>
      </c>
      <c r="BR55" s="30">
        <f t="shared" si="5"/>
        <v>10</v>
      </c>
    </row>
    <row r="56" spans="1:83" ht="12.75" hidden="1" outlineLevel="1" x14ac:dyDescent="0.2">
      <c r="A56" s="31"/>
      <c r="B56" s="32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4" t="s">
        <v>12</v>
      </c>
      <c r="AY56" s="35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6"/>
    </row>
    <row r="57" spans="1:83" ht="12.75" collapsed="1" x14ac:dyDescent="0.2">
      <c r="A57" s="21" t="s">
        <v>17</v>
      </c>
      <c r="B57" s="21" t="s">
        <v>18</v>
      </c>
      <c r="C57" s="21"/>
      <c r="D57" s="22" t="s">
        <v>15</v>
      </c>
      <c r="E57" s="22">
        <v>3</v>
      </c>
      <c r="F57" s="22">
        <f>SUMIF(stock_on_hand!A:A,A57,stock_on_hand!C:C)</f>
        <v>36</v>
      </c>
      <c r="G57" s="22"/>
      <c r="H57" s="22" t="s">
        <v>16</v>
      </c>
      <c r="I57" s="22">
        <v>1</v>
      </c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3" t="str">
        <f>IF(G57&gt;0,IF(AY57&lt;(0.8*G57),"WARNING!!!",IF(AY57&lt;G57,"ORDER","OK")),IF((VLOOKUP(A57,A:BR,51+E57,0))&lt;0,"WARNING!!!",IF((VLOOKUP(A57,A:BR,51+ROUND(1.25*E57,0),0))&lt;0,"ORDER","OK")))</f>
        <v>WARNING!!!</v>
      </c>
      <c r="AY57" s="24">
        <f>F57-AY58+AY59</f>
        <v>26</v>
      </c>
      <c r="AZ57" s="24">
        <f t="shared" ref="AZ57:BR57" si="6">AY57-AZ58+AZ59</f>
        <v>16</v>
      </c>
      <c r="BA57" s="24">
        <f t="shared" si="6"/>
        <v>6</v>
      </c>
      <c r="BB57" s="24">
        <f t="shared" si="6"/>
        <v>-4</v>
      </c>
      <c r="BC57" s="24">
        <f t="shared" si="6"/>
        <v>-14</v>
      </c>
      <c r="BD57" s="24">
        <f t="shared" si="6"/>
        <v>-24</v>
      </c>
      <c r="BE57" s="24">
        <f t="shared" si="6"/>
        <v>-34</v>
      </c>
      <c r="BF57" s="24">
        <f t="shared" si="6"/>
        <v>-44</v>
      </c>
      <c r="BG57" s="24">
        <f t="shared" si="6"/>
        <v>-54</v>
      </c>
      <c r="BH57" s="24">
        <f t="shared" si="6"/>
        <v>-64</v>
      </c>
      <c r="BI57" s="24">
        <f t="shared" si="6"/>
        <v>-74</v>
      </c>
      <c r="BJ57" s="24">
        <f t="shared" si="6"/>
        <v>-84</v>
      </c>
      <c r="BK57" s="24">
        <f t="shared" si="6"/>
        <v>-94</v>
      </c>
      <c r="BL57" s="24">
        <f t="shared" si="6"/>
        <v>-104</v>
      </c>
      <c r="BM57" s="24">
        <f t="shared" si="6"/>
        <v>-114</v>
      </c>
      <c r="BN57" s="24">
        <f t="shared" si="6"/>
        <v>-124</v>
      </c>
      <c r="BO57" s="24">
        <f t="shared" si="6"/>
        <v>-134</v>
      </c>
      <c r="BP57" s="24">
        <f t="shared" si="6"/>
        <v>-144</v>
      </c>
      <c r="BQ57" s="24">
        <f t="shared" si="6"/>
        <v>-154</v>
      </c>
      <c r="BR57" s="24">
        <f t="shared" si="6"/>
        <v>-164</v>
      </c>
      <c r="BX57" s="25"/>
    </row>
    <row r="58" spans="1:83" ht="12.75" hidden="1" outlineLevel="1" x14ac:dyDescent="0.2">
      <c r="A58" s="26"/>
      <c r="B58" s="27"/>
      <c r="C58" s="27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9" t="s">
        <v>11</v>
      </c>
      <c r="AY58" s="29">
        <f t="shared" ref="AY58:BR58" si="7">$I57*AY$3-$J57*AY$4-$K57*AY$5</f>
        <v>10</v>
      </c>
      <c r="AZ58" s="29">
        <f t="shared" si="7"/>
        <v>10</v>
      </c>
      <c r="BA58" s="29">
        <f t="shared" si="7"/>
        <v>10</v>
      </c>
      <c r="BB58" s="29">
        <f t="shared" si="7"/>
        <v>10</v>
      </c>
      <c r="BC58" s="29">
        <f t="shared" si="7"/>
        <v>10</v>
      </c>
      <c r="BD58" s="29">
        <f t="shared" si="7"/>
        <v>10</v>
      </c>
      <c r="BE58" s="29">
        <f t="shared" si="7"/>
        <v>10</v>
      </c>
      <c r="BF58" s="29">
        <f t="shared" si="7"/>
        <v>10</v>
      </c>
      <c r="BG58" s="29">
        <f t="shared" si="7"/>
        <v>10</v>
      </c>
      <c r="BH58" s="29">
        <f t="shared" si="7"/>
        <v>10</v>
      </c>
      <c r="BI58" s="29">
        <f t="shared" si="7"/>
        <v>10</v>
      </c>
      <c r="BJ58" s="29">
        <f t="shared" si="7"/>
        <v>10</v>
      </c>
      <c r="BK58" s="29">
        <f t="shared" si="7"/>
        <v>10</v>
      </c>
      <c r="BL58" s="29">
        <f t="shared" si="7"/>
        <v>10</v>
      </c>
      <c r="BM58" s="29">
        <f t="shared" si="7"/>
        <v>10</v>
      </c>
      <c r="BN58" s="29">
        <f t="shared" si="7"/>
        <v>10</v>
      </c>
      <c r="BO58" s="29">
        <f t="shared" si="7"/>
        <v>10</v>
      </c>
      <c r="BP58" s="29">
        <f t="shared" si="7"/>
        <v>10</v>
      </c>
      <c r="BQ58" s="29">
        <f t="shared" si="7"/>
        <v>10</v>
      </c>
      <c r="BR58" s="30">
        <f t="shared" si="7"/>
        <v>10</v>
      </c>
    </row>
    <row r="59" spans="1:83" ht="12.75" hidden="1" outlineLevel="1" x14ac:dyDescent="0.2">
      <c r="A59" s="31"/>
      <c r="B59" s="32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4" t="s">
        <v>12</v>
      </c>
      <c r="AY59" s="35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6"/>
    </row>
    <row r="60" spans="1:83" ht="12.75" collapsed="1" x14ac:dyDescent="0.2">
      <c r="A60" s="21" t="s">
        <v>19</v>
      </c>
      <c r="B60" s="21" t="s">
        <v>20</v>
      </c>
      <c r="C60" s="21"/>
      <c r="D60" s="22" t="s">
        <v>21</v>
      </c>
      <c r="E60" s="22">
        <v>5</v>
      </c>
      <c r="F60" s="22">
        <f>SUMIF(stock_on_hand!A:A,A60,stock_on_hand!C:C)</f>
        <v>146</v>
      </c>
      <c r="G60" s="22"/>
      <c r="H60" s="22" t="s">
        <v>16</v>
      </c>
      <c r="I60" s="22">
        <v>1</v>
      </c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3" t="str">
        <f>IF(G60&gt;0,IF(AY60&lt;(0.8*G60),"WARNING!!!",IF(AY60&lt;G60,"ORDER","OK")),IF((VLOOKUP(A60,A:BR,51+E60,0))&lt;0,"WARNING!!!",IF((VLOOKUP(A60,A:BR,51+ROUND(1.25*E60,0),0))&lt;0,"ORDER","OK")))</f>
        <v>OK</v>
      </c>
      <c r="AY60" s="24">
        <f>F60-AY61+AY62</f>
        <v>136</v>
      </c>
      <c r="AZ60" s="24">
        <f t="shared" ref="AZ60:BR60" si="8">AY60-AZ61+AZ62</f>
        <v>126</v>
      </c>
      <c r="BA60" s="24">
        <f t="shared" si="8"/>
        <v>116</v>
      </c>
      <c r="BB60" s="24">
        <f t="shared" si="8"/>
        <v>106</v>
      </c>
      <c r="BC60" s="24">
        <f t="shared" si="8"/>
        <v>96</v>
      </c>
      <c r="BD60" s="24">
        <f t="shared" si="8"/>
        <v>86</v>
      </c>
      <c r="BE60" s="24">
        <f t="shared" si="8"/>
        <v>76</v>
      </c>
      <c r="BF60" s="24">
        <f t="shared" si="8"/>
        <v>66</v>
      </c>
      <c r="BG60" s="24">
        <f t="shared" si="8"/>
        <v>56</v>
      </c>
      <c r="BH60" s="24">
        <f t="shared" si="8"/>
        <v>46</v>
      </c>
      <c r="BI60" s="24">
        <f t="shared" si="8"/>
        <v>36</v>
      </c>
      <c r="BJ60" s="24">
        <f t="shared" si="8"/>
        <v>26</v>
      </c>
      <c r="BK60" s="24">
        <f t="shared" si="8"/>
        <v>16</v>
      </c>
      <c r="BL60" s="24">
        <f t="shared" si="8"/>
        <v>6</v>
      </c>
      <c r="BM60" s="24">
        <f t="shared" si="8"/>
        <v>-4</v>
      </c>
      <c r="BN60" s="24">
        <f t="shared" si="8"/>
        <v>-14</v>
      </c>
      <c r="BO60" s="24">
        <f t="shared" si="8"/>
        <v>-24</v>
      </c>
      <c r="BP60" s="24">
        <f t="shared" si="8"/>
        <v>-34</v>
      </c>
      <c r="BQ60" s="24">
        <f t="shared" si="8"/>
        <v>-44</v>
      </c>
      <c r="BR60" s="24">
        <f t="shared" si="8"/>
        <v>-54</v>
      </c>
      <c r="BX60" s="25"/>
      <c r="CA60" s="37"/>
    </row>
    <row r="61" spans="1:83" ht="12.75" hidden="1" outlineLevel="1" x14ac:dyDescent="0.2">
      <c r="A61" s="26"/>
      <c r="B61" s="27"/>
      <c r="C61" s="27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9" t="s">
        <v>11</v>
      </c>
      <c r="AY61" s="29">
        <f t="shared" ref="AY61:BR61" si="9">$I60*AY$3-$J60*AY$4-$K60*AY$5</f>
        <v>10</v>
      </c>
      <c r="AZ61" s="29">
        <f t="shared" si="9"/>
        <v>10</v>
      </c>
      <c r="BA61" s="29">
        <f t="shared" si="9"/>
        <v>10</v>
      </c>
      <c r="BB61" s="29">
        <f t="shared" si="9"/>
        <v>10</v>
      </c>
      <c r="BC61" s="29">
        <f t="shared" si="9"/>
        <v>10</v>
      </c>
      <c r="BD61" s="29">
        <f t="shared" si="9"/>
        <v>10</v>
      </c>
      <c r="BE61" s="29">
        <f t="shared" si="9"/>
        <v>10</v>
      </c>
      <c r="BF61" s="29">
        <f t="shared" si="9"/>
        <v>10</v>
      </c>
      <c r="BG61" s="29">
        <f t="shared" si="9"/>
        <v>10</v>
      </c>
      <c r="BH61" s="29">
        <f t="shared" si="9"/>
        <v>10</v>
      </c>
      <c r="BI61" s="29">
        <f t="shared" si="9"/>
        <v>10</v>
      </c>
      <c r="BJ61" s="29">
        <f t="shared" si="9"/>
        <v>10</v>
      </c>
      <c r="BK61" s="29">
        <f t="shared" si="9"/>
        <v>10</v>
      </c>
      <c r="BL61" s="29">
        <f t="shared" si="9"/>
        <v>10</v>
      </c>
      <c r="BM61" s="29">
        <f t="shared" si="9"/>
        <v>10</v>
      </c>
      <c r="BN61" s="29">
        <f t="shared" si="9"/>
        <v>10</v>
      </c>
      <c r="BO61" s="29">
        <f t="shared" si="9"/>
        <v>10</v>
      </c>
      <c r="BP61" s="29">
        <f t="shared" si="9"/>
        <v>10</v>
      </c>
      <c r="BQ61" s="29">
        <f t="shared" si="9"/>
        <v>10</v>
      </c>
      <c r="BR61" s="30">
        <f t="shared" si="9"/>
        <v>10</v>
      </c>
    </row>
    <row r="62" spans="1:83" ht="12.75" hidden="1" outlineLevel="1" x14ac:dyDescent="0.2">
      <c r="A62" s="31"/>
      <c r="B62" s="32"/>
      <c r="C62" s="32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4" t="s">
        <v>12</v>
      </c>
      <c r="AY62" s="35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6"/>
    </row>
    <row r="63" spans="1:83" ht="12.75" collapsed="1" x14ac:dyDescent="0.2">
      <c r="A63" s="21" t="s">
        <v>22</v>
      </c>
      <c r="B63" s="21" t="s">
        <v>23</v>
      </c>
      <c r="C63" s="21"/>
      <c r="D63" s="22" t="s">
        <v>21</v>
      </c>
      <c r="E63" s="22">
        <v>5</v>
      </c>
      <c r="F63" s="22">
        <f>SUMIF(stock_on_hand!A:A,A63,stock_on_hand!C:C)</f>
        <v>110</v>
      </c>
      <c r="G63" s="22"/>
      <c r="H63" s="22" t="s">
        <v>16</v>
      </c>
      <c r="I63" s="22">
        <v>1</v>
      </c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3" t="str">
        <f>IF(G63&gt;0,IF(AY63&lt;(0.8*G63),"WARNING!!!",IF(AY63&lt;G63,"ORDER","OK")),IF((VLOOKUP(A63,A:BR,51+E63,0))&lt;0,"WARNING!!!",IF((VLOOKUP(A63,A:BR,51+ROUND(1.25*E63,0),0))&lt;0,"ORDER","OK")))</f>
        <v>OK</v>
      </c>
      <c r="AY63" s="24">
        <f>F63-AY64+AY65</f>
        <v>100</v>
      </c>
      <c r="AZ63" s="24">
        <f t="shared" ref="AZ63:BR63" si="10">AY63-AZ64+AZ65</f>
        <v>90</v>
      </c>
      <c r="BA63" s="24">
        <f t="shared" si="10"/>
        <v>80</v>
      </c>
      <c r="BB63" s="24">
        <f t="shared" si="10"/>
        <v>70</v>
      </c>
      <c r="BC63" s="24">
        <f t="shared" si="10"/>
        <v>60</v>
      </c>
      <c r="BD63" s="24">
        <f t="shared" si="10"/>
        <v>50</v>
      </c>
      <c r="BE63" s="24">
        <f t="shared" si="10"/>
        <v>40</v>
      </c>
      <c r="BF63" s="24">
        <f t="shared" si="10"/>
        <v>30</v>
      </c>
      <c r="BG63" s="24">
        <f t="shared" si="10"/>
        <v>20</v>
      </c>
      <c r="BH63" s="24">
        <f t="shared" si="10"/>
        <v>10</v>
      </c>
      <c r="BI63" s="24">
        <f t="shared" si="10"/>
        <v>0</v>
      </c>
      <c r="BJ63" s="24">
        <f t="shared" si="10"/>
        <v>-10</v>
      </c>
      <c r="BK63" s="24">
        <f t="shared" si="10"/>
        <v>-20</v>
      </c>
      <c r="BL63" s="24">
        <f t="shared" si="10"/>
        <v>-30</v>
      </c>
      <c r="BM63" s="24">
        <f t="shared" si="10"/>
        <v>-40</v>
      </c>
      <c r="BN63" s="24">
        <f t="shared" si="10"/>
        <v>-50</v>
      </c>
      <c r="BO63" s="24">
        <f t="shared" si="10"/>
        <v>-60</v>
      </c>
      <c r="BP63" s="24">
        <f t="shared" si="10"/>
        <v>-70</v>
      </c>
      <c r="BQ63" s="24">
        <f t="shared" si="10"/>
        <v>-80</v>
      </c>
      <c r="BR63" s="24">
        <f t="shared" si="10"/>
        <v>-90</v>
      </c>
      <c r="BX63" s="25"/>
    </row>
    <row r="64" spans="1:83" ht="12.75" hidden="1" outlineLevel="1" x14ac:dyDescent="0.2">
      <c r="A64" s="26"/>
      <c r="B64" s="27"/>
      <c r="C64" s="27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9" t="s">
        <v>11</v>
      </c>
      <c r="AY64" s="29">
        <f t="shared" ref="AY64:BR64" si="11">$I63*AY$3-$J63*AY$4-$K63*AY$5</f>
        <v>10</v>
      </c>
      <c r="AZ64" s="29">
        <f t="shared" si="11"/>
        <v>10</v>
      </c>
      <c r="BA64" s="29">
        <f t="shared" si="11"/>
        <v>10</v>
      </c>
      <c r="BB64" s="29">
        <f t="shared" si="11"/>
        <v>10</v>
      </c>
      <c r="BC64" s="29">
        <f t="shared" si="11"/>
        <v>10</v>
      </c>
      <c r="BD64" s="29">
        <f t="shared" si="11"/>
        <v>10</v>
      </c>
      <c r="BE64" s="29">
        <f t="shared" si="11"/>
        <v>10</v>
      </c>
      <c r="BF64" s="29">
        <f t="shared" si="11"/>
        <v>10</v>
      </c>
      <c r="BG64" s="29">
        <f t="shared" si="11"/>
        <v>10</v>
      </c>
      <c r="BH64" s="29">
        <f t="shared" si="11"/>
        <v>10</v>
      </c>
      <c r="BI64" s="29">
        <f t="shared" si="11"/>
        <v>10</v>
      </c>
      <c r="BJ64" s="29">
        <f t="shared" si="11"/>
        <v>10</v>
      </c>
      <c r="BK64" s="29">
        <f t="shared" si="11"/>
        <v>10</v>
      </c>
      <c r="BL64" s="29">
        <f t="shared" si="11"/>
        <v>10</v>
      </c>
      <c r="BM64" s="29">
        <f t="shared" si="11"/>
        <v>10</v>
      </c>
      <c r="BN64" s="29">
        <f t="shared" si="11"/>
        <v>10</v>
      </c>
      <c r="BO64" s="29">
        <f t="shared" si="11"/>
        <v>10</v>
      </c>
      <c r="BP64" s="29">
        <f t="shared" si="11"/>
        <v>10</v>
      </c>
      <c r="BQ64" s="29">
        <f t="shared" si="11"/>
        <v>10</v>
      </c>
      <c r="BR64" s="30">
        <f t="shared" si="11"/>
        <v>10</v>
      </c>
    </row>
    <row r="65" spans="1:76" ht="12.75" hidden="1" outlineLevel="1" x14ac:dyDescent="0.2">
      <c r="A65" s="31"/>
      <c r="B65" s="32"/>
      <c r="C65" s="32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4" t="s">
        <v>12</v>
      </c>
      <c r="AY65" s="35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6"/>
    </row>
    <row r="66" spans="1:76" ht="12.75" collapsed="1" x14ac:dyDescent="0.2">
      <c r="A66" s="21" t="s">
        <v>24</v>
      </c>
      <c r="B66" s="21" t="s">
        <v>25</v>
      </c>
      <c r="C66" s="21"/>
      <c r="D66" s="22" t="s">
        <v>21</v>
      </c>
      <c r="E66" s="22">
        <v>5</v>
      </c>
      <c r="F66" s="22">
        <f>SUMIF(stock_on_hand!A:A,A66,stock_on_hand!C:C)</f>
        <v>149</v>
      </c>
      <c r="G66" s="22"/>
      <c r="H66" s="22" t="s">
        <v>16</v>
      </c>
      <c r="I66" s="22">
        <v>2</v>
      </c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3" t="str">
        <f>IF(G66&gt;0,IF(AY66&lt;(0.8*G66),"WARNING!!!",IF(AY66&lt;G66,"ORDER","OK")),IF((VLOOKUP(A66,A:BR,51+E66,0))&lt;0,"WARNING!!!",IF((VLOOKUP(A66,A:BR,51+ROUND(1.25*E66,0),0))&lt;0,"ORDER","OK")))</f>
        <v>OK</v>
      </c>
      <c r="AY66" s="24">
        <f>F66-AY67+AY68</f>
        <v>129</v>
      </c>
      <c r="AZ66" s="24">
        <f t="shared" ref="AZ66:BR66" si="12">AY66-AZ67+AZ68</f>
        <v>109</v>
      </c>
      <c r="BA66" s="24">
        <f t="shared" si="12"/>
        <v>89</v>
      </c>
      <c r="BB66" s="24">
        <f t="shared" si="12"/>
        <v>69</v>
      </c>
      <c r="BC66" s="24">
        <f t="shared" si="12"/>
        <v>49</v>
      </c>
      <c r="BD66" s="24">
        <f t="shared" si="12"/>
        <v>29</v>
      </c>
      <c r="BE66" s="24">
        <f t="shared" si="12"/>
        <v>9</v>
      </c>
      <c r="BF66" s="24">
        <f t="shared" si="12"/>
        <v>-11</v>
      </c>
      <c r="BG66" s="24">
        <f t="shared" si="12"/>
        <v>-31</v>
      </c>
      <c r="BH66" s="24">
        <f t="shared" si="12"/>
        <v>-51</v>
      </c>
      <c r="BI66" s="24">
        <f t="shared" si="12"/>
        <v>-71</v>
      </c>
      <c r="BJ66" s="24">
        <f t="shared" si="12"/>
        <v>-91</v>
      </c>
      <c r="BK66" s="24">
        <f t="shared" si="12"/>
        <v>-111</v>
      </c>
      <c r="BL66" s="24">
        <f t="shared" si="12"/>
        <v>-131</v>
      </c>
      <c r="BM66" s="24">
        <f t="shared" si="12"/>
        <v>-151</v>
      </c>
      <c r="BN66" s="24">
        <f t="shared" si="12"/>
        <v>-171</v>
      </c>
      <c r="BO66" s="24">
        <f t="shared" si="12"/>
        <v>-191</v>
      </c>
      <c r="BP66" s="24">
        <f t="shared" si="12"/>
        <v>-211</v>
      </c>
      <c r="BQ66" s="24">
        <f t="shared" si="12"/>
        <v>-231</v>
      </c>
      <c r="BR66" s="24">
        <f t="shared" si="12"/>
        <v>-251</v>
      </c>
      <c r="BX66" s="25"/>
    </row>
    <row r="67" spans="1:76" ht="12.75" hidden="1" outlineLevel="1" x14ac:dyDescent="0.2">
      <c r="A67" s="26"/>
      <c r="B67" s="27"/>
      <c r="C67" s="27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9" t="s">
        <v>11</v>
      </c>
      <c r="AY67" s="29">
        <f t="shared" ref="AY67:BR67" si="13">$I66*AY$3-$J66*AY$4-$K66*AY$5</f>
        <v>20</v>
      </c>
      <c r="AZ67" s="29">
        <f t="shared" si="13"/>
        <v>20</v>
      </c>
      <c r="BA67" s="29">
        <f t="shared" si="13"/>
        <v>20</v>
      </c>
      <c r="BB67" s="29">
        <f t="shared" si="13"/>
        <v>20</v>
      </c>
      <c r="BC67" s="29">
        <f t="shared" si="13"/>
        <v>20</v>
      </c>
      <c r="BD67" s="29">
        <f t="shared" si="13"/>
        <v>20</v>
      </c>
      <c r="BE67" s="29">
        <f t="shared" si="13"/>
        <v>20</v>
      </c>
      <c r="BF67" s="29">
        <f t="shared" si="13"/>
        <v>20</v>
      </c>
      <c r="BG67" s="29">
        <f t="shared" si="13"/>
        <v>20</v>
      </c>
      <c r="BH67" s="29">
        <f t="shared" si="13"/>
        <v>20</v>
      </c>
      <c r="BI67" s="29">
        <f t="shared" si="13"/>
        <v>20</v>
      </c>
      <c r="BJ67" s="29">
        <f t="shared" si="13"/>
        <v>20</v>
      </c>
      <c r="BK67" s="29">
        <f t="shared" si="13"/>
        <v>20</v>
      </c>
      <c r="BL67" s="29">
        <f t="shared" si="13"/>
        <v>20</v>
      </c>
      <c r="BM67" s="29">
        <f t="shared" si="13"/>
        <v>20</v>
      </c>
      <c r="BN67" s="29">
        <f t="shared" si="13"/>
        <v>20</v>
      </c>
      <c r="BO67" s="29">
        <f t="shared" si="13"/>
        <v>20</v>
      </c>
      <c r="BP67" s="29">
        <f t="shared" si="13"/>
        <v>20</v>
      </c>
      <c r="BQ67" s="29">
        <f t="shared" si="13"/>
        <v>20</v>
      </c>
      <c r="BR67" s="30">
        <f t="shared" si="13"/>
        <v>20</v>
      </c>
    </row>
    <row r="68" spans="1:76" ht="12.75" hidden="1" outlineLevel="1" x14ac:dyDescent="0.2">
      <c r="A68" s="31"/>
      <c r="B68" s="32"/>
      <c r="C68" s="32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4" t="s">
        <v>12</v>
      </c>
      <c r="AY68" s="35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6"/>
    </row>
    <row r="69" spans="1:76" ht="12.75" collapsed="1" x14ac:dyDescent="0.2">
      <c r="A69" s="21" t="s">
        <v>26</v>
      </c>
      <c r="B69" s="21" t="s">
        <v>27</v>
      </c>
      <c r="C69" s="21"/>
      <c r="D69" s="22" t="s">
        <v>21</v>
      </c>
      <c r="E69" s="22">
        <v>5</v>
      </c>
      <c r="F69" s="22">
        <f>SUMIF(stock_on_hand!A:A,A69,stock_on_hand!C:C)</f>
        <v>340</v>
      </c>
      <c r="G69" s="22">
        <v>200</v>
      </c>
      <c r="H69" s="22" t="s">
        <v>16</v>
      </c>
      <c r="I69" s="22">
        <v>1</v>
      </c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3" t="str">
        <f>IF(G69&gt;0,IF(AY69&lt;(0.8*G69),"WARNING!!!",IF(AY69&lt;G69,"ORDER","OK")),IF((VLOOKUP(A69,A:BR,51+E69,0))&lt;0,"WARNING!!!",IF((VLOOKUP(A69,A:BR,51+ROUND(1.25*E69,0),0))&lt;0,"ORDER","OK")))</f>
        <v>OK</v>
      </c>
      <c r="AY69" s="24">
        <f>F69-AY70+AY71</f>
        <v>330</v>
      </c>
      <c r="AZ69" s="24">
        <f t="shared" ref="AZ69:BR69" si="14">AY69-AZ70+AZ71</f>
        <v>320</v>
      </c>
      <c r="BA69" s="24">
        <f t="shared" si="14"/>
        <v>310</v>
      </c>
      <c r="BB69" s="24">
        <f t="shared" si="14"/>
        <v>300</v>
      </c>
      <c r="BC69" s="24">
        <f t="shared" si="14"/>
        <v>290</v>
      </c>
      <c r="BD69" s="24">
        <f t="shared" si="14"/>
        <v>280</v>
      </c>
      <c r="BE69" s="24">
        <f t="shared" si="14"/>
        <v>270</v>
      </c>
      <c r="BF69" s="24">
        <f t="shared" si="14"/>
        <v>260</v>
      </c>
      <c r="BG69" s="24">
        <f t="shared" si="14"/>
        <v>250</v>
      </c>
      <c r="BH69" s="24">
        <f t="shared" si="14"/>
        <v>240</v>
      </c>
      <c r="BI69" s="24">
        <f t="shared" si="14"/>
        <v>230</v>
      </c>
      <c r="BJ69" s="24">
        <f t="shared" si="14"/>
        <v>220</v>
      </c>
      <c r="BK69" s="24">
        <f t="shared" si="14"/>
        <v>210</v>
      </c>
      <c r="BL69" s="24">
        <f t="shared" si="14"/>
        <v>200</v>
      </c>
      <c r="BM69" s="24">
        <f t="shared" si="14"/>
        <v>190</v>
      </c>
      <c r="BN69" s="24">
        <f t="shared" si="14"/>
        <v>180</v>
      </c>
      <c r="BO69" s="24">
        <f t="shared" si="14"/>
        <v>170</v>
      </c>
      <c r="BP69" s="24">
        <f t="shared" si="14"/>
        <v>160</v>
      </c>
      <c r="BQ69" s="24">
        <f t="shared" si="14"/>
        <v>150</v>
      </c>
      <c r="BR69" s="24">
        <f t="shared" si="14"/>
        <v>140</v>
      </c>
      <c r="BX69" s="25"/>
    </row>
    <row r="70" spans="1:76" ht="12.75" hidden="1" outlineLevel="1" x14ac:dyDescent="0.2">
      <c r="A70" s="26"/>
      <c r="B70" s="27"/>
      <c r="C70" s="27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9" t="s">
        <v>11</v>
      </c>
      <c r="AY70" s="29">
        <f t="shared" ref="AY70:BR70" si="15">$I69*AY$3-$J69*AY$4-$K69*AY$5</f>
        <v>10</v>
      </c>
      <c r="AZ70" s="29">
        <f t="shared" si="15"/>
        <v>10</v>
      </c>
      <c r="BA70" s="29">
        <f t="shared" si="15"/>
        <v>10</v>
      </c>
      <c r="BB70" s="29">
        <f t="shared" si="15"/>
        <v>10</v>
      </c>
      <c r="BC70" s="29">
        <f t="shared" si="15"/>
        <v>10</v>
      </c>
      <c r="BD70" s="29">
        <f t="shared" si="15"/>
        <v>10</v>
      </c>
      <c r="BE70" s="29">
        <f t="shared" si="15"/>
        <v>10</v>
      </c>
      <c r="BF70" s="29">
        <f t="shared" si="15"/>
        <v>10</v>
      </c>
      <c r="BG70" s="29">
        <f t="shared" si="15"/>
        <v>10</v>
      </c>
      <c r="BH70" s="29">
        <f t="shared" si="15"/>
        <v>10</v>
      </c>
      <c r="BI70" s="29">
        <f t="shared" si="15"/>
        <v>10</v>
      </c>
      <c r="BJ70" s="29">
        <f t="shared" si="15"/>
        <v>10</v>
      </c>
      <c r="BK70" s="29">
        <f t="shared" si="15"/>
        <v>10</v>
      </c>
      <c r="BL70" s="29">
        <f t="shared" si="15"/>
        <v>10</v>
      </c>
      <c r="BM70" s="29">
        <f t="shared" si="15"/>
        <v>10</v>
      </c>
      <c r="BN70" s="29">
        <f t="shared" si="15"/>
        <v>10</v>
      </c>
      <c r="BO70" s="29">
        <f t="shared" si="15"/>
        <v>10</v>
      </c>
      <c r="BP70" s="29">
        <f t="shared" si="15"/>
        <v>10</v>
      </c>
      <c r="BQ70" s="29">
        <f t="shared" si="15"/>
        <v>10</v>
      </c>
      <c r="BR70" s="30">
        <f t="shared" si="15"/>
        <v>10</v>
      </c>
    </row>
    <row r="71" spans="1:76" ht="12.75" hidden="1" outlineLevel="1" x14ac:dyDescent="0.2">
      <c r="A71" s="31"/>
      <c r="B71" s="32"/>
      <c r="C71" s="32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4" t="s">
        <v>12</v>
      </c>
      <c r="AY71" s="35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6"/>
    </row>
    <row r="72" spans="1:76" ht="12.75" collapsed="1" x14ac:dyDescent="0.2">
      <c r="A72" s="21" t="s">
        <v>28</v>
      </c>
      <c r="B72" s="21" t="s">
        <v>29</v>
      </c>
      <c r="C72" s="21"/>
      <c r="D72" s="22" t="s">
        <v>21</v>
      </c>
      <c r="E72" s="22">
        <v>5</v>
      </c>
      <c r="F72" s="22">
        <f>SUMIF(stock_on_hand!A:A,A72,stock_on_hand!C:C)</f>
        <v>100</v>
      </c>
      <c r="G72" s="22"/>
      <c r="H72" s="22" t="s">
        <v>16</v>
      </c>
      <c r="I72" s="22">
        <v>1</v>
      </c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3" t="str">
        <f>IF(G72&gt;0,IF(AY72&lt;(0.8*G72),"WARNING!!!",IF(AY72&lt;G72,"ORDER","OK")),IF((VLOOKUP(A72,A:BR,51+E72,0))&lt;0,"WARNING!!!",IF((VLOOKUP(A72,A:BR,51+ROUND(1.25*E72,0),0))&lt;0,"ORDER","OK")))</f>
        <v>OK</v>
      </c>
      <c r="AY72" s="24">
        <f>F72-AY73+AY74</f>
        <v>90</v>
      </c>
      <c r="AZ72" s="24">
        <f t="shared" ref="AZ72:BR72" si="16">AY72-AZ73+AZ74</f>
        <v>80</v>
      </c>
      <c r="BA72" s="24">
        <f t="shared" si="16"/>
        <v>70</v>
      </c>
      <c r="BB72" s="24">
        <f t="shared" si="16"/>
        <v>60</v>
      </c>
      <c r="BC72" s="24">
        <f t="shared" si="16"/>
        <v>50</v>
      </c>
      <c r="BD72" s="24">
        <f t="shared" si="16"/>
        <v>40</v>
      </c>
      <c r="BE72" s="24">
        <f t="shared" si="16"/>
        <v>30</v>
      </c>
      <c r="BF72" s="24">
        <f t="shared" si="16"/>
        <v>20</v>
      </c>
      <c r="BG72" s="24">
        <f t="shared" si="16"/>
        <v>10</v>
      </c>
      <c r="BH72" s="24">
        <f t="shared" si="16"/>
        <v>0</v>
      </c>
      <c r="BI72" s="24">
        <f t="shared" si="16"/>
        <v>-10</v>
      </c>
      <c r="BJ72" s="24">
        <f t="shared" si="16"/>
        <v>-20</v>
      </c>
      <c r="BK72" s="24">
        <f t="shared" si="16"/>
        <v>-30</v>
      </c>
      <c r="BL72" s="24">
        <f t="shared" si="16"/>
        <v>-40</v>
      </c>
      <c r="BM72" s="24">
        <f t="shared" si="16"/>
        <v>-50</v>
      </c>
      <c r="BN72" s="24">
        <f t="shared" si="16"/>
        <v>-60</v>
      </c>
      <c r="BO72" s="24">
        <f t="shared" si="16"/>
        <v>-70</v>
      </c>
      <c r="BP72" s="24">
        <f t="shared" si="16"/>
        <v>-80</v>
      </c>
      <c r="BQ72" s="24">
        <f t="shared" si="16"/>
        <v>-90</v>
      </c>
      <c r="BR72" s="24">
        <f t="shared" si="16"/>
        <v>-100</v>
      </c>
      <c r="BX72" s="25"/>
    </row>
    <row r="73" spans="1:76" ht="12.75" hidden="1" outlineLevel="1" x14ac:dyDescent="0.2">
      <c r="A73" s="26"/>
      <c r="B73" s="27"/>
      <c r="C73" s="27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9" t="s">
        <v>11</v>
      </c>
      <c r="AY73" s="29">
        <f t="shared" ref="AY73:BR73" si="17">$I72*AY$3-$J72*AY$4-$K72*AY$5</f>
        <v>10</v>
      </c>
      <c r="AZ73" s="29">
        <f t="shared" si="17"/>
        <v>10</v>
      </c>
      <c r="BA73" s="29">
        <f t="shared" si="17"/>
        <v>10</v>
      </c>
      <c r="BB73" s="29">
        <f t="shared" si="17"/>
        <v>10</v>
      </c>
      <c r="BC73" s="29">
        <f t="shared" si="17"/>
        <v>10</v>
      </c>
      <c r="BD73" s="29">
        <f t="shared" si="17"/>
        <v>10</v>
      </c>
      <c r="BE73" s="29">
        <f t="shared" si="17"/>
        <v>10</v>
      </c>
      <c r="BF73" s="29">
        <f t="shared" si="17"/>
        <v>10</v>
      </c>
      <c r="BG73" s="29">
        <f t="shared" si="17"/>
        <v>10</v>
      </c>
      <c r="BH73" s="29">
        <f t="shared" si="17"/>
        <v>10</v>
      </c>
      <c r="BI73" s="29">
        <f t="shared" si="17"/>
        <v>10</v>
      </c>
      <c r="BJ73" s="29">
        <f t="shared" si="17"/>
        <v>10</v>
      </c>
      <c r="BK73" s="29">
        <f t="shared" si="17"/>
        <v>10</v>
      </c>
      <c r="BL73" s="29">
        <f t="shared" si="17"/>
        <v>10</v>
      </c>
      <c r="BM73" s="29">
        <f t="shared" si="17"/>
        <v>10</v>
      </c>
      <c r="BN73" s="29">
        <f t="shared" si="17"/>
        <v>10</v>
      </c>
      <c r="BO73" s="29">
        <f t="shared" si="17"/>
        <v>10</v>
      </c>
      <c r="BP73" s="29">
        <f t="shared" si="17"/>
        <v>10</v>
      </c>
      <c r="BQ73" s="29">
        <f t="shared" si="17"/>
        <v>10</v>
      </c>
      <c r="BR73" s="30">
        <f t="shared" si="17"/>
        <v>10</v>
      </c>
    </row>
    <row r="74" spans="1:76" ht="12.75" hidden="1" outlineLevel="1" x14ac:dyDescent="0.2">
      <c r="A74" s="31"/>
      <c r="B74" s="32"/>
      <c r="C74" s="32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4" t="s">
        <v>12</v>
      </c>
      <c r="AY74" s="35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6"/>
    </row>
    <row r="75" spans="1:76" ht="12.75" collapsed="1" x14ac:dyDescent="0.2">
      <c r="A75" s="21" t="s">
        <v>30</v>
      </c>
      <c r="B75" s="21" t="s">
        <v>31</v>
      </c>
      <c r="C75" s="21"/>
      <c r="D75" s="22" t="s">
        <v>32</v>
      </c>
      <c r="E75" s="22">
        <v>4</v>
      </c>
      <c r="F75" s="22">
        <f>SUMIF(stock_on_hand!A:A,A75,stock_on_hand!C:C)</f>
        <v>312</v>
      </c>
      <c r="G75" s="22"/>
      <c r="H75" s="22" t="s">
        <v>10</v>
      </c>
      <c r="I75" s="22">
        <v>0.25</v>
      </c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3" t="str">
        <f>IF(G75&gt;0,IF(AY75&lt;(0.8*G75),"WARNING!!!",IF(AY75&lt;G75,"ORDER","OK")),IF((VLOOKUP(A75,A:BR,51+E75,0))&lt;0,"WARNING!!!",IF((VLOOKUP(A75,A:BR,51+ROUND(1.25*E75,0),0))&lt;0,"ORDER","OK")))</f>
        <v>OK</v>
      </c>
      <c r="AY75" s="24">
        <f>F75-AY76+AY77</f>
        <v>309.5</v>
      </c>
      <c r="AZ75" s="24">
        <f t="shared" ref="AZ75:BR75" si="18">AY75-AZ76+AZ77</f>
        <v>307</v>
      </c>
      <c r="BA75" s="24">
        <f t="shared" si="18"/>
        <v>304.5</v>
      </c>
      <c r="BB75" s="24">
        <f t="shared" si="18"/>
        <v>302</v>
      </c>
      <c r="BC75" s="24">
        <f t="shared" si="18"/>
        <v>299.5</v>
      </c>
      <c r="BD75" s="24">
        <f t="shared" si="18"/>
        <v>297</v>
      </c>
      <c r="BE75" s="24">
        <f t="shared" si="18"/>
        <v>294.5</v>
      </c>
      <c r="BF75" s="24">
        <f t="shared" si="18"/>
        <v>292</v>
      </c>
      <c r="BG75" s="24">
        <f t="shared" si="18"/>
        <v>289.5</v>
      </c>
      <c r="BH75" s="24">
        <f t="shared" si="18"/>
        <v>287</v>
      </c>
      <c r="BI75" s="24">
        <f t="shared" si="18"/>
        <v>284.5</v>
      </c>
      <c r="BJ75" s="24">
        <f t="shared" si="18"/>
        <v>282</v>
      </c>
      <c r="BK75" s="24">
        <f t="shared" si="18"/>
        <v>279.5</v>
      </c>
      <c r="BL75" s="24">
        <f t="shared" si="18"/>
        <v>277</v>
      </c>
      <c r="BM75" s="24">
        <f t="shared" si="18"/>
        <v>274.5</v>
      </c>
      <c r="BN75" s="24">
        <f t="shared" si="18"/>
        <v>272</v>
      </c>
      <c r="BO75" s="24">
        <f t="shared" si="18"/>
        <v>269.5</v>
      </c>
      <c r="BP75" s="24">
        <f t="shared" si="18"/>
        <v>267</v>
      </c>
      <c r="BQ75" s="24">
        <f t="shared" si="18"/>
        <v>264.5</v>
      </c>
      <c r="BR75" s="24">
        <f t="shared" si="18"/>
        <v>262</v>
      </c>
      <c r="BX75" s="25"/>
    </row>
    <row r="76" spans="1:76" ht="12.75" hidden="1" outlineLevel="1" x14ac:dyDescent="0.2">
      <c r="A76" s="26"/>
      <c r="B76" s="27"/>
      <c r="C76" s="27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9" t="s">
        <v>11</v>
      </c>
      <c r="AY76" s="29">
        <f t="shared" ref="AY76:BR76" si="19">$I75*AY$3-$J75*AY$4-$K75*AY$5</f>
        <v>2.5</v>
      </c>
      <c r="AZ76" s="29">
        <f t="shared" si="19"/>
        <v>2.5</v>
      </c>
      <c r="BA76" s="29">
        <f t="shared" si="19"/>
        <v>2.5</v>
      </c>
      <c r="BB76" s="29">
        <f t="shared" si="19"/>
        <v>2.5</v>
      </c>
      <c r="BC76" s="29">
        <f t="shared" si="19"/>
        <v>2.5</v>
      </c>
      <c r="BD76" s="29">
        <f t="shared" si="19"/>
        <v>2.5</v>
      </c>
      <c r="BE76" s="29">
        <f t="shared" si="19"/>
        <v>2.5</v>
      </c>
      <c r="BF76" s="29">
        <f t="shared" si="19"/>
        <v>2.5</v>
      </c>
      <c r="BG76" s="29">
        <f t="shared" si="19"/>
        <v>2.5</v>
      </c>
      <c r="BH76" s="29">
        <f t="shared" si="19"/>
        <v>2.5</v>
      </c>
      <c r="BI76" s="29">
        <f t="shared" si="19"/>
        <v>2.5</v>
      </c>
      <c r="BJ76" s="29">
        <f t="shared" si="19"/>
        <v>2.5</v>
      </c>
      <c r="BK76" s="29">
        <f t="shared" si="19"/>
        <v>2.5</v>
      </c>
      <c r="BL76" s="29">
        <f t="shared" si="19"/>
        <v>2.5</v>
      </c>
      <c r="BM76" s="29">
        <f t="shared" si="19"/>
        <v>2.5</v>
      </c>
      <c r="BN76" s="29">
        <f t="shared" si="19"/>
        <v>2.5</v>
      </c>
      <c r="BO76" s="29">
        <f t="shared" si="19"/>
        <v>2.5</v>
      </c>
      <c r="BP76" s="29">
        <f t="shared" si="19"/>
        <v>2.5</v>
      </c>
      <c r="BQ76" s="29">
        <f t="shared" si="19"/>
        <v>2.5</v>
      </c>
      <c r="BR76" s="30">
        <f t="shared" si="19"/>
        <v>2.5</v>
      </c>
    </row>
    <row r="77" spans="1:76" ht="12.75" hidden="1" outlineLevel="1" x14ac:dyDescent="0.2">
      <c r="A77" s="31"/>
      <c r="B77" s="32"/>
      <c r="C77" s="32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4" t="s">
        <v>12</v>
      </c>
      <c r="AY77" s="35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6"/>
    </row>
    <row r="78" spans="1:76" ht="12.75" collapsed="1" x14ac:dyDescent="0.2">
      <c r="A78" s="21" t="s">
        <v>33</v>
      </c>
      <c r="B78" s="21" t="s">
        <v>34</v>
      </c>
      <c r="C78" s="21"/>
      <c r="D78" s="22" t="s">
        <v>35</v>
      </c>
      <c r="E78" s="22">
        <v>3</v>
      </c>
      <c r="F78" s="22">
        <f>SUMIF(stock_on_hand!A:A,A78,stock_on_hand!C:C)</f>
        <v>211</v>
      </c>
      <c r="G78" s="22"/>
      <c r="H78" s="22" t="s">
        <v>10</v>
      </c>
      <c r="I78" s="22">
        <v>2</v>
      </c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3" t="str">
        <f>IF(G78&gt;0,IF(AY78&lt;(0.8*G78),"WARNING!!!",IF(AY78&lt;G78,"ORDER","OK")),IF((VLOOKUP(A78,A:BR,51+E78,0))&lt;0,"WARNING!!!",IF((VLOOKUP(A78,A:BR,51+ROUND(1.25*E78,0),0))&lt;0,"ORDER","OK")))</f>
        <v>OK</v>
      </c>
      <c r="AY78" s="24">
        <f>F78-AY79+AY80</f>
        <v>191</v>
      </c>
      <c r="AZ78" s="24">
        <f t="shared" ref="AZ78:BR78" si="20">AY78-AZ79+AZ80</f>
        <v>171</v>
      </c>
      <c r="BA78" s="24">
        <f t="shared" si="20"/>
        <v>151</v>
      </c>
      <c r="BB78" s="24">
        <f t="shared" si="20"/>
        <v>131</v>
      </c>
      <c r="BC78" s="24">
        <f t="shared" si="20"/>
        <v>111</v>
      </c>
      <c r="BD78" s="24">
        <f t="shared" si="20"/>
        <v>91</v>
      </c>
      <c r="BE78" s="24">
        <f t="shared" si="20"/>
        <v>71</v>
      </c>
      <c r="BF78" s="24">
        <f t="shared" si="20"/>
        <v>51</v>
      </c>
      <c r="BG78" s="24">
        <f t="shared" si="20"/>
        <v>31</v>
      </c>
      <c r="BH78" s="24">
        <f t="shared" si="20"/>
        <v>11</v>
      </c>
      <c r="BI78" s="24">
        <f t="shared" si="20"/>
        <v>-9</v>
      </c>
      <c r="BJ78" s="24">
        <f t="shared" si="20"/>
        <v>-29</v>
      </c>
      <c r="BK78" s="24">
        <f t="shared" si="20"/>
        <v>-49</v>
      </c>
      <c r="BL78" s="24">
        <f t="shared" si="20"/>
        <v>-69</v>
      </c>
      <c r="BM78" s="24">
        <f t="shared" si="20"/>
        <v>-89</v>
      </c>
      <c r="BN78" s="24">
        <f t="shared" si="20"/>
        <v>-109</v>
      </c>
      <c r="BO78" s="24">
        <f t="shared" si="20"/>
        <v>-129</v>
      </c>
      <c r="BP78" s="24">
        <f t="shared" si="20"/>
        <v>-149</v>
      </c>
      <c r="BQ78" s="24">
        <f t="shared" si="20"/>
        <v>-169</v>
      </c>
      <c r="BR78" s="24">
        <f t="shared" si="20"/>
        <v>-189</v>
      </c>
      <c r="BX78" s="25"/>
    </row>
    <row r="79" spans="1:76" ht="12.75" hidden="1" outlineLevel="1" x14ac:dyDescent="0.2">
      <c r="A79" s="26"/>
      <c r="B79" s="27"/>
      <c r="C79" s="27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9" t="s">
        <v>11</v>
      </c>
      <c r="AY79" s="29">
        <f t="shared" ref="AY79:BR79" si="21">$I78*AY$3-$J78*AY$4-$K78*AY$5</f>
        <v>20</v>
      </c>
      <c r="AZ79" s="29">
        <f t="shared" si="21"/>
        <v>20</v>
      </c>
      <c r="BA79" s="29">
        <f t="shared" si="21"/>
        <v>20</v>
      </c>
      <c r="BB79" s="29">
        <f t="shared" si="21"/>
        <v>20</v>
      </c>
      <c r="BC79" s="29">
        <f t="shared" si="21"/>
        <v>20</v>
      </c>
      <c r="BD79" s="29">
        <f t="shared" si="21"/>
        <v>20</v>
      </c>
      <c r="BE79" s="29">
        <f t="shared" si="21"/>
        <v>20</v>
      </c>
      <c r="BF79" s="29">
        <f t="shared" si="21"/>
        <v>20</v>
      </c>
      <c r="BG79" s="29">
        <f t="shared" si="21"/>
        <v>20</v>
      </c>
      <c r="BH79" s="29">
        <f t="shared" si="21"/>
        <v>20</v>
      </c>
      <c r="BI79" s="29">
        <f t="shared" si="21"/>
        <v>20</v>
      </c>
      <c r="BJ79" s="29">
        <f t="shared" si="21"/>
        <v>20</v>
      </c>
      <c r="BK79" s="29">
        <f t="shared" si="21"/>
        <v>20</v>
      </c>
      <c r="BL79" s="29">
        <f t="shared" si="21"/>
        <v>20</v>
      </c>
      <c r="BM79" s="29">
        <f t="shared" si="21"/>
        <v>20</v>
      </c>
      <c r="BN79" s="29">
        <f t="shared" si="21"/>
        <v>20</v>
      </c>
      <c r="BO79" s="29">
        <f t="shared" si="21"/>
        <v>20</v>
      </c>
      <c r="BP79" s="29">
        <f t="shared" si="21"/>
        <v>20</v>
      </c>
      <c r="BQ79" s="29">
        <f t="shared" si="21"/>
        <v>20</v>
      </c>
      <c r="BR79" s="30">
        <f t="shared" si="21"/>
        <v>20</v>
      </c>
    </row>
    <row r="80" spans="1:76" ht="12.75" hidden="1" outlineLevel="1" x14ac:dyDescent="0.2">
      <c r="A80" s="31"/>
      <c r="B80" s="32"/>
      <c r="C80" s="32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4" t="s">
        <v>12</v>
      </c>
      <c r="AY80" s="35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6"/>
    </row>
    <row r="81" spans="1:76" ht="12.75" collapsed="1" x14ac:dyDescent="0.2">
      <c r="A81" s="21" t="s">
        <v>36</v>
      </c>
      <c r="B81" s="21" t="s">
        <v>37</v>
      </c>
      <c r="C81" s="21"/>
      <c r="D81" s="22" t="s">
        <v>32</v>
      </c>
      <c r="E81" s="22">
        <v>4</v>
      </c>
      <c r="F81" s="22">
        <f>SUMIF(stock_on_hand!A:A,A81,stock_on_hand!C:C)</f>
        <v>302</v>
      </c>
      <c r="G81" s="22"/>
      <c r="H81" s="22" t="s">
        <v>10</v>
      </c>
      <c r="I81" s="22">
        <v>0.125</v>
      </c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3" t="str">
        <f>IF(G81&gt;0,IF(AY81&lt;(0.8*G81),"WARNING!!!",IF(AY81&lt;G81,"ORDER","OK")),IF((VLOOKUP(A81,A:BR,51+E81,0))&lt;0,"WARNING!!!",IF((VLOOKUP(A81,A:BR,51+ROUND(1.25*E81,0),0))&lt;0,"ORDER","OK")))</f>
        <v>OK</v>
      </c>
      <c r="AY81" s="24">
        <f>F81-AY82+AY83</f>
        <v>300.75</v>
      </c>
      <c r="AZ81" s="24">
        <f t="shared" ref="AZ81:BR81" si="22">AY81-AZ82+AZ83</f>
        <v>299.5</v>
      </c>
      <c r="BA81" s="24">
        <f t="shared" si="22"/>
        <v>298.25</v>
      </c>
      <c r="BB81" s="24">
        <f t="shared" si="22"/>
        <v>297</v>
      </c>
      <c r="BC81" s="24">
        <f t="shared" si="22"/>
        <v>295.75</v>
      </c>
      <c r="BD81" s="24">
        <f t="shared" si="22"/>
        <v>294.5</v>
      </c>
      <c r="BE81" s="24">
        <f t="shared" si="22"/>
        <v>293.25</v>
      </c>
      <c r="BF81" s="24">
        <f t="shared" si="22"/>
        <v>292</v>
      </c>
      <c r="BG81" s="24">
        <f t="shared" si="22"/>
        <v>290.75</v>
      </c>
      <c r="BH81" s="24">
        <f t="shared" si="22"/>
        <v>289.5</v>
      </c>
      <c r="BI81" s="24">
        <f t="shared" si="22"/>
        <v>288.25</v>
      </c>
      <c r="BJ81" s="24">
        <f t="shared" si="22"/>
        <v>287</v>
      </c>
      <c r="BK81" s="24">
        <f t="shared" si="22"/>
        <v>285.75</v>
      </c>
      <c r="BL81" s="24">
        <f t="shared" si="22"/>
        <v>284.5</v>
      </c>
      <c r="BM81" s="24">
        <f t="shared" si="22"/>
        <v>283.25</v>
      </c>
      <c r="BN81" s="24">
        <f t="shared" si="22"/>
        <v>282</v>
      </c>
      <c r="BO81" s="24">
        <f t="shared" si="22"/>
        <v>280.75</v>
      </c>
      <c r="BP81" s="24">
        <f t="shared" si="22"/>
        <v>279.5</v>
      </c>
      <c r="BQ81" s="24">
        <f t="shared" si="22"/>
        <v>278.25</v>
      </c>
      <c r="BR81" s="24">
        <f t="shared" si="22"/>
        <v>277</v>
      </c>
      <c r="BX81" s="25"/>
    </row>
    <row r="82" spans="1:76" ht="12.75" hidden="1" outlineLevel="1" x14ac:dyDescent="0.2">
      <c r="A82" s="26"/>
      <c r="B82" s="27"/>
      <c r="C82" s="27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9" t="s">
        <v>11</v>
      </c>
      <c r="AY82" s="29">
        <f t="shared" ref="AY82:BR82" si="23">$I81*AY$3-$J81*AY$4-$K81*AY$5</f>
        <v>1.25</v>
      </c>
      <c r="AZ82" s="29">
        <f t="shared" si="23"/>
        <v>1.25</v>
      </c>
      <c r="BA82" s="29">
        <f t="shared" si="23"/>
        <v>1.25</v>
      </c>
      <c r="BB82" s="29">
        <f t="shared" si="23"/>
        <v>1.25</v>
      </c>
      <c r="BC82" s="29">
        <f t="shared" si="23"/>
        <v>1.25</v>
      </c>
      <c r="BD82" s="29">
        <f t="shared" si="23"/>
        <v>1.25</v>
      </c>
      <c r="BE82" s="29">
        <f t="shared" si="23"/>
        <v>1.25</v>
      </c>
      <c r="BF82" s="29">
        <f t="shared" si="23"/>
        <v>1.25</v>
      </c>
      <c r="BG82" s="29">
        <f t="shared" si="23"/>
        <v>1.25</v>
      </c>
      <c r="BH82" s="29">
        <f t="shared" si="23"/>
        <v>1.25</v>
      </c>
      <c r="BI82" s="29">
        <f t="shared" si="23"/>
        <v>1.25</v>
      </c>
      <c r="BJ82" s="29">
        <f t="shared" si="23"/>
        <v>1.25</v>
      </c>
      <c r="BK82" s="29">
        <f t="shared" si="23"/>
        <v>1.25</v>
      </c>
      <c r="BL82" s="29">
        <f t="shared" si="23"/>
        <v>1.25</v>
      </c>
      <c r="BM82" s="29">
        <f t="shared" si="23"/>
        <v>1.25</v>
      </c>
      <c r="BN82" s="29">
        <f t="shared" si="23"/>
        <v>1.25</v>
      </c>
      <c r="BO82" s="29">
        <f t="shared" si="23"/>
        <v>1.25</v>
      </c>
      <c r="BP82" s="29">
        <f t="shared" si="23"/>
        <v>1.25</v>
      </c>
      <c r="BQ82" s="29">
        <f t="shared" si="23"/>
        <v>1.25</v>
      </c>
      <c r="BR82" s="30">
        <f t="shared" si="23"/>
        <v>1.25</v>
      </c>
    </row>
    <row r="83" spans="1:76" ht="12.75" hidden="1" outlineLevel="1" x14ac:dyDescent="0.2">
      <c r="A83" s="31"/>
      <c r="B83" s="32"/>
      <c r="C83" s="32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4" t="s">
        <v>12</v>
      </c>
      <c r="AY83" s="35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6"/>
    </row>
    <row r="84" spans="1:76" ht="12.75" collapsed="1" x14ac:dyDescent="0.2">
      <c r="A84" s="21" t="s">
        <v>38</v>
      </c>
      <c r="B84" s="21" t="s">
        <v>39</v>
      </c>
      <c r="C84" s="21"/>
      <c r="D84" s="22" t="s">
        <v>32</v>
      </c>
      <c r="E84" s="22">
        <v>4</v>
      </c>
      <c r="F84" s="22">
        <f>SUMIF(stock_on_hand!A:A,A84,stock_on_hand!C:C)</f>
        <v>76</v>
      </c>
      <c r="G84" s="22"/>
      <c r="H84" s="22" t="s">
        <v>10</v>
      </c>
      <c r="I84" s="22">
        <v>0.5</v>
      </c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3" t="str">
        <f>IF(G84&gt;0,IF(AY84&lt;(0.8*G84),"WARNING!!!",IF(AY84&lt;G84,"ORDER","OK")),IF((VLOOKUP(A84,A:BR,51+E84,0))&lt;0,"WARNING!!!",IF((VLOOKUP(A84,A:BR,51+ROUND(1.25*E84,0),0))&lt;0,"ORDER","OK")))</f>
        <v>OK</v>
      </c>
      <c r="AY84" s="24">
        <f>F84-AY85+AY86</f>
        <v>71</v>
      </c>
      <c r="AZ84" s="24">
        <f t="shared" ref="AZ84:BR84" si="24">AY84-AZ85+AZ86</f>
        <v>66</v>
      </c>
      <c r="BA84" s="24">
        <f t="shared" si="24"/>
        <v>61</v>
      </c>
      <c r="BB84" s="24">
        <f t="shared" si="24"/>
        <v>56</v>
      </c>
      <c r="BC84" s="24">
        <f t="shared" si="24"/>
        <v>51</v>
      </c>
      <c r="BD84" s="24">
        <f t="shared" si="24"/>
        <v>46</v>
      </c>
      <c r="BE84" s="24">
        <f t="shared" si="24"/>
        <v>41</v>
      </c>
      <c r="BF84" s="24">
        <f t="shared" si="24"/>
        <v>36</v>
      </c>
      <c r="BG84" s="24">
        <f t="shared" si="24"/>
        <v>31</v>
      </c>
      <c r="BH84" s="24">
        <f t="shared" si="24"/>
        <v>26</v>
      </c>
      <c r="BI84" s="24">
        <f t="shared" si="24"/>
        <v>21</v>
      </c>
      <c r="BJ84" s="24">
        <f t="shared" si="24"/>
        <v>16</v>
      </c>
      <c r="BK84" s="24">
        <f t="shared" si="24"/>
        <v>11</v>
      </c>
      <c r="BL84" s="24">
        <f t="shared" si="24"/>
        <v>6</v>
      </c>
      <c r="BM84" s="24">
        <f t="shared" si="24"/>
        <v>1</v>
      </c>
      <c r="BN84" s="24">
        <f t="shared" si="24"/>
        <v>-4</v>
      </c>
      <c r="BO84" s="24">
        <f t="shared" si="24"/>
        <v>-9</v>
      </c>
      <c r="BP84" s="24">
        <f t="shared" si="24"/>
        <v>-14</v>
      </c>
      <c r="BQ84" s="24">
        <f t="shared" si="24"/>
        <v>-19</v>
      </c>
      <c r="BR84" s="24">
        <f t="shared" si="24"/>
        <v>-24</v>
      </c>
      <c r="BX84" s="25"/>
    </row>
    <row r="85" spans="1:76" ht="12.75" hidden="1" outlineLevel="1" x14ac:dyDescent="0.2">
      <c r="A85" s="26"/>
      <c r="B85" s="27"/>
      <c r="C85" s="27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9" t="s">
        <v>11</v>
      </c>
      <c r="AY85" s="29">
        <f t="shared" ref="AY85:BR85" si="25">$I84*AY$3-$J84*AY$4-$K84*AY$5</f>
        <v>5</v>
      </c>
      <c r="AZ85" s="29">
        <f t="shared" si="25"/>
        <v>5</v>
      </c>
      <c r="BA85" s="29">
        <f t="shared" si="25"/>
        <v>5</v>
      </c>
      <c r="BB85" s="29">
        <f t="shared" si="25"/>
        <v>5</v>
      </c>
      <c r="BC85" s="29">
        <f t="shared" si="25"/>
        <v>5</v>
      </c>
      <c r="BD85" s="29">
        <f t="shared" si="25"/>
        <v>5</v>
      </c>
      <c r="BE85" s="29">
        <f t="shared" si="25"/>
        <v>5</v>
      </c>
      <c r="BF85" s="29">
        <f t="shared" si="25"/>
        <v>5</v>
      </c>
      <c r="BG85" s="29">
        <f t="shared" si="25"/>
        <v>5</v>
      </c>
      <c r="BH85" s="29">
        <f t="shared" si="25"/>
        <v>5</v>
      </c>
      <c r="BI85" s="29">
        <f t="shared" si="25"/>
        <v>5</v>
      </c>
      <c r="BJ85" s="29">
        <f t="shared" si="25"/>
        <v>5</v>
      </c>
      <c r="BK85" s="29">
        <f t="shared" si="25"/>
        <v>5</v>
      </c>
      <c r="BL85" s="29">
        <f t="shared" si="25"/>
        <v>5</v>
      </c>
      <c r="BM85" s="29">
        <f t="shared" si="25"/>
        <v>5</v>
      </c>
      <c r="BN85" s="29">
        <f t="shared" si="25"/>
        <v>5</v>
      </c>
      <c r="BO85" s="29">
        <f t="shared" si="25"/>
        <v>5</v>
      </c>
      <c r="BP85" s="29">
        <f t="shared" si="25"/>
        <v>5</v>
      </c>
      <c r="BQ85" s="29">
        <f t="shared" si="25"/>
        <v>5</v>
      </c>
      <c r="BR85" s="30">
        <f t="shared" si="25"/>
        <v>5</v>
      </c>
    </row>
    <row r="86" spans="1:76" ht="12.75" hidden="1" outlineLevel="1" x14ac:dyDescent="0.2">
      <c r="A86" s="31"/>
      <c r="B86" s="32"/>
      <c r="C86" s="32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4" t="s">
        <v>12</v>
      </c>
      <c r="AY86" s="35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6"/>
    </row>
    <row r="87" spans="1:76" ht="12.75" collapsed="1" x14ac:dyDescent="0.2">
      <c r="A87" s="21" t="s">
        <v>40</v>
      </c>
      <c r="B87" s="21" t="s">
        <v>41</v>
      </c>
      <c r="C87" s="21"/>
      <c r="D87" s="22" t="s">
        <v>32</v>
      </c>
      <c r="E87" s="22">
        <v>4</v>
      </c>
      <c r="F87" s="22">
        <f>SUMIF(stock_on_hand!A:A,A87,stock_on_hand!C:C)</f>
        <v>51</v>
      </c>
      <c r="G87" s="22"/>
      <c r="H87" s="22" t="s">
        <v>10</v>
      </c>
      <c r="I87" s="22">
        <v>0.6</v>
      </c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3" t="str">
        <f>IF(G87&gt;0,IF(AY87&lt;(0.8*G87),"WARNING!!!",IF(AY87&lt;G87,"ORDER","OK")),IF((VLOOKUP(A87,A:BR,51+E87,0))&lt;0,"WARNING!!!",IF((VLOOKUP(A87,A:BR,51+ROUND(1.25*E87,0),0))&lt;0,"ORDER","OK")))</f>
        <v>OK</v>
      </c>
      <c r="AY87" s="24">
        <f>F87-AY88+AY89</f>
        <v>45</v>
      </c>
      <c r="AZ87" s="24">
        <f t="shared" ref="AZ87:BR87" si="26">AY87-AZ88+AZ89</f>
        <v>39</v>
      </c>
      <c r="BA87" s="24">
        <f t="shared" si="26"/>
        <v>33</v>
      </c>
      <c r="BB87" s="24">
        <f t="shared" si="26"/>
        <v>27</v>
      </c>
      <c r="BC87" s="24">
        <f t="shared" si="26"/>
        <v>21</v>
      </c>
      <c r="BD87" s="24">
        <f t="shared" si="26"/>
        <v>15</v>
      </c>
      <c r="BE87" s="24">
        <f t="shared" si="26"/>
        <v>9</v>
      </c>
      <c r="BF87" s="24">
        <f t="shared" si="26"/>
        <v>3</v>
      </c>
      <c r="BG87" s="24">
        <f t="shared" si="26"/>
        <v>-3</v>
      </c>
      <c r="BH87" s="24">
        <f t="shared" si="26"/>
        <v>-9</v>
      </c>
      <c r="BI87" s="24">
        <f t="shared" si="26"/>
        <v>-15</v>
      </c>
      <c r="BJ87" s="24">
        <f t="shared" si="26"/>
        <v>-21</v>
      </c>
      <c r="BK87" s="24">
        <f t="shared" si="26"/>
        <v>-27</v>
      </c>
      <c r="BL87" s="24">
        <f t="shared" si="26"/>
        <v>-33</v>
      </c>
      <c r="BM87" s="24">
        <f t="shared" si="26"/>
        <v>-39</v>
      </c>
      <c r="BN87" s="24">
        <f t="shared" si="26"/>
        <v>-45</v>
      </c>
      <c r="BO87" s="24">
        <f t="shared" si="26"/>
        <v>-51</v>
      </c>
      <c r="BP87" s="24">
        <f t="shared" si="26"/>
        <v>-57</v>
      </c>
      <c r="BQ87" s="24">
        <f t="shared" si="26"/>
        <v>-63</v>
      </c>
      <c r="BR87" s="24">
        <f t="shared" si="26"/>
        <v>-69</v>
      </c>
      <c r="BX87" s="25"/>
    </row>
    <row r="88" spans="1:76" ht="12.75" hidden="1" outlineLevel="1" x14ac:dyDescent="0.2">
      <c r="A88" s="26"/>
      <c r="B88" s="27"/>
      <c r="C88" s="27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9" t="s">
        <v>11</v>
      </c>
      <c r="AY88" s="29">
        <f t="shared" ref="AY88:BR88" si="27">$I87*AY$3-$J87*AY$4-$K87*AY$5</f>
        <v>6</v>
      </c>
      <c r="AZ88" s="29">
        <f t="shared" si="27"/>
        <v>6</v>
      </c>
      <c r="BA88" s="29">
        <f t="shared" si="27"/>
        <v>6</v>
      </c>
      <c r="BB88" s="29">
        <f t="shared" si="27"/>
        <v>6</v>
      </c>
      <c r="BC88" s="29">
        <f t="shared" si="27"/>
        <v>6</v>
      </c>
      <c r="BD88" s="29">
        <f t="shared" si="27"/>
        <v>6</v>
      </c>
      <c r="BE88" s="29">
        <f t="shared" si="27"/>
        <v>6</v>
      </c>
      <c r="BF88" s="29">
        <f t="shared" si="27"/>
        <v>6</v>
      </c>
      <c r="BG88" s="29">
        <f t="shared" si="27"/>
        <v>6</v>
      </c>
      <c r="BH88" s="29">
        <f t="shared" si="27"/>
        <v>6</v>
      </c>
      <c r="BI88" s="29">
        <f t="shared" si="27"/>
        <v>6</v>
      </c>
      <c r="BJ88" s="29">
        <f t="shared" si="27"/>
        <v>6</v>
      </c>
      <c r="BK88" s="29">
        <f t="shared" si="27"/>
        <v>6</v>
      </c>
      <c r="BL88" s="29">
        <f t="shared" si="27"/>
        <v>6</v>
      </c>
      <c r="BM88" s="29">
        <f t="shared" si="27"/>
        <v>6</v>
      </c>
      <c r="BN88" s="29">
        <f t="shared" si="27"/>
        <v>6</v>
      </c>
      <c r="BO88" s="29">
        <f t="shared" si="27"/>
        <v>6</v>
      </c>
      <c r="BP88" s="29">
        <f t="shared" si="27"/>
        <v>6</v>
      </c>
      <c r="BQ88" s="29">
        <f t="shared" si="27"/>
        <v>6</v>
      </c>
      <c r="BR88" s="30">
        <f t="shared" si="27"/>
        <v>6</v>
      </c>
    </row>
    <row r="89" spans="1:76" ht="12.75" hidden="1" outlineLevel="1" x14ac:dyDescent="0.2">
      <c r="A89" s="31"/>
      <c r="B89" s="32"/>
      <c r="C89" s="32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4" t="s">
        <v>12</v>
      </c>
      <c r="AY89" s="35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6"/>
    </row>
    <row r="90" spans="1:76" ht="12.75" collapsed="1" x14ac:dyDescent="0.2">
      <c r="A90" s="21" t="s">
        <v>42</v>
      </c>
      <c r="B90" s="21" t="s">
        <v>43</v>
      </c>
      <c r="C90" s="21"/>
      <c r="D90" s="22" t="s">
        <v>32</v>
      </c>
      <c r="E90" s="22">
        <v>4</v>
      </c>
      <c r="F90" s="22">
        <f>SUMIF(stock_on_hand!A:A,A90,stock_on_hand!C:C)</f>
        <v>184</v>
      </c>
      <c r="G90" s="22"/>
      <c r="H90" s="22" t="s">
        <v>10</v>
      </c>
      <c r="I90" s="22">
        <v>0.18</v>
      </c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3" t="str">
        <f>IF(G90&gt;0,IF(AY90&lt;(0.8*G90),"WARNING!!!",IF(AY90&lt;G90,"ORDER","OK")),IF((VLOOKUP(A90,A:BR,51+E90,0))&lt;0,"WARNING!!!",IF((VLOOKUP(A90,A:BR,51+ROUND(1.25*E90,0),0))&lt;0,"ORDER","OK")))</f>
        <v>OK</v>
      </c>
      <c r="AY90" s="24">
        <f>F90-AY91+AY92</f>
        <v>182.2</v>
      </c>
      <c r="AZ90" s="24">
        <f t="shared" ref="AZ90:BR90" si="28">AY90-AZ91+AZ92</f>
        <v>180.39999999999998</v>
      </c>
      <c r="BA90" s="24">
        <f t="shared" si="28"/>
        <v>178.59999999999997</v>
      </c>
      <c r="BB90" s="24">
        <f t="shared" si="28"/>
        <v>176.79999999999995</v>
      </c>
      <c r="BC90" s="24">
        <f t="shared" si="28"/>
        <v>174.99999999999994</v>
      </c>
      <c r="BD90" s="24">
        <f t="shared" si="28"/>
        <v>173.19999999999993</v>
      </c>
      <c r="BE90" s="24">
        <f t="shared" si="28"/>
        <v>171.39999999999992</v>
      </c>
      <c r="BF90" s="24">
        <f t="shared" si="28"/>
        <v>169.59999999999991</v>
      </c>
      <c r="BG90" s="24">
        <f t="shared" si="28"/>
        <v>167.7999999999999</v>
      </c>
      <c r="BH90" s="24">
        <f t="shared" si="28"/>
        <v>165.99999999999989</v>
      </c>
      <c r="BI90" s="24">
        <f t="shared" si="28"/>
        <v>164.19999999999987</v>
      </c>
      <c r="BJ90" s="24">
        <f t="shared" si="28"/>
        <v>162.39999999999986</v>
      </c>
      <c r="BK90" s="24">
        <f t="shared" si="28"/>
        <v>160.59999999999985</v>
      </c>
      <c r="BL90" s="24">
        <f t="shared" si="28"/>
        <v>158.79999999999984</v>
      </c>
      <c r="BM90" s="24">
        <f t="shared" si="28"/>
        <v>156.99999999999983</v>
      </c>
      <c r="BN90" s="24">
        <f t="shared" si="28"/>
        <v>155.19999999999982</v>
      </c>
      <c r="BO90" s="24">
        <f t="shared" si="28"/>
        <v>153.39999999999981</v>
      </c>
      <c r="BP90" s="24">
        <f t="shared" si="28"/>
        <v>151.5999999999998</v>
      </c>
      <c r="BQ90" s="24">
        <f t="shared" si="28"/>
        <v>149.79999999999978</v>
      </c>
      <c r="BR90" s="24">
        <f t="shared" si="28"/>
        <v>147.99999999999977</v>
      </c>
      <c r="BX90" s="25"/>
    </row>
    <row r="91" spans="1:76" ht="12.75" hidden="1" outlineLevel="1" x14ac:dyDescent="0.2">
      <c r="A91" s="26"/>
      <c r="B91" s="27"/>
      <c r="C91" s="27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9" t="s">
        <v>11</v>
      </c>
      <c r="AY91" s="29">
        <f t="shared" ref="AY91:BR91" si="29">$I90*AY$3-$J90*AY$4-$K90*AY$5</f>
        <v>1.7999999999999998</v>
      </c>
      <c r="AZ91" s="29">
        <f t="shared" si="29"/>
        <v>1.7999999999999998</v>
      </c>
      <c r="BA91" s="29">
        <f t="shared" si="29"/>
        <v>1.7999999999999998</v>
      </c>
      <c r="BB91" s="29">
        <f t="shared" si="29"/>
        <v>1.7999999999999998</v>
      </c>
      <c r="BC91" s="29">
        <f t="shared" si="29"/>
        <v>1.7999999999999998</v>
      </c>
      <c r="BD91" s="29">
        <f t="shared" si="29"/>
        <v>1.7999999999999998</v>
      </c>
      <c r="BE91" s="29">
        <f t="shared" si="29"/>
        <v>1.7999999999999998</v>
      </c>
      <c r="BF91" s="29">
        <f t="shared" si="29"/>
        <v>1.7999999999999998</v>
      </c>
      <c r="BG91" s="29">
        <f t="shared" si="29"/>
        <v>1.7999999999999998</v>
      </c>
      <c r="BH91" s="29">
        <f t="shared" si="29"/>
        <v>1.7999999999999998</v>
      </c>
      <c r="BI91" s="29">
        <f t="shared" si="29"/>
        <v>1.7999999999999998</v>
      </c>
      <c r="BJ91" s="29">
        <f t="shared" si="29"/>
        <v>1.7999999999999998</v>
      </c>
      <c r="BK91" s="29">
        <f t="shared" si="29"/>
        <v>1.7999999999999998</v>
      </c>
      <c r="BL91" s="29">
        <f t="shared" si="29"/>
        <v>1.7999999999999998</v>
      </c>
      <c r="BM91" s="29">
        <f t="shared" si="29"/>
        <v>1.7999999999999998</v>
      </c>
      <c r="BN91" s="29">
        <f t="shared" si="29"/>
        <v>1.7999999999999998</v>
      </c>
      <c r="BO91" s="29">
        <f t="shared" si="29"/>
        <v>1.7999999999999998</v>
      </c>
      <c r="BP91" s="29">
        <f t="shared" si="29"/>
        <v>1.7999999999999998</v>
      </c>
      <c r="BQ91" s="29">
        <f t="shared" si="29"/>
        <v>1.7999999999999998</v>
      </c>
      <c r="BR91" s="30">
        <f t="shared" si="29"/>
        <v>1.7999999999999998</v>
      </c>
    </row>
    <row r="92" spans="1:76" ht="12.75" hidden="1" outlineLevel="1" x14ac:dyDescent="0.2">
      <c r="A92" s="31"/>
      <c r="B92" s="32"/>
      <c r="C92" s="32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4" t="s">
        <v>12</v>
      </c>
      <c r="AY92" s="35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6"/>
    </row>
    <row r="93" spans="1:76" ht="12.75" collapsed="1" x14ac:dyDescent="0.2">
      <c r="A93" s="21" t="s">
        <v>44</v>
      </c>
      <c r="B93" s="21" t="s">
        <v>45</v>
      </c>
      <c r="C93" s="21"/>
      <c r="D93" s="22" t="s">
        <v>46</v>
      </c>
      <c r="E93" s="22">
        <v>2</v>
      </c>
      <c r="F93" s="22">
        <f>SUMIF(stock_on_hand!A:A,A93,stock_on_hand!C:C)</f>
        <v>160</v>
      </c>
      <c r="G93" s="22"/>
      <c r="H93" s="22" t="s">
        <v>16</v>
      </c>
      <c r="I93" s="22">
        <v>1</v>
      </c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3" t="str">
        <f>IF(G93&gt;0,IF(AY93&lt;(0.8*G93),"WARNING!!!",IF(AY93&lt;G93,"ORDER","OK")),IF((VLOOKUP(A93,A:BR,51+E93,0))&lt;0,"WARNING!!!",IF((VLOOKUP(A93,A:BR,51+ROUND(1.25*E93,0),0))&lt;0,"ORDER","OK")))</f>
        <v>OK</v>
      </c>
      <c r="AY93" s="24">
        <f>F93-AY94+AY95</f>
        <v>150</v>
      </c>
      <c r="AZ93" s="24">
        <f t="shared" ref="AZ93:BR93" si="30">AY93-AZ94+AZ95</f>
        <v>140</v>
      </c>
      <c r="BA93" s="24">
        <f t="shared" si="30"/>
        <v>130</v>
      </c>
      <c r="BB93" s="24">
        <f t="shared" si="30"/>
        <v>120</v>
      </c>
      <c r="BC93" s="24">
        <f t="shared" si="30"/>
        <v>110</v>
      </c>
      <c r="BD93" s="24">
        <f t="shared" si="30"/>
        <v>100</v>
      </c>
      <c r="BE93" s="24">
        <f t="shared" si="30"/>
        <v>90</v>
      </c>
      <c r="BF93" s="24">
        <f t="shared" si="30"/>
        <v>80</v>
      </c>
      <c r="BG93" s="24">
        <f t="shared" si="30"/>
        <v>70</v>
      </c>
      <c r="BH93" s="24">
        <f t="shared" si="30"/>
        <v>60</v>
      </c>
      <c r="BI93" s="24">
        <f t="shared" si="30"/>
        <v>50</v>
      </c>
      <c r="BJ93" s="24">
        <f t="shared" si="30"/>
        <v>40</v>
      </c>
      <c r="BK93" s="24">
        <f t="shared" si="30"/>
        <v>30</v>
      </c>
      <c r="BL93" s="24">
        <f t="shared" si="30"/>
        <v>20</v>
      </c>
      <c r="BM93" s="24">
        <f t="shared" si="30"/>
        <v>10</v>
      </c>
      <c r="BN93" s="24">
        <f t="shared" si="30"/>
        <v>0</v>
      </c>
      <c r="BO93" s="24">
        <f t="shared" si="30"/>
        <v>-10</v>
      </c>
      <c r="BP93" s="24">
        <f t="shared" si="30"/>
        <v>-20</v>
      </c>
      <c r="BQ93" s="24">
        <f t="shared" si="30"/>
        <v>-30</v>
      </c>
      <c r="BR93" s="24">
        <f t="shared" si="30"/>
        <v>-40</v>
      </c>
      <c r="BX93" s="25"/>
    </row>
    <row r="94" spans="1:76" ht="12.75" hidden="1" outlineLevel="1" x14ac:dyDescent="0.2">
      <c r="A94" s="26"/>
      <c r="B94" s="27"/>
      <c r="C94" s="27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9" t="s">
        <v>11</v>
      </c>
      <c r="AY94" s="29">
        <f t="shared" ref="AY94:BR94" si="31">$I93*AY$3-$J93*AY$4-$K93*AY$5</f>
        <v>10</v>
      </c>
      <c r="AZ94" s="29">
        <f t="shared" si="31"/>
        <v>10</v>
      </c>
      <c r="BA94" s="29">
        <f t="shared" si="31"/>
        <v>10</v>
      </c>
      <c r="BB94" s="29">
        <f t="shared" si="31"/>
        <v>10</v>
      </c>
      <c r="BC94" s="29">
        <f t="shared" si="31"/>
        <v>10</v>
      </c>
      <c r="BD94" s="29">
        <f t="shared" si="31"/>
        <v>10</v>
      </c>
      <c r="BE94" s="29">
        <f t="shared" si="31"/>
        <v>10</v>
      </c>
      <c r="BF94" s="29">
        <f t="shared" si="31"/>
        <v>10</v>
      </c>
      <c r="BG94" s="29">
        <f t="shared" si="31"/>
        <v>10</v>
      </c>
      <c r="BH94" s="29">
        <f t="shared" si="31"/>
        <v>10</v>
      </c>
      <c r="BI94" s="29">
        <f t="shared" si="31"/>
        <v>10</v>
      </c>
      <c r="BJ94" s="29">
        <f t="shared" si="31"/>
        <v>10</v>
      </c>
      <c r="BK94" s="29">
        <f t="shared" si="31"/>
        <v>10</v>
      </c>
      <c r="BL94" s="29">
        <f t="shared" si="31"/>
        <v>10</v>
      </c>
      <c r="BM94" s="29">
        <f t="shared" si="31"/>
        <v>10</v>
      </c>
      <c r="BN94" s="29">
        <f t="shared" si="31"/>
        <v>10</v>
      </c>
      <c r="BO94" s="29">
        <f t="shared" si="31"/>
        <v>10</v>
      </c>
      <c r="BP94" s="29">
        <f t="shared" si="31"/>
        <v>10</v>
      </c>
      <c r="BQ94" s="29">
        <f t="shared" si="31"/>
        <v>10</v>
      </c>
      <c r="BR94" s="30">
        <f t="shared" si="31"/>
        <v>10</v>
      </c>
    </row>
    <row r="95" spans="1:76" ht="12.75" hidden="1" outlineLevel="1" x14ac:dyDescent="0.2">
      <c r="A95" s="31"/>
      <c r="B95" s="32"/>
      <c r="C95" s="32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4" t="s">
        <v>12</v>
      </c>
      <c r="AY95" s="35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6"/>
    </row>
    <row r="96" spans="1:76" ht="12.75" collapsed="1" x14ac:dyDescent="0.2">
      <c r="A96" s="21" t="s">
        <v>47</v>
      </c>
      <c r="B96" s="21" t="s">
        <v>48</v>
      </c>
      <c r="C96" s="21"/>
      <c r="D96" s="22" t="s">
        <v>46</v>
      </c>
      <c r="E96" s="22">
        <v>2</v>
      </c>
      <c r="F96" s="22">
        <f>SUMIF(stock_on_hand!A:A,A96,stock_on_hand!C:C)</f>
        <v>260</v>
      </c>
      <c r="G96" s="22"/>
      <c r="H96" s="22" t="s">
        <v>16</v>
      </c>
      <c r="I96" s="22">
        <v>1</v>
      </c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3" t="str">
        <f>IF(G96&gt;0,IF(AY96&lt;(0.8*G96),"WARNING!!!",IF(AY96&lt;G96,"ORDER","OK")),IF((VLOOKUP(A96,A:BR,51+E96,0))&lt;0,"WARNING!!!",IF((VLOOKUP(A96,A:BR,51+ROUND(1.25*E96,0),0))&lt;0,"ORDER","OK")))</f>
        <v>OK</v>
      </c>
      <c r="AY96" s="24">
        <f>F96-AY97+AY98</f>
        <v>250</v>
      </c>
      <c r="AZ96" s="24">
        <f t="shared" ref="AZ96:BR96" si="32">AY96-AZ97+AZ98</f>
        <v>240</v>
      </c>
      <c r="BA96" s="24">
        <f t="shared" si="32"/>
        <v>230</v>
      </c>
      <c r="BB96" s="24">
        <f t="shared" si="32"/>
        <v>220</v>
      </c>
      <c r="BC96" s="24">
        <f t="shared" si="32"/>
        <v>210</v>
      </c>
      <c r="BD96" s="24">
        <f t="shared" si="32"/>
        <v>200</v>
      </c>
      <c r="BE96" s="24">
        <f t="shared" si="32"/>
        <v>190</v>
      </c>
      <c r="BF96" s="24">
        <f t="shared" si="32"/>
        <v>180</v>
      </c>
      <c r="BG96" s="24">
        <f t="shared" si="32"/>
        <v>170</v>
      </c>
      <c r="BH96" s="24">
        <f t="shared" si="32"/>
        <v>160</v>
      </c>
      <c r="BI96" s="24">
        <f t="shared" si="32"/>
        <v>150</v>
      </c>
      <c r="BJ96" s="24">
        <f t="shared" si="32"/>
        <v>140</v>
      </c>
      <c r="BK96" s="24">
        <f t="shared" si="32"/>
        <v>130</v>
      </c>
      <c r="BL96" s="24">
        <f t="shared" si="32"/>
        <v>120</v>
      </c>
      <c r="BM96" s="24">
        <f t="shared" si="32"/>
        <v>110</v>
      </c>
      <c r="BN96" s="24">
        <f t="shared" si="32"/>
        <v>100</v>
      </c>
      <c r="BO96" s="24">
        <f t="shared" si="32"/>
        <v>90</v>
      </c>
      <c r="BP96" s="24">
        <f t="shared" si="32"/>
        <v>80</v>
      </c>
      <c r="BQ96" s="24">
        <f t="shared" si="32"/>
        <v>70</v>
      </c>
      <c r="BR96" s="24">
        <f t="shared" si="32"/>
        <v>60</v>
      </c>
      <c r="BX96" s="25"/>
    </row>
    <row r="97" spans="1:76" ht="12.75" hidden="1" outlineLevel="1" x14ac:dyDescent="0.2">
      <c r="A97" s="26"/>
      <c r="B97" s="27"/>
      <c r="C97" s="27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9" t="s">
        <v>11</v>
      </c>
      <c r="AY97" s="29">
        <f t="shared" ref="AY97:BR97" si="33">$I96*AY$3-$J96*AY$4-$K96*AY$5</f>
        <v>10</v>
      </c>
      <c r="AZ97" s="29">
        <f t="shared" si="33"/>
        <v>10</v>
      </c>
      <c r="BA97" s="29">
        <f t="shared" si="33"/>
        <v>10</v>
      </c>
      <c r="BB97" s="29">
        <f t="shared" si="33"/>
        <v>10</v>
      </c>
      <c r="BC97" s="29">
        <f t="shared" si="33"/>
        <v>10</v>
      </c>
      <c r="BD97" s="29">
        <f t="shared" si="33"/>
        <v>10</v>
      </c>
      <c r="BE97" s="29">
        <f t="shared" si="33"/>
        <v>10</v>
      </c>
      <c r="BF97" s="29">
        <f t="shared" si="33"/>
        <v>10</v>
      </c>
      <c r="BG97" s="29">
        <f t="shared" si="33"/>
        <v>10</v>
      </c>
      <c r="BH97" s="29">
        <f t="shared" si="33"/>
        <v>10</v>
      </c>
      <c r="BI97" s="29">
        <f t="shared" si="33"/>
        <v>10</v>
      </c>
      <c r="BJ97" s="29">
        <f t="shared" si="33"/>
        <v>10</v>
      </c>
      <c r="BK97" s="29">
        <f t="shared" si="33"/>
        <v>10</v>
      </c>
      <c r="BL97" s="29">
        <f t="shared" si="33"/>
        <v>10</v>
      </c>
      <c r="BM97" s="29">
        <f t="shared" si="33"/>
        <v>10</v>
      </c>
      <c r="BN97" s="29">
        <f t="shared" si="33"/>
        <v>10</v>
      </c>
      <c r="BO97" s="29">
        <f t="shared" si="33"/>
        <v>10</v>
      </c>
      <c r="BP97" s="29">
        <f t="shared" si="33"/>
        <v>10</v>
      </c>
      <c r="BQ97" s="29">
        <f t="shared" si="33"/>
        <v>10</v>
      </c>
      <c r="BR97" s="30">
        <f t="shared" si="33"/>
        <v>10</v>
      </c>
    </row>
    <row r="98" spans="1:76" ht="12.75" hidden="1" outlineLevel="1" x14ac:dyDescent="0.2">
      <c r="A98" s="31"/>
      <c r="B98" s="32"/>
      <c r="C98" s="32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4" t="s">
        <v>12</v>
      </c>
      <c r="AY98" s="35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6"/>
    </row>
    <row r="99" spans="1:76" ht="12.75" collapsed="1" x14ac:dyDescent="0.2">
      <c r="A99" s="21" t="s">
        <v>49</v>
      </c>
      <c r="B99" s="21" t="s">
        <v>50</v>
      </c>
      <c r="C99" s="21"/>
      <c r="D99" s="22" t="s">
        <v>46</v>
      </c>
      <c r="E99" s="22">
        <v>2</v>
      </c>
      <c r="F99" s="22">
        <f>SUMIF(stock_on_hand!A:A,A99,stock_on_hand!C:C)</f>
        <v>130</v>
      </c>
      <c r="G99" s="22">
        <v>150</v>
      </c>
      <c r="H99" s="22" t="s">
        <v>16</v>
      </c>
      <c r="I99" s="22">
        <v>1</v>
      </c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3" t="str">
        <f>IF(G99&gt;0,IF(AY99&lt;(0.8*G99),"WARNING!!!",IF(AY99&lt;G99,"ORDER","OK")),IF((VLOOKUP(A99,A:BR,51+E99,0))&lt;0,"WARNING!!!",IF((VLOOKUP(A99,A:BR,51+ROUND(1.25*E99,0),0))&lt;0,"ORDER","OK")))</f>
        <v>ORDER</v>
      </c>
      <c r="AY99" s="24">
        <f>F99-AY100+AY101</f>
        <v>120</v>
      </c>
      <c r="AZ99" s="24">
        <f t="shared" ref="AZ99:BR99" si="34">AY99-AZ100+AZ101</f>
        <v>110</v>
      </c>
      <c r="BA99" s="24">
        <f t="shared" si="34"/>
        <v>100</v>
      </c>
      <c r="BB99" s="24">
        <f t="shared" si="34"/>
        <v>90</v>
      </c>
      <c r="BC99" s="24">
        <f t="shared" si="34"/>
        <v>80</v>
      </c>
      <c r="BD99" s="24">
        <f t="shared" si="34"/>
        <v>70</v>
      </c>
      <c r="BE99" s="24">
        <f t="shared" si="34"/>
        <v>60</v>
      </c>
      <c r="BF99" s="24">
        <f t="shared" si="34"/>
        <v>50</v>
      </c>
      <c r="BG99" s="24">
        <f t="shared" si="34"/>
        <v>40</v>
      </c>
      <c r="BH99" s="24">
        <f t="shared" si="34"/>
        <v>30</v>
      </c>
      <c r="BI99" s="24">
        <f t="shared" si="34"/>
        <v>20</v>
      </c>
      <c r="BJ99" s="24">
        <f t="shared" si="34"/>
        <v>10</v>
      </c>
      <c r="BK99" s="24">
        <f t="shared" si="34"/>
        <v>0</v>
      </c>
      <c r="BL99" s="24">
        <f t="shared" si="34"/>
        <v>-10</v>
      </c>
      <c r="BM99" s="24">
        <f t="shared" si="34"/>
        <v>-20</v>
      </c>
      <c r="BN99" s="24">
        <f t="shared" si="34"/>
        <v>-30</v>
      </c>
      <c r="BO99" s="24">
        <f t="shared" si="34"/>
        <v>-40</v>
      </c>
      <c r="BP99" s="24">
        <f t="shared" si="34"/>
        <v>-50</v>
      </c>
      <c r="BQ99" s="24">
        <f t="shared" si="34"/>
        <v>-60</v>
      </c>
      <c r="BR99" s="24">
        <f t="shared" si="34"/>
        <v>-70</v>
      </c>
      <c r="BX99" s="25"/>
    </row>
    <row r="100" spans="1:76" ht="12.75" hidden="1" outlineLevel="1" x14ac:dyDescent="0.2">
      <c r="A100" s="26"/>
      <c r="B100" s="27"/>
      <c r="C100" s="27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9" t="s">
        <v>11</v>
      </c>
      <c r="AY100" s="29">
        <f t="shared" ref="AY100:BR100" si="35">$I99*AY$3-$J99*AY$4-$K99*AY$5</f>
        <v>10</v>
      </c>
      <c r="AZ100" s="29">
        <f t="shared" si="35"/>
        <v>10</v>
      </c>
      <c r="BA100" s="29">
        <f t="shared" si="35"/>
        <v>10</v>
      </c>
      <c r="BB100" s="29">
        <f t="shared" si="35"/>
        <v>10</v>
      </c>
      <c r="BC100" s="29">
        <f t="shared" si="35"/>
        <v>10</v>
      </c>
      <c r="BD100" s="29">
        <f t="shared" si="35"/>
        <v>10</v>
      </c>
      <c r="BE100" s="29">
        <f t="shared" si="35"/>
        <v>10</v>
      </c>
      <c r="BF100" s="29">
        <f t="shared" si="35"/>
        <v>10</v>
      </c>
      <c r="BG100" s="29">
        <f t="shared" si="35"/>
        <v>10</v>
      </c>
      <c r="BH100" s="29">
        <f t="shared" si="35"/>
        <v>10</v>
      </c>
      <c r="BI100" s="29">
        <f t="shared" si="35"/>
        <v>10</v>
      </c>
      <c r="BJ100" s="29">
        <f t="shared" si="35"/>
        <v>10</v>
      </c>
      <c r="BK100" s="29">
        <f t="shared" si="35"/>
        <v>10</v>
      </c>
      <c r="BL100" s="29">
        <f t="shared" si="35"/>
        <v>10</v>
      </c>
      <c r="BM100" s="29">
        <f t="shared" si="35"/>
        <v>10</v>
      </c>
      <c r="BN100" s="29">
        <f t="shared" si="35"/>
        <v>10</v>
      </c>
      <c r="BO100" s="29">
        <f t="shared" si="35"/>
        <v>10</v>
      </c>
      <c r="BP100" s="29">
        <f t="shared" si="35"/>
        <v>10</v>
      </c>
      <c r="BQ100" s="29">
        <f t="shared" si="35"/>
        <v>10</v>
      </c>
      <c r="BR100" s="30">
        <f t="shared" si="35"/>
        <v>10</v>
      </c>
    </row>
    <row r="101" spans="1:76" ht="12.75" hidden="1" outlineLevel="1" x14ac:dyDescent="0.2">
      <c r="A101" s="31"/>
      <c r="B101" s="32"/>
      <c r="C101" s="32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4" t="s">
        <v>12</v>
      </c>
      <c r="AY101" s="35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6"/>
    </row>
    <row r="102" spans="1:76" ht="12.75" collapsed="1" x14ac:dyDescent="0.2">
      <c r="A102" s="21" t="s">
        <v>51</v>
      </c>
      <c r="B102" s="21" t="s">
        <v>52</v>
      </c>
      <c r="C102" s="21"/>
      <c r="D102" s="22" t="s">
        <v>46</v>
      </c>
      <c r="E102" s="22">
        <v>2</v>
      </c>
      <c r="F102" s="22">
        <f>SUMIF(stock_on_hand!A:A,A102,stock_on_hand!C:C)</f>
        <v>189</v>
      </c>
      <c r="G102" s="22"/>
      <c r="H102" s="22" t="s">
        <v>10</v>
      </c>
      <c r="I102" s="22">
        <v>1</v>
      </c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3" t="str">
        <f>IF(G102&gt;0,IF(AY102&lt;(0.8*G102),"WARNING!!!",IF(AY102&lt;G102,"ORDER","OK")),IF((VLOOKUP(A102,A:BR,51+E102,0))&lt;0,"WARNING!!!",IF((VLOOKUP(A102,A:BR,51+ROUND(1.25*E102,0),0))&lt;0,"ORDER","OK")))</f>
        <v>OK</v>
      </c>
      <c r="AY102" s="24">
        <f>F102-AY103+AY104</f>
        <v>179</v>
      </c>
      <c r="AZ102" s="24">
        <f t="shared" ref="AZ102:BR102" si="36">AY102-AZ103+AZ104</f>
        <v>169</v>
      </c>
      <c r="BA102" s="24">
        <f t="shared" si="36"/>
        <v>159</v>
      </c>
      <c r="BB102" s="24">
        <f t="shared" si="36"/>
        <v>149</v>
      </c>
      <c r="BC102" s="24">
        <f t="shared" si="36"/>
        <v>139</v>
      </c>
      <c r="BD102" s="24">
        <f t="shared" si="36"/>
        <v>129</v>
      </c>
      <c r="BE102" s="24">
        <f t="shared" si="36"/>
        <v>119</v>
      </c>
      <c r="BF102" s="24">
        <f t="shared" si="36"/>
        <v>109</v>
      </c>
      <c r="BG102" s="24">
        <f t="shared" si="36"/>
        <v>99</v>
      </c>
      <c r="BH102" s="24">
        <f t="shared" si="36"/>
        <v>89</v>
      </c>
      <c r="BI102" s="24">
        <f t="shared" si="36"/>
        <v>79</v>
      </c>
      <c r="BJ102" s="24">
        <f t="shared" si="36"/>
        <v>69</v>
      </c>
      <c r="BK102" s="24">
        <f t="shared" si="36"/>
        <v>59</v>
      </c>
      <c r="BL102" s="24">
        <f t="shared" si="36"/>
        <v>49</v>
      </c>
      <c r="BM102" s="24">
        <f t="shared" si="36"/>
        <v>39</v>
      </c>
      <c r="BN102" s="24">
        <f t="shared" si="36"/>
        <v>29</v>
      </c>
      <c r="BO102" s="24">
        <f t="shared" si="36"/>
        <v>19</v>
      </c>
      <c r="BP102" s="24">
        <f t="shared" si="36"/>
        <v>9</v>
      </c>
      <c r="BQ102" s="24">
        <f t="shared" si="36"/>
        <v>-1</v>
      </c>
      <c r="BR102" s="24">
        <f t="shared" si="36"/>
        <v>-11</v>
      </c>
      <c r="BX102" s="25"/>
    </row>
    <row r="103" spans="1:76" ht="12.75" hidden="1" outlineLevel="1" x14ac:dyDescent="0.2">
      <c r="A103" s="26"/>
      <c r="B103" s="27"/>
      <c r="C103" s="27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9" t="s">
        <v>11</v>
      </c>
      <c r="AY103" s="29">
        <f t="shared" ref="AY103:BR103" si="37">$I102*AY$3-$J102*AY$4-$K102*AY$5</f>
        <v>10</v>
      </c>
      <c r="AZ103" s="29">
        <f t="shared" si="37"/>
        <v>10</v>
      </c>
      <c r="BA103" s="29">
        <f t="shared" si="37"/>
        <v>10</v>
      </c>
      <c r="BB103" s="29">
        <f t="shared" si="37"/>
        <v>10</v>
      </c>
      <c r="BC103" s="29">
        <f t="shared" si="37"/>
        <v>10</v>
      </c>
      <c r="BD103" s="29">
        <f t="shared" si="37"/>
        <v>10</v>
      </c>
      <c r="BE103" s="29">
        <f t="shared" si="37"/>
        <v>10</v>
      </c>
      <c r="BF103" s="29">
        <f t="shared" si="37"/>
        <v>10</v>
      </c>
      <c r="BG103" s="29">
        <f t="shared" si="37"/>
        <v>10</v>
      </c>
      <c r="BH103" s="29">
        <f t="shared" si="37"/>
        <v>10</v>
      </c>
      <c r="BI103" s="29">
        <f t="shared" si="37"/>
        <v>10</v>
      </c>
      <c r="BJ103" s="29">
        <f t="shared" si="37"/>
        <v>10</v>
      </c>
      <c r="BK103" s="29">
        <f t="shared" si="37"/>
        <v>10</v>
      </c>
      <c r="BL103" s="29">
        <f t="shared" si="37"/>
        <v>10</v>
      </c>
      <c r="BM103" s="29">
        <f t="shared" si="37"/>
        <v>10</v>
      </c>
      <c r="BN103" s="29">
        <f t="shared" si="37"/>
        <v>10</v>
      </c>
      <c r="BO103" s="29">
        <f t="shared" si="37"/>
        <v>10</v>
      </c>
      <c r="BP103" s="29">
        <f t="shared" si="37"/>
        <v>10</v>
      </c>
      <c r="BQ103" s="29">
        <f t="shared" si="37"/>
        <v>10</v>
      </c>
      <c r="BR103" s="30">
        <f t="shared" si="37"/>
        <v>10</v>
      </c>
    </row>
    <row r="104" spans="1:76" ht="12.75" hidden="1" outlineLevel="1" x14ac:dyDescent="0.2">
      <c r="A104" s="31"/>
      <c r="B104" s="32"/>
      <c r="C104" s="32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4" t="s">
        <v>12</v>
      </c>
      <c r="AY104" s="35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6"/>
    </row>
    <row r="105" spans="1:76" ht="12.75" collapsed="1" x14ac:dyDescent="0.2">
      <c r="A105" s="21" t="s">
        <v>53</v>
      </c>
      <c r="B105" s="21" t="s">
        <v>54</v>
      </c>
      <c r="C105" s="21"/>
      <c r="D105" s="22" t="s">
        <v>46</v>
      </c>
      <c r="E105" s="22">
        <v>2</v>
      </c>
      <c r="F105" s="22">
        <f>SUMIF(stock_on_hand!A:A,A105,stock_on_hand!C:C)</f>
        <v>245</v>
      </c>
      <c r="G105" s="22"/>
      <c r="H105" s="22" t="s">
        <v>16</v>
      </c>
      <c r="I105" s="22">
        <v>1</v>
      </c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3" t="str">
        <f>IF(G105&gt;0,IF(AY105&lt;(0.8*G105),"WARNING!!!",IF(AY105&lt;G105,"ORDER","OK")),IF((VLOOKUP(A105,A:BR,51+E105,0))&lt;0,"WARNING!!!",IF((VLOOKUP(A105,A:BR,51+ROUND(1.25*E105,0),0))&lt;0,"ORDER","OK")))</f>
        <v>OK</v>
      </c>
      <c r="AY105" s="24">
        <f>F105-AY106+AY107</f>
        <v>235</v>
      </c>
      <c r="AZ105" s="24">
        <f t="shared" ref="AZ105:BR105" si="38">AY105-AZ106+AZ107</f>
        <v>225</v>
      </c>
      <c r="BA105" s="24">
        <f t="shared" si="38"/>
        <v>215</v>
      </c>
      <c r="BB105" s="24">
        <f t="shared" si="38"/>
        <v>205</v>
      </c>
      <c r="BC105" s="24">
        <f t="shared" si="38"/>
        <v>195</v>
      </c>
      <c r="BD105" s="24">
        <f t="shared" si="38"/>
        <v>185</v>
      </c>
      <c r="BE105" s="24">
        <f t="shared" si="38"/>
        <v>175</v>
      </c>
      <c r="BF105" s="24">
        <f t="shared" si="38"/>
        <v>165</v>
      </c>
      <c r="BG105" s="24">
        <f t="shared" si="38"/>
        <v>155</v>
      </c>
      <c r="BH105" s="24">
        <f t="shared" si="38"/>
        <v>145</v>
      </c>
      <c r="BI105" s="24">
        <f t="shared" si="38"/>
        <v>135</v>
      </c>
      <c r="BJ105" s="24">
        <f t="shared" si="38"/>
        <v>125</v>
      </c>
      <c r="BK105" s="24">
        <f t="shared" si="38"/>
        <v>115</v>
      </c>
      <c r="BL105" s="24">
        <f t="shared" si="38"/>
        <v>105</v>
      </c>
      <c r="BM105" s="24">
        <f t="shared" si="38"/>
        <v>95</v>
      </c>
      <c r="BN105" s="24">
        <f t="shared" si="38"/>
        <v>85</v>
      </c>
      <c r="BO105" s="24">
        <f t="shared" si="38"/>
        <v>75</v>
      </c>
      <c r="BP105" s="24">
        <f t="shared" si="38"/>
        <v>65</v>
      </c>
      <c r="BQ105" s="24">
        <f t="shared" si="38"/>
        <v>55</v>
      </c>
      <c r="BR105" s="24">
        <f t="shared" si="38"/>
        <v>45</v>
      </c>
      <c r="BX105" s="25"/>
    </row>
    <row r="106" spans="1:76" ht="12.75" hidden="1" outlineLevel="1" x14ac:dyDescent="0.2">
      <c r="A106" s="26"/>
      <c r="B106" s="27"/>
      <c r="C106" s="27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9" t="s">
        <v>11</v>
      </c>
      <c r="AY106" s="29">
        <f t="shared" ref="AY106:BR106" si="39">$I105*AY$3-$J105*AY$4-$K105*AY$5</f>
        <v>10</v>
      </c>
      <c r="AZ106" s="29">
        <f t="shared" si="39"/>
        <v>10</v>
      </c>
      <c r="BA106" s="29">
        <f t="shared" si="39"/>
        <v>10</v>
      </c>
      <c r="BB106" s="29">
        <f t="shared" si="39"/>
        <v>10</v>
      </c>
      <c r="BC106" s="29">
        <f t="shared" si="39"/>
        <v>10</v>
      </c>
      <c r="BD106" s="29">
        <f t="shared" si="39"/>
        <v>10</v>
      </c>
      <c r="BE106" s="29">
        <f t="shared" si="39"/>
        <v>10</v>
      </c>
      <c r="BF106" s="29">
        <f t="shared" si="39"/>
        <v>10</v>
      </c>
      <c r="BG106" s="29">
        <f t="shared" si="39"/>
        <v>10</v>
      </c>
      <c r="BH106" s="29">
        <f t="shared" si="39"/>
        <v>10</v>
      </c>
      <c r="BI106" s="29">
        <f t="shared" si="39"/>
        <v>10</v>
      </c>
      <c r="BJ106" s="29">
        <f t="shared" si="39"/>
        <v>10</v>
      </c>
      <c r="BK106" s="29">
        <f t="shared" si="39"/>
        <v>10</v>
      </c>
      <c r="BL106" s="29">
        <f t="shared" si="39"/>
        <v>10</v>
      </c>
      <c r="BM106" s="29">
        <f t="shared" si="39"/>
        <v>10</v>
      </c>
      <c r="BN106" s="29">
        <f t="shared" si="39"/>
        <v>10</v>
      </c>
      <c r="BO106" s="29">
        <f t="shared" si="39"/>
        <v>10</v>
      </c>
      <c r="BP106" s="29">
        <f t="shared" si="39"/>
        <v>10</v>
      </c>
      <c r="BQ106" s="29">
        <f t="shared" si="39"/>
        <v>10</v>
      </c>
      <c r="BR106" s="30">
        <f t="shared" si="39"/>
        <v>10</v>
      </c>
    </row>
    <row r="107" spans="1:76" ht="12.75" hidden="1" outlineLevel="1" x14ac:dyDescent="0.2">
      <c r="A107" s="31"/>
      <c r="B107" s="32"/>
      <c r="C107" s="32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4" t="s">
        <v>12</v>
      </c>
      <c r="AY107" s="35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6"/>
    </row>
    <row r="108" spans="1:76" ht="12.75" collapsed="1" x14ac:dyDescent="0.2">
      <c r="A108" s="21" t="s">
        <v>55</v>
      </c>
      <c r="B108" s="21" t="s">
        <v>56</v>
      </c>
      <c r="C108" s="21"/>
      <c r="D108" s="22" t="s">
        <v>46</v>
      </c>
      <c r="E108" s="22">
        <v>2</v>
      </c>
      <c r="F108" s="22">
        <f>SUMIF(stock_on_hand!A:A,A108,stock_on_hand!C:C)</f>
        <v>260</v>
      </c>
      <c r="G108" s="22"/>
      <c r="H108" s="22" t="s">
        <v>16</v>
      </c>
      <c r="I108" s="22">
        <v>1</v>
      </c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3" t="str">
        <f>IF(G108&gt;0,IF(AY108&lt;(0.8*G108),"WARNING!!!",IF(AY108&lt;G108,"ORDER","OK")),IF((VLOOKUP(A108,A:BR,51+E108,0))&lt;0,"WARNING!!!",IF((VLOOKUP(A108,A:BR,51+ROUND(1.25*E108,0),0))&lt;0,"ORDER","OK")))</f>
        <v>OK</v>
      </c>
      <c r="AY108" s="24">
        <f>F108-AY109+AY110</f>
        <v>250</v>
      </c>
      <c r="AZ108" s="24">
        <f t="shared" ref="AZ108:BR108" si="40">AY108-AZ109+AZ110</f>
        <v>240</v>
      </c>
      <c r="BA108" s="24">
        <f t="shared" si="40"/>
        <v>230</v>
      </c>
      <c r="BB108" s="24">
        <f t="shared" si="40"/>
        <v>220</v>
      </c>
      <c r="BC108" s="24">
        <f t="shared" si="40"/>
        <v>210</v>
      </c>
      <c r="BD108" s="24">
        <f t="shared" si="40"/>
        <v>200</v>
      </c>
      <c r="BE108" s="24">
        <f t="shared" si="40"/>
        <v>190</v>
      </c>
      <c r="BF108" s="24">
        <f t="shared" si="40"/>
        <v>180</v>
      </c>
      <c r="BG108" s="24">
        <f t="shared" si="40"/>
        <v>170</v>
      </c>
      <c r="BH108" s="24">
        <f t="shared" si="40"/>
        <v>160</v>
      </c>
      <c r="BI108" s="24">
        <f t="shared" si="40"/>
        <v>150</v>
      </c>
      <c r="BJ108" s="24">
        <f t="shared" si="40"/>
        <v>140</v>
      </c>
      <c r="BK108" s="24">
        <f t="shared" si="40"/>
        <v>130</v>
      </c>
      <c r="BL108" s="24">
        <f t="shared" si="40"/>
        <v>120</v>
      </c>
      <c r="BM108" s="24">
        <f t="shared" si="40"/>
        <v>110</v>
      </c>
      <c r="BN108" s="24">
        <f t="shared" si="40"/>
        <v>100</v>
      </c>
      <c r="BO108" s="24">
        <f t="shared" si="40"/>
        <v>90</v>
      </c>
      <c r="BP108" s="24">
        <f t="shared" si="40"/>
        <v>80</v>
      </c>
      <c r="BQ108" s="24">
        <f t="shared" si="40"/>
        <v>70</v>
      </c>
      <c r="BR108" s="24">
        <f t="shared" si="40"/>
        <v>60</v>
      </c>
      <c r="BX108" s="25"/>
    </row>
    <row r="109" spans="1:76" ht="12.75" hidden="1" outlineLevel="1" x14ac:dyDescent="0.2">
      <c r="A109" s="26"/>
      <c r="B109" s="27"/>
      <c r="C109" s="27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9" t="s">
        <v>11</v>
      </c>
      <c r="AY109" s="29">
        <f t="shared" ref="AY109:BR109" si="41">$I108*AY$3-$J108*AY$4-$K108*AY$5</f>
        <v>10</v>
      </c>
      <c r="AZ109" s="29">
        <f t="shared" si="41"/>
        <v>10</v>
      </c>
      <c r="BA109" s="29">
        <f t="shared" si="41"/>
        <v>10</v>
      </c>
      <c r="BB109" s="29">
        <f t="shared" si="41"/>
        <v>10</v>
      </c>
      <c r="BC109" s="29">
        <f t="shared" si="41"/>
        <v>10</v>
      </c>
      <c r="BD109" s="29">
        <f t="shared" si="41"/>
        <v>10</v>
      </c>
      <c r="BE109" s="29">
        <f t="shared" si="41"/>
        <v>10</v>
      </c>
      <c r="BF109" s="29">
        <f t="shared" si="41"/>
        <v>10</v>
      </c>
      <c r="BG109" s="29">
        <f t="shared" si="41"/>
        <v>10</v>
      </c>
      <c r="BH109" s="29">
        <f t="shared" si="41"/>
        <v>10</v>
      </c>
      <c r="BI109" s="29">
        <f t="shared" si="41"/>
        <v>10</v>
      </c>
      <c r="BJ109" s="29">
        <f t="shared" si="41"/>
        <v>10</v>
      </c>
      <c r="BK109" s="29">
        <f t="shared" si="41"/>
        <v>10</v>
      </c>
      <c r="BL109" s="29">
        <f t="shared" si="41"/>
        <v>10</v>
      </c>
      <c r="BM109" s="29">
        <f t="shared" si="41"/>
        <v>10</v>
      </c>
      <c r="BN109" s="29">
        <f t="shared" si="41"/>
        <v>10</v>
      </c>
      <c r="BO109" s="29">
        <f t="shared" si="41"/>
        <v>10</v>
      </c>
      <c r="BP109" s="29">
        <f t="shared" si="41"/>
        <v>10</v>
      </c>
      <c r="BQ109" s="29">
        <f t="shared" si="41"/>
        <v>10</v>
      </c>
      <c r="BR109" s="30">
        <f t="shared" si="41"/>
        <v>10</v>
      </c>
    </row>
    <row r="110" spans="1:76" ht="12.75" hidden="1" outlineLevel="1" x14ac:dyDescent="0.2">
      <c r="A110" s="31"/>
      <c r="B110" s="32"/>
      <c r="C110" s="32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4" t="s">
        <v>12</v>
      </c>
      <c r="AY110" s="35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6"/>
    </row>
  </sheetData>
  <mergeCells count="1">
    <mergeCell ref="I49:K49"/>
  </mergeCells>
  <conditionalFormatting sqref="AX51:AX110">
    <cfRule type="cellIs" dxfId="4" priority="3" operator="equal">
      <formula>"OK"</formula>
    </cfRule>
    <cfRule type="cellIs" dxfId="3" priority="4" operator="equal">
      <formula>"ORDER"</formula>
    </cfRule>
    <cfRule type="cellIs" dxfId="2" priority="5" operator="equal">
      <formula>"WARNING!!!"</formula>
    </cfRule>
  </conditionalFormatting>
  <conditionalFormatting sqref="AY51:BR51 AY54:BR54 AY57:BR57 AY60:BR60 AY63:BR63 AY66:BR66 AY69:BR69 AY72:BR72 AY75:BR75 AY78:BR78 AY81:BR81 AY84:BR84 AY87:BR87 AY90:BR90 AY93:BR93 AY96:BR96 AY99:BR99 AY102:BR102 AY105:BR105 AY108:BR108">
    <cfRule type="cellIs" dxfId="1" priority="1" operator="greaterThan">
      <formula>0</formula>
    </cfRule>
    <cfRule type="cellIs" dxfId="0" priority="2" operator="lessThanOr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MenuButton">
          <controlPr defaultSize="0" autoLine="0" autoPict="0" r:id="rId4">
            <anchor moveWithCells="1">
              <from>
                <xdr:col>0</xdr:col>
                <xdr:colOff>114300</xdr:colOff>
                <xdr:row>2</xdr:row>
                <xdr:rowOff>28575</xdr:rowOff>
              </from>
              <to>
                <xdr:col>1</xdr:col>
                <xdr:colOff>1733550</xdr:colOff>
                <xdr:row>46</xdr:row>
                <xdr:rowOff>57150</xdr:rowOff>
              </to>
            </anchor>
          </controlPr>
        </control>
      </mc:Choice>
      <mc:Fallback>
        <control shapeId="1029" r:id="rId3" name="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4A853"/>
    <outlinePr summaryBelow="0" summaryRight="0"/>
  </sheetPr>
  <dimension ref="A2"/>
  <sheetViews>
    <sheetView workbookViewId="0">
      <selection activeCell="D36" sqref="D36"/>
    </sheetView>
  </sheetViews>
  <sheetFormatPr defaultColWidth="12.5703125" defaultRowHeight="15.75" customHeight="1" x14ac:dyDescent="0.2"/>
  <cols>
    <col min="1" max="1" width="15.28515625" style="1" customWidth="1"/>
    <col min="2" max="16384" width="12.5703125" style="1"/>
  </cols>
  <sheetData>
    <row r="2" spans="1:1" x14ac:dyDescent="0.2">
      <c r="A2" s="4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583"/>
  <sheetViews>
    <sheetView zoomScale="85" zoomScaleNormal="85" workbookViewId="0">
      <selection activeCell="G38" sqref="G38"/>
    </sheetView>
  </sheetViews>
  <sheetFormatPr defaultColWidth="12.5703125" defaultRowHeight="15.75" customHeight="1" x14ac:dyDescent="0.2"/>
  <cols>
    <col min="1" max="1" width="12.85546875" bestFit="1" customWidth="1"/>
    <col min="2" max="2" width="45.7109375" bestFit="1" customWidth="1"/>
    <col min="3" max="3" width="9" bestFit="1" customWidth="1"/>
    <col min="4" max="4" width="13.28515625" bestFit="1" customWidth="1"/>
    <col min="5" max="5" width="14.42578125" bestFit="1" customWidth="1"/>
  </cols>
  <sheetData>
    <row r="1" spans="1:5" x14ac:dyDescent="0.2">
      <c r="A1" s="11" t="s">
        <v>621</v>
      </c>
      <c r="B1" s="11" t="s">
        <v>619</v>
      </c>
      <c r="C1" s="11" t="s">
        <v>617</v>
      </c>
      <c r="D1" s="11" t="s">
        <v>616</v>
      </c>
      <c r="E1" s="11" t="s">
        <v>618</v>
      </c>
    </row>
    <row r="2" spans="1:5" x14ac:dyDescent="0.2">
      <c r="A2" s="8" t="s">
        <v>58</v>
      </c>
      <c r="B2" s="8" t="s">
        <v>59</v>
      </c>
      <c r="C2" s="8">
        <v>113</v>
      </c>
      <c r="D2" s="8" t="s">
        <v>10</v>
      </c>
      <c r="E2" s="8" t="s">
        <v>60</v>
      </c>
    </row>
    <row r="3" spans="1:5" x14ac:dyDescent="0.2">
      <c r="A3" s="8" t="s">
        <v>61</v>
      </c>
      <c r="B3" s="8" t="s">
        <v>62</v>
      </c>
      <c r="C3" s="8">
        <v>161</v>
      </c>
      <c r="D3" s="8" t="s">
        <v>10</v>
      </c>
      <c r="E3" s="8" t="s">
        <v>60</v>
      </c>
    </row>
    <row r="4" spans="1:5" x14ac:dyDescent="0.2">
      <c r="A4" s="8" t="s">
        <v>7</v>
      </c>
      <c r="B4" s="8" t="s">
        <v>8</v>
      </c>
      <c r="C4" s="8">
        <v>58</v>
      </c>
      <c r="D4" s="8" t="s">
        <v>10</v>
      </c>
      <c r="E4" s="8" t="s">
        <v>60</v>
      </c>
    </row>
    <row r="5" spans="1:5" x14ac:dyDescent="0.2">
      <c r="A5" s="8" t="s">
        <v>63</v>
      </c>
      <c r="B5" s="8" t="s">
        <v>64</v>
      </c>
      <c r="C5" s="8">
        <v>181</v>
      </c>
      <c r="D5" s="8" t="s">
        <v>10</v>
      </c>
      <c r="E5" s="8" t="s">
        <v>60</v>
      </c>
    </row>
    <row r="6" spans="1:5" x14ac:dyDescent="0.2">
      <c r="A6" s="8" t="s">
        <v>65</v>
      </c>
      <c r="B6" s="8" t="s">
        <v>66</v>
      </c>
      <c r="C6" s="8">
        <v>180</v>
      </c>
      <c r="D6" s="8" t="s">
        <v>10</v>
      </c>
      <c r="E6" s="8" t="s">
        <v>60</v>
      </c>
    </row>
    <row r="7" spans="1:5" x14ac:dyDescent="0.2">
      <c r="A7" s="8" t="s">
        <v>67</v>
      </c>
      <c r="B7" s="8" t="s">
        <v>68</v>
      </c>
      <c r="C7" s="8">
        <v>186</v>
      </c>
      <c r="D7" s="8" t="s">
        <v>10</v>
      </c>
      <c r="E7" s="8" t="s">
        <v>60</v>
      </c>
    </row>
    <row r="8" spans="1:5" x14ac:dyDescent="0.2">
      <c r="A8" s="8" t="s">
        <v>69</v>
      </c>
      <c r="B8" s="8" t="s">
        <v>70</v>
      </c>
      <c r="C8" s="8">
        <v>88</v>
      </c>
      <c r="D8" s="8" t="s">
        <v>10</v>
      </c>
      <c r="E8" s="8" t="s">
        <v>60</v>
      </c>
    </row>
    <row r="9" spans="1:5" x14ac:dyDescent="0.2">
      <c r="A9" s="8" t="s">
        <v>71</v>
      </c>
      <c r="B9" s="8" t="s">
        <v>72</v>
      </c>
      <c r="C9" s="8">
        <v>5</v>
      </c>
      <c r="D9" s="8" t="s">
        <v>10</v>
      </c>
      <c r="E9" s="8" t="s">
        <v>60</v>
      </c>
    </row>
    <row r="10" spans="1:5" x14ac:dyDescent="0.2">
      <c r="A10" s="8" t="s">
        <v>73</v>
      </c>
      <c r="B10" s="8" t="s">
        <v>74</v>
      </c>
      <c r="C10" s="8">
        <v>68</v>
      </c>
      <c r="D10" s="8" t="s">
        <v>10</v>
      </c>
      <c r="E10" s="8" t="s">
        <v>60</v>
      </c>
    </row>
    <row r="11" spans="1:5" x14ac:dyDescent="0.2">
      <c r="A11" s="8" t="s">
        <v>75</v>
      </c>
      <c r="B11" s="8" t="s">
        <v>76</v>
      </c>
      <c r="C11" s="8">
        <v>158</v>
      </c>
      <c r="D11" s="8" t="s">
        <v>10</v>
      </c>
      <c r="E11" s="8" t="s">
        <v>60</v>
      </c>
    </row>
    <row r="12" spans="1:5" x14ac:dyDescent="0.2">
      <c r="A12" s="8" t="s">
        <v>77</v>
      </c>
      <c r="B12" s="8" t="s">
        <v>78</v>
      </c>
      <c r="C12" s="8">
        <v>113</v>
      </c>
      <c r="D12" s="8" t="s">
        <v>10</v>
      </c>
      <c r="E12" s="8" t="s">
        <v>60</v>
      </c>
    </row>
    <row r="13" spans="1:5" x14ac:dyDescent="0.2">
      <c r="A13" s="8" t="s">
        <v>79</v>
      </c>
      <c r="B13" s="8" t="s">
        <v>80</v>
      </c>
      <c r="C13" s="8">
        <v>196</v>
      </c>
      <c r="D13" s="8" t="s">
        <v>10</v>
      </c>
      <c r="E13" s="8" t="s">
        <v>60</v>
      </c>
    </row>
    <row r="14" spans="1:5" x14ac:dyDescent="0.2">
      <c r="A14" s="8" t="s">
        <v>81</v>
      </c>
      <c r="B14" s="8" t="s">
        <v>82</v>
      </c>
      <c r="C14" s="8">
        <v>53</v>
      </c>
      <c r="D14" s="8" t="s">
        <v>10</v>
      </c>
      <c r="E14" s="8" t="s">
        <v>60</v>
      </c>
    </row>
    <row r="15" spans="1:5" x14ac:dyDescent="0.2">
      <c r="A15" s="8" t="s">
        <v>83</v>
      </c>
      <c r="B15" s="8" t="s">
        <v>84</v>
      </c>
      <c r="C15" s="8">
        <v>48</v>
      </c>
      <c r="D15" s="8" t="s">
        <v>10</v>
      </c>
      <c r="E15" s="8" t="s">
        <v>60</v>
      </c>
    </row>
    <row r="16" spans="1:5" x14ac:dyDescent="0.2">
      <c r="A16" s="8" t="s">
        <v>85</v>
      </c>
      <c r="B16" s="8" t="s">
        <v>86</v>
      </c>
      <c r="C16" s="8">
        <v>179</v>
      </c>
      <c r="D16" s="8" t="s">
        <v>10</v>
      </c>
      <c r="E16" s="8" t="s">
        <v>60</v>
      </c>
    </row>
    <row r="17" spans="1:5" x14ac:dyDescent="0.2">
      <c r="A17" s="8" t="s">
        <v>87</v>
      </c>
      <c r="B17" s="8" t="s">
        <v>88</v>
      </c>
      <c r="C17" s="8">
        <v>145</v>
      </c>
      <c r="D17" s="8" t="s">
        <v>10</v>
      </c>
      <c r="E17" s="8" t="s">
        <v>60</v>
      </c>
    </row>
    <row r="18" spans="1:5" x14ac:dyDescent="0.2">
      <c r="A18" s="8" t="s">
        <v>89</v>
      </c>
      <c r="B18" s="8" t="s">
        <v>90</v>
      </c>
      <c r="C18" s="8">
        <v>127</v>
      </c>
      <c r="D18" s="8" t="s">
        <v>10</v>
      </c>
      <c r="E18" s="8" t="s">
        <v>60</v>
      </c>
    </row>
    <row r="19" spans="1:5" x14ac:dyDescent="0.2">
      <c r="A19" s="8" t="s">
        <v>91</v>
      </c>
      <c r="B19" s="8" t="s">
        <v>92</v>
      </c>
      <c r="C19" s="8">
        <v>126</v>
      </c>
      <c r="D19" s="8" t="s">
        <v>10</v>
      </c>
      <c r="E19" s="8" t="s">
        <v>60</v>
      </c>
    </row>
    <row r="20" spans="1:5" x14ac:dyDescent="0.2">
      <c r="A20" s="8" t="s">
        <v>93</v>
      </c>
      <c r="B20" s="8" t="s">
        <v>94</v>
      </c>
      <c r="C20" s="8">
        <v>35</v>
      </c>
      <c r="D20" s="8" t="s">
        <v>10</v>
      </c>
      <c r="E20" s="8" t="s">
        <v>60</v>
      </c>
    </row>
    <row r="21" spans="1:5" x14ac:dyDescent="0.2">
      <c r="A21" s="8" t="s">
        <v>95</v>
      </c>
      <c r="B21" s="8" t="s">
        <v>96</v>
      </c>
      <c r="C21" s="8">
        <v>121</v>
      </c>
      <c r="D21" s="8" t="s">
        <v>10</v>
      </c>
      <c r="E21" s="8" t="s">
        <v>60</v>
      </c>
    </row>
    <row r="22" spans="1:5" x14ac:dyDescent="0.2">
      <c r="A22" s="8" t="s">
        <v>97</v>
      </c>
      <c r="B22" s="8" t="s">
        <v>98</v>
      </c>
      <c r="C22" s="8">
        <v>3</v>
      </c>
      <c r="D22" s="8" t="s">
        <v>10</v>
      </c>
      <c r="E22" s="8" t="s">
        <v>60</v>
      </c>
    </row>
    <row r="23" spans="1:5" x14ac:dyDescent="0.2">
      <c r="A23" s="8" t="s">
        <v>99</v>
      </c>
      <c r="B23" s="8" t="s">
        <v>100</v>
      </c>
      <c r="C23" s="8">
        <v>146</v>
      </c>
      <c r="D23" s="8" t="s">
        <v>10</v>
      </c>
      <c r="E23" s="8" t="s">
        <v>60</v>
      </c>
    </row>
    <row r="24" spans="1:5" x14ac:dyDescent="0.2">
      <c r="A24" s="8" t="s">
        <v>101</v>
      </c>
      <c r="B24" s="8" t="s">
        <v>102</v>
      </c>
      <c r="C24" s="8">
        <v>19</v>
      </c>
      <c r="D24" s="8" t="s">
        <v>10</v>
      </c>
      <c r="E24" s="8" t="s">
        <v>60</v>
      </c>
    </row>
    <row r="25" spans="1:5" x14ac:dyDescent="0.2">
      <c r="A25" s="8" t="s">
        <v>103</v>
      </c>
      <c r="B25" s="8" t="s">
        <v>104</v>
      </c>
      <c r="C25" s="8">
        <v>34</v>
      </c>
      <c r="D25" s="8" t="s">
        <v>10</v>
      </c>
      <c r="E25" s="8" t="s">
        <v>60</v>
      </c>
    </row>
    <row r="26" spans="1:5" x14ac:dyDescent="0.2">
      <c r="A26" s="8" t="s">
        <v>105</v>
      </c>
      <c r="B26" s="8" t="s">
        <v>106</v>
      </c>
      <c r="C26" s="8">
        <v>132</v>
      </c>
      <c r="D26" s="8" t="s">
        <v>10</v>
      </c>
      <c r="E26" s="8" t="s">
        <v>60</v>
      </c>
    </row>
    <row r="27" spans="1:5" x14ac:dyDescent="0.2">
      <c r="A27" s="8" t="s">
        <v>107</v>
      </c>
      <c r="B27" s="8" t="s">
        <v>108</v>
      </c>
      <c r="C27" s="8">
        <v>41</v>
      </c>
      <c r="D27" s="8" t="s">
        <v>10</v>
      </c>
      <c r="E27" s="8" t="s">
        <v>60</v>
      </c>
    </row>
    <row r="28" spans="1:5" x14ac:dyDescent="0.2">
      <c r="A28" s="8" t="s">
        <v>109</v>
      </c>
      <c r="B28" s="8" t="s">
        <v>110</v>
      </c>
      <c r="C28" s="8">
        <v>65</v>
      </c>
      <c r="D28" s="8" t="s">
        <v>10</v>
      </c>
      <c r="E28" s="8" t="s">
        <v>60</v>
      </c>
    </row>
    <row r="29" spans="1:5" x14ac:dyDescent="0.2">
      <c r="A29" s="8" t="s">
        <v>111</v>
      </c>
      <c r="B29" s="8" t="s">
        <v>112</v>
      </c>
      <c r="C29" s="8">
        <v>125</v>
      </c>
      <c r="D29" s="8" t="s">
        <v>10</v>
      </c>
      <c r="E29" s="8" t="s">
        <v>60</v>
      </c>
    </row>
    <row r="30" spans="1:5" x14ac:dyDescent="0.2">
      <c r="A30" s="8" t="s">
        <v>113</v>
      </c>
      <c r="B30" s="8" t="s">
        <v>114</v>
      </c>
      <c r="C30" s="8">
        <v>73</v>
      </c>
      <c r="D30" s="8" t="s">
        <v>10</v>
      </c>
      <c r="E30" s="8" t="s">
        <v>60</v>
      </c>
    </row>
    <row r="31" spans="1:5" x14ac:dyDescent="0.2">
      <c r="A31" s="8" t="s">
        <v>115</v>
      </c>
      <c r="B31" s="8" t="s">
        <v>116</v>
      </c>
      <c r="C31" s="8">
        <v>131</v>
      </c>
      <c r="D31" s="8" t="s">
        <v>10</v>
      </c>
      <c r="E31" s="8" t="s">
        <v>60</v>
      </c>
    </row>
    <row r="32" spans="1:5" x14ac:dyDescent="0.2">
      <c r="A32" s="8" t="s">
        <v>117</v>
      </c>
      <c r="B32" s="8" t="s">
        <v>118</v>
      </c>
      <c r="C32" s="8">
        <v>114</v>
      </c>
      <c r="D32" s="8" t="s">
        <v>10</v>
      </c>
      <c r="E32" s="8" t="s">
        <v>60</v>
      </c>
    </row>
    <row r="33" spans="1:5" x14ac:dyDescent="0.2">
      <c r="A33" s="8" t="s">
        <v>119</v>
      </c>
      <c r="B33" s="8" t="s">
        <v>120</v>
      </c>
      <c r="C33" s="8">
        <v>21</v>
      </c>
      <c r="D33" s="8" t="s">
        <v>10</v>
      </c>
      <c r="E33" s="8" t="s">
        <v>60</v>
      </c>
    </row>
    <row r="34" spans="1:5" x14ac:dyDescent="0.2">
      <c r="A34" s="8" t="s">
        <v>121</v>
      </c>
      <c r="B34" s="8" t="s">
        <v>122</v>
      </c>
      <c r="C34" s="8">
        <v>110</v>
      </c>
      <c r="D34" s="8" t="s">
        <v>10</v>
      </c>
      <c r="E34" s="8" t="s">
        <v>60</v>
      </c>
    </row>
    <row r="35" spans="1:5" x14ac:dyDescent="0.2">
      <c r="A35" s="8" t="s">
        <v>123</v>
      </c>
      <c r="B35" s="8" t="s">
        <v>124</v>
      </c>
      <c r="C35" s="8">
        <v>41</v>
      </c>
      <c r="D35" s="8" t="s">
        <v>10</v>
      </c>
      <c r="E35" s="8" t="s">
        <v>60</v>
      </c>
    </row>
    <row r="36" spans="1:5" x14ac:dyDescent="0.2">
      <c r="A36" s="8" t="s">
        <v>125</v>
      </c>
      <c r="B36" s="8" t="s">
        <v>126</v>
      </c>
      <c r="C36" s="8">
        <v>143</v>
      </c>
      <c r="D36" s="8" t="s">
        <v>10</v>
      </c>
      <c r="E36" s="8" t="s">
        <v>60</v>
      </c>
    </row>
    <row r="37" spans="1:5" x14ac:dyDescent="0.2">
      <c r="A37" s="8" t="s">
        <v>127</v>
      </c>
      <c r="B37" s="8" t="s">
        <v>128</v>
      </c>
      <c r="C37" s="8">
        <v>19</v>
      </c>
      <c r="D37" s="8" t="s">
        <v>10</v>
      </c>
      <c r="E37" s="8" t="s">
        <v>60</v>
      </c>
    </row>
    <row r="38" spans="1:5" x14ac:dyDescent="0.2">
      <c r="A38" s="8" t="s">
        <v>129</v>
      </c>
      <c r="B38" s="8" t="s">
        <v>130</v>
      </c>
      <c r="C38" s="8">
        <v>189</v>
      </c>
      <c r="D38" s="8" t="s">
        <v>10</v>
      </c>
      <c r="E38" s="8" t="s">
        <v>60</v>
      </c>
    </row>
    <row r="39" spans="1:5" x14ac:dyDescent="0.2">
      <c r="A39" s="8" t="s">
        <v>131</v>
      </c>
      <c r="B39" s="8" t="s">
        <v>132</v>
      </c>
      <c r="C39" s="8">
        <v>165</v>
      </c>
      <c r="D39" s="8" t="s">
        <v>10</v>
      </c>
      <c r="E39" s="8" t="s">
        <v>60</v>
      </c>
    </row>
    <row r="40" spans="1:5" x14ac:dyDescent="0.2">
      <c r="A40" s="8" t="s">
        <v>133</v>
      </c>
      <c r="B40" s="8" t="s">
        <v>134</v>
      </c>
      <c r="C40" s="8">
        <v>110</v>
      </c>
      <c r="D40" s="8" t="s">
        <v>10</v>
      </c>
      <c r="E40" s="8" t="s">
        <v>60</v>
      </c>
    </row>
    <row r="41" spans="1:5" x14ac:dyDescent="0.2">
      <c r="A41" s="8" t="s">
        <v>135</v>
      </c>
      <c r="B41" s="8" t="s">
        <v>136</v>
      </c>
      <c r="C41" s="8">
        <v>185</v>
      </c>
      <c r="D41" s="8" t="s">
        <v>10</v>
      </c>
      <c r="E41" s="8" t="s">
        <v>60</v>
      </c>
    </row>
    <row r="42" spans="1:5" x14ac:dyDescent="0.2">
      <c r="A42" s="8" t="s">
        <v>137</v>
      </c>
      <c r="B42" s="8" t="s">
        <v>138</v>
      </c>
      <c r="C42" s="8">
        <v>66</v>
      </c>
      <c r="D42" s="8" t="s">
        <v>10</v>
      </c>
      <c r="E42" s="8" t="s">
        <v>60</v>
      </c>
    </row>
    <row r="43" spans="1:5" x14ac:dyDescent="0.2">
      <c r="A43" s="8" t="s">
        <v>139</v>
      </c>
      <c r="B43" s="8" t="s">
        <v>140</v>
      </c>
      <c r="C43" s="8">
        <v>80</v>
      </c>
      <c r="D43" s="8" t="s">
        <v>10</v>
      </c>
      <c r="E43" s="8" t="s">
        <v>60</v>
      </c>
    </row>
    <row r="44" spans="1:5" x14ac:dyDescent="0.2">
      <c r="A44" s="8" t="s">
        <v>141</v>
      </c>
      <c r="B44" s="8" t="s">
        <v>142</v>
      </c>
      <c r="C44" s="8">
        <v>116</v>
      </c>
      <c r="D44" s="8" t="s">
        <v>10</v>
      </c>
      <c r="E44" s="8" t="s">
        <v>60</v>
      </c>
    </row>
    <row r="45" spans="1:5" x14ac:dyDescent="0.2">
      <c r="A45" s="8" t="s">
        <v>143</v>
      </c>
      <c r="B45" s="8" t="s">
        <v>144</v>
      </c>
      <c r="C45" s="8">
        <v>60</v>
      </c>
      <c r="D45" s="8" t="s">
        <v>10</v>
      </c>
      <c r="E45" s="8" t="s">
        <v>60</v>
      </c>
    </row>
    <row r="46" spans="1:5" x14ac:dyDescent="0.2">
      <c r="A46" s="8" t="s">
        <v>145</v>
      </c>
      <c r="B46" s="8" t="s">
        <v>146</v>
      </c>
      <c r="C46" s="8">
        <v>48</v>
      </c>
      <c r="D46" s="8" t="s">
        <v>10</v>
      </c>
      <c r="E46" s="8" t="s">
        <v>60</v>
      </c>
    </row>
    <row r="47" spans="1:5" x14ac:dyDescent="0.2">
      <c r="A47" s="8" t="s">
        <v>147</v>
      </c>
      <c r="B47" s="8" t="s">
        <v>148</v>
      </c>
      <c r="C47" s="8">
        <v>67</v>
      </c>
      <c r="D47" s="8" t="s">
        <v>10</v>
      </c>
      <c r="E47" s="8" t="s">
        <v>60</v>
      </c>
    </row>
    <row r="48" spans="1:5" x14ac:dyDescent="0.2">
      <c r="A48" s="8" t="s">
        <v>149</v>
      </c>
      <c r="B48" s="8" t="s">
        <v>150</v>
      </c>
      <c r="C48" s="8">
        <v>48</v>
      </c>
      <c r="D48" s="8" t="s">
        <v>10</v>
      </c>
      <c r="E48" s="8" t="s">
        <v>60</v>
      </c>
    </row>
    <row r="49" spans="1:5" x14ac:dyDescent="0.2">
      <c r="A49" s="8" t="s">
        <v>151</v>
      </c>
      <c r="B49" s="8" t="s">
        <v>152</v>
      </c>
      <c r="C49" s="8">
        <v>70</v>
      </c>
      <c r="D49" s="8" t="s">
        <v>10</v>
      </c>
      <c r="E49" s="8" t="s">
        <v>60</v>
      </c>
    </row>
    <row r="50" spans="1:5" x14ac:dyDescent="0.2">
      <c r="A50" s="8" t="s">
        <v>153</v>
      </c>
      <c r="B50" s="8" t="s">
        <v>154</v>
      </c>
      <c r="C50" s="8">
        <v>112</v>
      </c>
      <c r="D50" s="8" t="s">
        <v>10</v>
      </c>
      <c r="E50" s="8" t="s">
        <v>60</v>
      </c>
    </row>
    <row r="51" spans="1:5" x14ac:dyDescent="0.2">
      <c r="A51" s="8" t="s">
        <v>155</v>
      </c>
      <c r="B51" s="8" t="s">
        <v>156</v>
      </c>
      <c r="C51" s="8">
        <v>78</v>
      </c>
      <c r="D51" s="8" t="s">
        <v>10</v>
      </c>
      <c r="E51" s="8" t="s">
        <v>60</v>
      </c>
    </row>
    <row r="52" spans="1:5" x14ac:dyDescent="0.2">
      <c r="A52" s="8" t="s">
        <v>157</v>
      </c>
      <c r="B52" s="8" t="s">
        <v>158</v>
      </c>
      <c r="C52" s="8">
        <v>25</v>
      </c>
      <c r="D52" s="8" t="s">
        <v>10</v>
      </c>
      <c r="E52" s="8" t="s">
        <v>60</v>
      </c>
    </row>
    <row r="53" spans="1:5" x14ac:dyDescent="0.2">
      <c r="A53" s="8" t="s">
        <v>159</v>
      </c>
      <c r="B53" s="8" t="s">
        <v>160</v>
      </c>
      <c r="C53" s="8">
        <v>24</v>
      </c>
      <c r="D53" s="8" t="s">
        <v>10</v>
      </c>
      <c r="E53" s="8" t="s">
        <v>60</v>
      </c>
    </row>
    <row r="54" spans="1:5" x14ac:dyDescent="0.2">
      <c r="A54" s="8" t="s">
        <v>161</v>
      </c>
      <c r="B54" s="8" t="s">
        <v>162</v>
      </c>
      <c r="C54" s="8">
        <v>15</v>
      </c>
      <c r="D54" s="8" t="s">
        <v>16</v>
      </c>
      <c r="E54" s="8" t="s">
        <v>60</v>
      </c>
    </row>
    <row r="55" spans="1:5" x14ac:dyDescent="0.2">
      <c r="A55" s="8" t="s">
        <v>163</v>
      </c>
      <c r="B55" s="8" t="s">
        <v>164</v>
      </c>
      <c r="C55" s="8">
        <v>181</v>
      </c>
      <c r="D55" s="8" t="s">
        <v>16</v>
      </c>
      <c r="E55" s="8" t="s">
        <v>60</v>
      </c>
    </row>
    <row r="56" spans="1:5" x14ac:dyDescent="0.2">
      <c r="A56" s="8" t="s">
        <v>165</v>
      </c>
      <c r="B56" s="8" t="s">
        <v>166</v>
      </c>
      <c r="C56" s="8">
        <v>176</v>
      </c>
      <c r="D56" s="8" t="s">
        <v>16</v>
      </c>
      <c r="E56" s="8" t="s">
        <v>60</v>
      </c>
    </row>
    <row r="57" spans="1:5" x14ac:dyDescent="0.2">
      <c r="A57" s="8" t="s">
        <v>167</v>
      </c>
      <c r="B57" s="8" t="s">
        <v>168</v>
      </c>
      <c r="C57" s="8">
        <v>43</v>
      </c>
      <c r="D57" s="8" t="s">
        <v>16</v>
      </c>
      <c r="E57" s="8" t="s">
        <v>60</v>
      </c>
    </row>
    <row r="58" spans="1:5" x14ac:dyDescent="0.2">
      <c r="A58" s="8" t="s">
        <v>169</v>
      </c>
      <c r="B58" s="38" t="s">
        <v>170</v>
      </c>
      <c r="C58" s="8">
        <v>34</v>
      </c>
      <c r="D58" s="8" t="s">
        <v>16</v>
      </c>
      <c r="E58" s="8" t="s">
        <v>60</v>
      </c>
    </row>
    <row r="59" spans="1:5" x14ac:dyDescent="0.2">
      <c r="A59" s="8" t="s">
        <v>171</v>
      </c>
      <c r="B59" s="8" t="s">
        <v>172</v>
      </c>
      <c r="C59" s="8">
        <v>59</v>
      </c>
      <c r="D59" s="8" t="s">
        <v>16</v>
      </c>
      <c r="E59" s="8" t="s">
        <v>60</v>
      </c>
    </row>
    <row r="60" spans="1:5" x14ac:dyDescent="0.2">
      <c r="A60" s="8" t="s">
        <v>173</v>
      </c>
      <c r="B60" s="8" t="s">
        <v>174</v>
      </c>
      <c r="C60" s="8">
        <v>26</v>
      </c>
      <c r="D60" s="8" t="s">
        <v>16</v>
      </c>
      <c r="E60" s="8" t="s">
        <v>60</v>
      </c>
    </row>
    <row r="61" spans="1:5" x14ac:dyDescent="0.2">
      <c r="A61" s="8" t="s">
        <v>19</v>
      </c>
      <c r="B61" s="8" t="s">
        <v>20</v>
      </c>
      <c r="C61" s="8">
        <v>70</v>
      </c>
      <c r="D61" s="8" t="s">
        <v>16</v>
      </c>
      <c r="E61" s="8" t="s">
        <v>60</v>
      </c>
    </row>
    <row r="62" spans="1:5" x14ac:dyDescent="0.2">
      <c r="A62" s="8" t="s">
        <v>22</v>
      </c>
      <c r="B62" s="8" t="s">
        <v>23</v>
      </c>
      <c r="C62" s="8">
        <v>50</v>
      </c>
      <c r="D62" s="8" t="s">
        <v>16</v>
      </c>
      <c r="E62" s="8" t="s">
        <v>60</v>
      </c>
    </row>
    <row r="63" spans="1:5" x14ac:dyDescent="0.2">
      <c r="A63" s="8" t="s">
        <v>175</v>
      </c>
      <c r="B63" s="8" t="s">
        <v>176</v>
      </c>
      <c r="C63" s="8">
        <v>191</v>
      </c>
      <c r="D63" s="8" t="s">
        <v>16</v>
      </c>
      <c r="E63" s="8" t="s">
        <v>60</v>
      </c>
    </row>
    <row r="64" spans="1:5" x14ac:dyDescent="0.2">
      <c r="A64" s="8" t="s">
        <v>177</v>
      </c>
      <c r="B64" s="8" t="s">
        <v>178</v>
      </c>
      <c r="C64" s="8">
        <v>29</v>
      </c>
      <c r="D64" s="8" t="s">
        <v>16</v>
      </c>
      <c r="E64" s="8" t="s">
        <v>60</v>
      </c>
    </row>
    <row r="65" spans="1:5" x14ac:dyDescent="0.2">
      <c r="A65" s="8" t="s">
        <v>179</v>
      </c>
      <c r="B65" s="8" t="s">
        <v>180</v>
      </c>
      <c r="C65" s="8">
        <v>24</v>
      </c>
      <c r="D65" s="8" t="s">
        <v>16</v>
      </c>
      <c r="E65" s="8" t="s">
        <v>60</v>
      </c>
    </row>
    <row r="66" spans="1:5" x14ac:dyDescent="0.2">
      <c r="A66" s="8" t="s">
        <v>24</v>
      </c>
      <c r="B66" s="8" t="s">
        <v>25</v>
      </c>
      <c r="C66" s="8">
        <v>56</v>
      </c>
      <c r="D66" s="8" t="s">
        <v>16</v>
      </c>
      <c r="E66" s="8" t="s">
        <v>60</v>
      </c>
    </row>
    <row r="67" spans="1:5" x14ac:dyDescent="0.2">
      <c r="A67" s="8" t="s">
        <v>181</v>
      </c>
      <c r="B67" s="8" t="s">
        <v>182</v>
      </c>
      <c r="C67" s="8">
        <v>61</v>
      </c>
      <c r="D67" s="8" t="s">
        <v>16</v>
      </c>
      <c r="E67" s="8" t="s">
        <v>60</v>
      </c>
    </row>
    <row r="68" spans="1:5" x14ac:dyDescent="0.2">
      <c r="A68" s="8" t="s">
        <v>183</v>
      </c>
      <c r="B68" s="8" t="s">
        <v>184</v>
      </c>
      <c r="C68" s="8">
        <v>172</v>
      </c>
      <c r="D68" s="8" t="s">
        <v>16</v>
      </c>
      <c r="E68" s="8" t="s">
        <v>60</v>
      </c>
    </row>
    <row r="69" spans="1:5" x14ac:dyDescent="0.2">
      <c r="A69" s="8" t="s">
        <v>185</v>
      </c>
      <c r="B69" s="8" t="s">
        <v>186</v>
      </c>
      <c r="C69" s="8">
        <v>67</v>
      </c>
      <c r="D69" s="8" t="s">
        <v>16</v>
      </c>
      <c r="E69" s="8" t="s">
        <v>60</v>
      </c>
    </row>
    <row r="70" spans="1:5" x14ac:dyDescent="0.2">
      <c r="A70" s="8" t="s">
        <v>187</v>
      </c>
      <c r="B70" s="8" t="s">
        <v>188</v>
      </c>
      <c r="C70" s="8">
        <v>160</v>
      </c>
      <c r="D70" s="8" t="s">
        <v>16</v>
      </c>
      <c r="E70" s="8" t="s">
        <v>60</v>
      </c>
    </row>
    <row r="71" spans="1:5" x14ac:dyDescent="0.2">
      <c r="A71" s="8" t="s">
        <v>189</v>
      </c>
      <c r="B71" s="8" t="s">
        <v>190</v>
      </c>
      <c r="C71" s="8">
        <v>163</v>
      </c>
      <c r="D71" s="8" t="s">
        <v>16</v>
      </c>
      <c r="E71" s="8" t="s">
        <v>60</v>
      </c>
    </row>
    <row r="72" spans="1:5" x14ac:dyDescent="0.2">
      <c r="A72" s="8" t="s">
        <v>191</v>
      </c>
      <c r="B72" s="8" t="s">
        <v>192</v>
      </c>
      <c r="C72" s="8">
        <v>132</v>
      </c>
      <c r="D72" s="8" t="s">
        <v>16</v>
      </c>
      <c r="E72" s="8" t="s">
        <v>60</v>
      </c>
    </row>
    <row r="73" spans="1:5" x14ac:dyDescent="0.2">
      <c r="A73" s="8" t="s">
        <v>193</v>
      </c>
      <c r="B73" s="8" t="s">
        <v>194</v>
      </c>
      <c r="C73" s="8">
        <v>73</v>
      </c>
      <c r="D73" s="8" t="s">
        <v>16</v>
      </c>
      <c r="E73" s="8" t="s">
        <v>60</v>
      </c>
    </row>
    <row r="74" spans="1:5" x14ac:dyDescent="0.2">
      <c r="A74" s="8" t="s">
        <v>26</v>
      </c>
      <c r="B74" s="8" t="s">
        <v>27</v>
      </c>
      <c r="C74" s="8">
        <v>183</v>
      </c>
      <c r="D74" s="8" t="s">
        <v>16</v>
      </c>
      <c r="E74" s="8" t="s">
        <v>60</v>
      </c>
    </row>
    <row r="75" spans="1:5" x14ac:dyDescent="0.2">
      <c r="A75" s="8" t="s">
        <v>28</v>
      </c>
      <c r="B75" s="8" t="s">
        <v>29</v>
      </c>
      <c r="C75" s="8">
        <v>4</v>
      </c>
      <c r="D75" s="8" t="s">
        <v>16</v>
      </c>
      <c r="E75" s="8" t="s">
        <v>60</v>
      </c>
    </row>
    <row r="76" spans="1:5" x14ac:dyDescent="0.2">
      <c r="A76" s="8" t="s">
        <v>195</v>
      </c>
      <c r="B76" s="8" t="s">
        <v>196</v>
      </c>
      <c r="C76" s="8">
        <v>112</v>
      </c>
      <c r="D76" s="8" t="s">
        <v>16</v>
      </c>
      <c r="E76" s="8" t="s">
        <v>60</v>
      </c>
    </row>
    <row r="77" spans="1:5" x14ac:dyDescent="0.2">
      <c r="A77" s="8" t="s">
        <v>197</v>
      </c>
      <c r="B77" s="8" t="s">
        <v>198</v>
      </c>
      <c r="C77" s="8">
        <v>8</v>
      </c>
      <c r="D77" s="8" t="s">
        <v>16</v>
      </c>
      <c r="E77" s="8" t="s">
        <v>60</v>
      </c>
    </row>
    <row r="78" spans="1:5" x14ac:dyDescent="0.2">
      <c r="A78" s="8" t="s">
        <v>199</v>
      </c>
      <c r="B78" s="8" t="s">
        <v>200</v>
      </c>
      <c r="C78" s="8">
        <v>44</v>
      </c>
      <c r="D78" s="8" t="s">
        <v>16</v>
      </c>
      <c r="E78" s="8" t="s">
        <v>60</v>
      </c>
    </row>
    <row r="79" spans="1:5" x14ac:dyDescent="0.2">
      <c r="A79" s="8" t="s">
        <v>201</v>
      </c>
      <c r="B79" s="8" t="s">
        <v>202</v>
      </c>
      <c r="C79" s="8">
        <v>163</v>
      </c>
      <c r="D79" s="8" t="s">
        <v>16</v>
      </c>
      <c r="E79" s="8" t="s">
        <v>60</v>
      </c>
    </row>
    <row r="80" spans="1:5" x14ac:dyDescent="0.2">
      <c r="A80" s="8" t="s">
        <v>203</v>
      </c>
      <c r="B80" s="8" t="s">
        <v>204</v>
      </c>
      <c r="C80" s="8">
        <v>78</v>
      </c>
      <c r="D80" s="8" t="s">
        <v>16</v>
      </c>
      <c r="E80" s="8" t="s">
        <v>60</v>
      </c>
    </row>
    <row r="81" spans="1:5" x14ac:dyDescent="0.2">
      <c r="A81" s="8" t="s">
        <v>205</v>
      </c>
      <c r="B81" s="8" t="s">
        <v>206</v>
      </c>
      <c r="C81" s="8">
        <v>109</v>
      </c>
      <c r="D81" s="8" t="s">
        <v>16</v>
      </c>
      <c r="E81" s="8" t="s">
        <v>60</v>
      </c>
    </row>
    <row r="82" spans="1:5" x14ac:dyDescent="0.2">
      <c r="A82" s="8" t="s">
        <v>207</v>
      </c>
      <c r="B82" s="8" t="s">
        <v>208</v>
      </c>
      <c r="C82" s="8">
        <v>13</v>
      </c>
      <c r="D82" s="8" t="s">
        <v>16</v>
      </c>
      <c r="E82" s="8" t="s">
        <v>60</v>
      </c>
    </row>
    <row r="83" spans="1:5" x14ac:dyDescent="0.2">
      <c r="A83" s="8" t="s">
        <v>209</v>
      </c>
      <c r="B83" s="8" t="s">
        <v>210</v>
      </c>
      <c r="C83" s="8">
        <v>195</v>
      </c>
      <c r="D83" s="8" t="s">
        <v>16</v>
      </c>
      <c r="E83" s="8" t="s">
        <v>60</v>
      </c>
    </row>
    <row r="84" spans="1:5" x14ac:dyDescent="0.2">
      <c r="A84" s="8" t="s">
        <v>211</v>
      </c>
      <c r="B84" s="8" t="s">
        <v>212</v>
      </c>
      <c r="C84" s="8">
        <v>36</v>
      </c>
      <c r="D84" s="8" t="s">
        <v>16</v>
      </c>
      <c r="E84" s="8" t="s">
        <v>60</v>
      </c>
    </row>
    <row r="85" spans="1:5" x14ac:dyDescent="0.2">
      <c r="A85" s="8" t="s">
        <v>213</v>
      </c>
      <c r="B85" s="8" t="s">
        <v>214</v>
      </c>
      <c r="C85" s="8">
        <v>82</v>
      </c>
      <c r="D85" s="8" t="s">
        <v>16</v>
      </c>
      <c r="E85" s="8" t="s">
        <v>60</v>
      </c>
    </row>
    <row r="86" spans="1:5" x14ac:dyDescent="0.2">
      <c r="A86" s="8" t="s">
        <v>215</v>
      </c>
      <c r="B86" s="8" t="s">
        <v>216</v>
      </c>
      <c r="C86" s="8">
        <v>34</v>
      </c>
      <c r="D86" s="8" t="s">
        <v>16</v>
      </c>
      <c r="E86" s="8" t="s">
        <v>60</v>
      </c>
    </row>
    <row r="87" spans="1:5" x14ac:dyDescent="0.2">
      <c r="A87" s="8" t="s">
        <v>217</v>
      </c>
      <c r="B87" s="8" t="s">
        <v>218</v>
      </c>
      <c r="C87" s="8">
        <v>22</v>
      </c>
      <c r="D87" s="8" t="s">
        <v>16</v>
      </c>
      <c r="E87" s="8" t="s">
        <v>60</v>
      </c>
    </row>
    <row r="88" spans="1:5" x14ac:dyDescent="0.2">
      <c r="A88" s="8" t="s">
        <v>219</v>
      </c>
      <c r="B88" s="8" t="s">
        <v>220</v>
      </c>
      <c r="C88" s="8">
        <v>71</v>
      </c>
      <c r="D88" s="8" t="s">
        <v>16</v>
      </c>
      <c r="E88" s="8" t="s">
        <v>60</v>
      </c>
    </row>
    <row r="89" spans="1:5" x14ac:dyDescent="0.2">
      <c r="A89" s="8" t="s">
        <v>221</v>
      </c>
      <c r="B89" s="8" t="s">
        <v>222</v>
      </c>
      <c r="C89" s="8">
        <v>130</v>
      </c>
      <c r="D89" s="8" t="s">
        <v>16</v>
      </c>
      <c r="E89" s="8" t="s">
        <v>60</v>
      </c>
    </row>
    <row r="90" spans="1:5" x14ac:dyDescent="0.2">
      <c r="A90" s="8" t="s">
        <v>223</v>
      </c>
      <c r="B90" s="8" t="s">
        <v>224</v>
      </c>
      <c r="C90" s="8">
        <v>85</v>
      </c>
      <c r="D90" s="8" t="s">
        <v>16</v>
      </c>
      <c r="E90" s="8" t="s">
        <v>60</v>
      </c>
    </row>
    <row r="91" spans="1:5" x14ac:dyDescent="0.2">
      <c r="A91" s="8" t="s">
        <v>225</v>
      </c>
      <c r="B91" s="8" t="s">
        <v>226</v>
      </c>
      <c r="C91" s="8">
        <v>163</v>
      </c>
      <c r="D91" s="8" t="s">
        <v>16</v>
      </c>
      <c r="E91" s="8" t="s">
        <v>60</v>
      </c>
    </row>
    <row r="92" spans="1:5" x14ac:dyDescent="0.2">
      <c r="A92" s="8" t="s">
        <v>227</v>
      </c>
      <c r="B92" s="8" t="s">
        <v>228</v>
      </c>
      <c r="C92" s="8">
        <v>18</v>
      </c>
      <c r="D92" s="8" t="s">
        <v>16</v>
      </c>
      <c r="E92" s="8" t="s">
        <v>60</v>
      </c>
    </row>
    <row r="93" spans="1:5" x14ac:dyDescent="0.2">
      <c r="A93" s="8" t="s">
        <v>229</v>
      </c>
      <c r="B93" s="8" t="s">
        <v>230</v>
      </c>
      <c r="C93" s="8">
        <v>120</v>
      </c>
      <c r="D93" s="8" t="s">
        <v>16</v>
      </c>
      <c r="E93" s="8" t="s">
        <v>60</v>
      </c>
    </row>
    <row r="94" spans="1:5" x14ac:dyDescent="0.2">
      <c r="A94" s="8" t="s">
        <v>231</v>
      </c>
      <c r="B94" s="8" t="s">
        <v>232</v>
      </c>
      <c r="C94" s="8">
        <v>20</v>
      </c>
      <c r="D94" s="8" t="s">
        <v>16</v>
      </c>
      <c r="E94" s="8" t="s">
        <v>60</v>
      </c>
    </row>
    <row r="95" spans="1:5" x14ac:dyDescent="0.2">
      <c r="A95" s="8" t="s">
        <v>233</v>
      </c>
      <c r="B95" s="8" t="s">
        <v>234</v>
      </c>
      <c r="C95" s="8">
        <v>94</v>
      </c>
      <c r="D95" s="8" t="s">
        <v>16</v>
      </c>
      <c r="E95" s="8" t="s">
        <v>60</v>
      </c>
    </row>
    <row r="96" spans="1:5" x14ac:dyDescent="0.2">
      <c r="A96" s="8" t="s">
        <v>235</v>
      </c>
      <c r="B96" s="39" t="s">
        <v>236</v>
      </c>
      <c r="C96" s="8">
        <v>186</v>
      </c>
      <c r="D96" s="8" t="s">
        <v>16</v>
      </c>
      <c r="E96" s="8" t="s">
        <v>60</v>
      </c>
    </row>
    <row r="97" spans="1:5" x14ac:dyDescent="0.2">
      <c r="A97" s="8" t="s">
        <v>237</v>
      </c>
      <c r="B97" s="8" t="s">
        <v>238</v>
      </c>
      <c r="C97" s="8">
        <v>104</v>
      </c>
      <c r="D97" s="8" t="s">
        <v>16</v>
      </c>
      <c r="E97" s="8" t="s">
        <v>60</v>
      </c>
    </row>
    <row r="98" spans="1:5" x14ac:dyDescent="0.2">
      <c r="A98" s="8" t="s">
        <v>239</v>
      </c>
      <c r="B98" s="8" t="s">
        <v>240</v>
      </c>
      <c r="C98" s="8">
        <v>145</v>
      </c>
      <c r="D98" s="8" t="s">
        <v>16</v>
      </c>
      <c r="E98" s="8" t="s">
        <v>60</v>
      </c>
    </row>
    <row r="99" spans="1:5" x14ac:dyDescent="0.2">
      <c r="A99" s="8" t="s">
        <v>241</v>
      </c>
      <c r="B99" s="8" t="s">
        <v>242</v>
      </c>
      <c r="C99" s="8">
        <v>9</v>
      </c>
      <c r="D99" s="8" t="s">
        <v>16</v>
      </c>
      <c r="E99" s="8" t="s">
        <v>60</v>
      </c>
    </row>
    <row r="100" spans="1:5" x14ac:dyDescent="0.2">
      <c r="A100" s="8" t="s">
        <v>243</v>
      </c>
      <c r="B100" s="39" t="s">
        <v>244</v>
      </c>
      <c r="C100" s="8">
        <v>185</v>
      </c>
      <c r="D100" s="8" t="s">
        <v>16</v>
      </c>
      <c r="E100" s="8" t="s">
        <v>60</v>
      </c>
    </row>
    <row r="101" spans="1:5" x14ac:dyDescent="0.2">
      <c r="A101" s="8" t="s">
        <v>245</v>
      </c>
      <c r="B101" s="39" t="s">
        <v>246</v>
      </c>
      <c r="C101" s="8">
        <v>113</v>
      </c>
      <c r="D101" s="8" t="s">
        <v>16</v>
      </c>
      <c r="E101" s="8" t="s">
        <v>60</v>
      </c>
    </row>
    <row r="102" spans="1:5" x14ac:dyDescent="0.2">
      <c r="A102" s="8" t="s">
        <v>247</v>
      </c>
      <c r="B102" s="39" t="s">
        <v>248</v>
      </c>
      <c r="C102" s="8">
        <v>130</v>
      </c>
      <c r="D102" s="8" t="s">
        <v>16</v>
      </c>
      <c r="E102" s="8" t="s">
        <v>60</v>
      </c>
    </row>
    <row r="103" spans="1:5" x14ac:dyDescent="0.2">
      <c r="A103" s="8" t="s">
        <v>249</v>
      </c>
      <c r="B103" s="39" t="s">
        <v>250</v>
      </c>
      <c r="C103" s="8">
        <v>80</v>
      </c>
      <c r="D103" s="8" t="s">
        <v>16</v>
      </c>
      <c r="E103" s="8" t="s">
        <v>60</v>
      </c>
    </row>
    <row r="104" spans="1:5" x14ac:dyDescent="0.2">
      <c r="A104" s="8" t="s">
        <v>251</v>
      </c>
      <c r="B104" s="8" t="s">
        <v>252</v>
      </c>
      <c r="C104" s="8">
        <v>103</v>
      </c>
      <c r="D104" s="8" t="s">
        <v>16</v>
      </c>
      <c r="E104" s="8" t="s">
        <v>60</v>
      </c>
    </row>
    <row r="105" spans="1:5" x14ac:dyDescent="0.2">
      <c r="A105" s="8" t="s">
        <v>253</v>
      </c>
      <c r="B105" s="8" t="s">
        <v>254</v>
      </c>
      <c r="C105" s="8">
        <v>4</v>
      </c>
      <c r="D105" s="8" t="s">
        <v>16</v>
      </c>
      <c r="E105" s="8" t="s">
        <v>60</v>
      </c>
    </row>
    <row r="106" spans="1:5" x14ac:dyDescent="0.2">
      <c r="A106" s="8" t="s">
        <v>255</v>
      </c>
      <c r="B106" s="8" t="s">
        <v>256</v>
      </c>
      <c r="C106" s="8">
        <v>111</v>
      </c>
      <c r="D106" s="8" t="s">
        <v>16</v>
      </c>
      <c r="E106" s="8" t="s">
        <v>60</v>
      </c>
    </row>
    <row r="107" spans="1:5" x14ac:dyDescent="0.2">
      <c r="A107" s="8" t="s">
        <v>257</v>
      </c>
      <c r="B107" s="38" t="s">
        <v>258</v>
      </c>
      <c r="C107" s="8">
        <v>53</v>
      </c>
      <c r="D107" s="8" t="s">
        <v>16</v>
      </c>
      <c r="E107" s="8" t="s">
        <v>60</v>
      </c>
    </row>
    <row r="108" spans="1:5" x14ac:dyDescent="0.2">
      <c r="A108" s="8" t="s">
        <v>259</v>
      </c>
      <c r="B108" s="8" t="s">
        <v>260</v>
      </c>
      <c r="C108" s="8">
        <v>171</v>
      </c>
      <c r="D108" s="8" t="s">
        <v>16</v>
      </c>
      <c r="E108" s="8" t="s">
        <v>60</v>
      </c>
    </row>
    <row r="109" spans="1:5" x14ac:dyDescent="0.2">
      <c r="A109" s="8" t="s">
        <v>261</v>
      </c>
      <c r="B109" s="38" t="s">
        <v>262</v>
      </c>
      <c r="C109" s="8">
        <v>183</v>
      </c>
      <c r="D109" s="8" t="s">
        <v>16</v>
      </c>
      <c r="E109" s="8" t="s">
        <v>60</v>
      </c>
    </row>
    <row r="110" spans="1:5" x14ac:dyDescent="0.2">
      <c r="A110" s="8" t="s">
        <v>263</v>
      </c>
      <c r="B110" s="38" t="s">
        <v>264</v>
      </c>
      <c r="C110" s="8">
        <v>61</v>
      </c>
      <c r="D110" s="8" t="s">
        <v>16</v>
      </c>
      <c r="E110" s="8" t="s">
        <v>60</v>
      </c>
    </row>
    <row r="111" spans="1:5" x14ac:dyDescent="0.2">
      <c r="A111" s="8" t="s">
        <v>265</v>
      </c>
      <c r="B111" s="38" t="s">
        <v>266</v>
      </c>
      <c r="C111" s="8">
        <v>72</v>
      </c>
      <c r="D111" s="8" t="s">
        <v>16</v>
      </c>
      <c r="E111" s="8" t="s">
        <v>60</v>
      </c>
    </row>
    <row r="112" spans="1:5" x14ac:dyDescent="0.2">
      <c r="A112" s="8" t="s">
        <v>267</v>
      </c>
      <c r="B112" s="38" t="s">
        <v>268</v>
      </c>
      <c r="C112" s="8">
        <v>118</v>
      </c>
      <c r="D112" s="8" t="s">
        <v>16</v>
      </c>
      <c r="E112" s="8" t="s">
        <v>60</v>
      </c>
    </row>
    <row r="113" spans="1:5" x14ac:dyDescent="0.2">
      <c r="A113" s="8" t="s">
        <v>269</v>
      </c>
      <c r="B113" s="38" t="s">
        <v>270</v>
      </c>
      <c r="C113" s="8">
        <v>75</v>
      </c>
      <c r="D113" s="8" t="s">
        <v>16</v>
      </c>
      <c r="E113" s="8" t="s">
        <v>60</v>
      </c>
    </row>
    <row r="114" spans="1:5" x14ac:dyDescent="0.2">
      <c r="A114" s="8" t="s">
        <v>271</v>
      </c>
      <c r="B114" s="38" t="s">
        <v>272</v>
      </c>
      <c r="C114" s="8">
        <v>17</v>
      </c>
      <c r="D114" s="8" t="s">
        <v>16</v>
      </c>
      <c r="E114" s="8" t="s">
        <v>60</v>
      </c>
    </row>
    <row r="115" spans="1:5" x14ac:dyDescent="0.2">
      <c r="A115" s="8" t="s">
        <v>273</v>
      </c>
      <c r="B115" s="38" t="s">
        <v>274</v>
      </c>
      <c r="C115" s="8">
        <v>52</v>
      </c>
      <c r="D115" s="8" t="s">
        <v>16</v>
      </c>
      <c r="E115" s="8" t="s">
        <v>60</v>
      </c>
    </row>
    <row r="116" spans="1:5" x14ac:dyDescent="0.2">
      <c r="A116" s="8" t="s">
        <v>275</v>
      </c>
      <c r="B116" s="38" t="s">
        <v>276</v>
      </c>
      <c r="C116" s="8">
        <v>181</v>
      </c>
      <c r="D116" s="8" t="s">
        <v>16</v>
      </c>
      <c r="E116" s="8" t="s">
        <v>60</v>
      </c>
    </row>
    <row r="117" spans="1:5" x14ac:dyDescent="0.2">
      <c r="A117" s="8" t="s">
        <v>277</v>
      </c>
      <c r="B117" s="38" t="s">
        <v>278</v>
      </c>
      <c r="C117" s="8">
        <v>23</v>
      </c>
      <c r="D117" s="8" t="s">
        <v>16</v>
      </c>
      <c r="E117" s="8" t="s">
        <v>60</v>
      </c>
    </row>
    <row r="118" spans="1:5" x14ac:dyDescent="0.2">
      <c r="A118" s="8" t="s">
        <v>279</v>
      </c>
      <c r="B118" s="8" t="s">
        <v>280</v>
      </c>
      <c r="C118" s="8">
        <v>50</v>
      </c>
      <c r="D118" s="8" t="s">
        <v>16</v>
      </c>
      <c r="E118" s="8" t="s">
        <v>60</v>
      </c>
    </row>
    <row r="119" spans="1:5" x14ac:dyDescent="0.2">
      <c r="A119" s="8" t="s">
        <v>281</v>
      </c>
      <c r="B119" s="8" t="s">
        <v>282</v>
      </c>
      <c r="C119" s="8">
        <v>180</v>
      </c>
      <c r="D119" s="8" t="s">
        <v>16</v>
      </c>
      <c r="E119" s="8" t="s">
        <v>60</v>
      </c>
    </row>
    <row r="120" spans="1:5" x14ac:dyDescent="0.2">
      <c r="A120" s="8" t="s">
        <v>283</v>
      </c>
      <c r="B120" s="8" t="s">
        <v>284</v>
      </c>
      <c r="C120" s="8">
        <v>44</v>
      </c>
      <c r="D120" s="8" t="s">
        <v>16</v>
      </c>
      <c r="E120" s="8" t="s">
        <v>60</v>
      </c>
    </row>
    <row r="121" spans="1:5" x14ac:dyDescent="0.2">
      <c r="A121" s="8" t="s">
        <v>285</v>
      </c>
      <c r="B121" s="8" t="s">
        <v>286</v>
      </c>
      <c r="C121" s="8">
        <v>71</v>
      </c>
      <c r="D121" s="8" t="s">
        <v>16</v>
      </c>
      <c r="E121" s="8" t="s">
        <v>60</v>
      </c>
    </row>
    <row r="122" spans="1:5" x14ac:dyDescent="0.2">
      <c r="A122" s="8" t="s">
        <v>287</v>
      </c>
      <c r="B122" s="8" t="s">
        <v>288</v>
      </c>
      <c r="C122" s="8">
        <v>13</v>
      </c>
      <c r="D122" s="8" t="s">
        <v>16</v>
      </c>
      <c r="E122" s="8" t="s">
        <v>60</v>
      </c>
    </row>
    <row r="123" spans="1:5" x14ac:dyDescent="0.2">
      <c r="A123" s="8" t="s">
        <v>289</v>
      </c>
      <c r="B123" s="8" t="s">
        <v>290</v>
      </c>
      <c r="C123" s="8">
        <v>105</v>
      </c>
      <c r="D123" s="8" t="s">
        <v>16</v>
      </c>
      <c r="E123" s="8" t="s">
        <v>60</v>
      </c>
    </row>
    <row r="124" spans="1:5" x14ac:dyDescent="0.2">
      <c r="A124" s="8" t="s">
        <v>291</v>
      </c>
      <c r="B124" s="8" t="s">
        <v>292</v>
      </c>
      <c r="C124" s="8">
        <v>17</v>
      </c>
      <c r="D124" s="8" t="s">
        <v>16</v>
      </c>
      <c r="E124" s="8" t="s">
        <v>60</v>
      </c>
    </row>
    <row r="125" spans="1:5" x14ac:dyDescent="0.2">
      <c r="A125" s="8" t="s">
        <v>293</v>
      </c>
      <c r="B125" s="8" t="s">
        <v>294</v>
      </c>
      <c r="C125" s="8">
        <v>94</v>
      </c>
      <c r="D125" s="8" t="s">
        <v>16</v>
      </c>
      <c r="E125" s="8" t="s">
        <v>60</v>
      </c>
    </row>
    <row r="126" spans="1:5" x14ac:dyDescent="0.2">
      <c r="A126" s="8" t="s">
        <v>295</v>
      </c>
      <c r="B126" s="8" t="s">
        <v>296</v>
      </c>
      <c r="C126" s="8">
        <v>97</v>
      </c>
      <c r="D126" s="8" t="s">
        <v>16</v>
      </c>
      <c r="E126" s="8" t="s">
        <v>60</v>
      </c>
    </row>
    <row r="127" spans="1:5" x14ac:dyDescent="0.2">
      <c r="A127" s="8" t="s">
        <v>297</v>
      </c>
      <c r="B127" s="8" t="s">
        <v>298</v>
      </c>
      <c r="C127" s="8">
        <v>195</v>
      </c>
      <c r="D127" s="8" t="s">
        <v>16</v>
      </c>
      <c r="E127" s="8" t="s">
        <v>60</v>
      </c>
    </row>
    <row r="128" spans="1:5" x14ac:dyDescent="0.2">
      <c r="A128" s="8" t="s">
        <v>299</v>
      </c>
      <c r="B128" s="8" t="s">
        <v>300</v>
      </c>
      <c r="C128" s="8">
        <v>127</v>
      </c>
      <c r="D128" s="8" t="s">
        <v>16</v>
      </c>
      <c r="E128" s="8" t="s">
        <v>60</v>
      </c>
    </row>
    <row r="129" spans="1:5" x14ac:dyDescent="0.2">
      <c r="A129" s="8" t="s">
        <v>301</v>
      </c>
      <c r="B129" s="8" t="s">
        <v>302</v>
      </c>
      <c r="C129" s="8">
        <v>78</v>
      </c>
      <c r="D129" s="8" t="s">
        <v>16</v>
      </c>
      <c r="E129" s="8" t="s">
        <v>60</v>
      </c>
    </row>
    <row r="130" spans="1:5" x14ac:dyDescent="0.2">
      <c r="A130" s="8" t="s">
        <v>303</v>
      </c>
      <c r="B130" s="8" t="s">
        <v>304</v>
      </c>
      <c r="C130" s="8">
        <v>193</v>
      </c>
      <c r="D130" s="8" t="s">
        <v>16</v>
      </c>
      <c r="E130" s="8" t="s">
        <v>60</v>
      </c>
    </row>
    <row r="131" spans="1:5" x14ac:dyDescent="0.2">
      <c r="A131" s="8" t="s">
        <v>305</v>
      </c>
      <c r="B131" s="38" t="s">
        <v>306</v>
      </c>
      <c r="C131" s="8">
        <v>193</v>
      </c>
      <c r="D131" s="8" t="s">
        <v>16</v>
      </c>
      <c r="E131" s="8" t="s">
        <v>60</v>
      </c>
    </row>
    <row r="132" spans="1:5" x14ac:dyDescent="0.2">
      <c r="A132" s="8" t="s">
        <v>307</v>
      </c>
      <c r="B132" s="8" t="s">
        <v>308</v>
      </c>
      <c r="C132" s="8">
        <v>104</v>
      </c>
      <c r="D132" s="8" t="s">
        <v>16</v>
      </c>
      <c r="E132" s="8" t="s">
        <v>60</v>
      </c>
    </row>
    <row r="133" spans="1:5" x14ac:dyDescent="0.2">
      <c r="A133" s="8" t="s">
        <v>309</v>
      </c>
      <c r="B133" s="8" t="s">
        <v>310</v>
      </c>
      <c r="C133" s="8">
        <v>81</v>
      </c>
      <c r="D133" s="8" t="s">
        <v>16</v>
      </c>
      <c r="E133" s="8" t="s">
        <v>60</v>
      </c>
    </row>
    <row r="134" spans="1:5" x14ac:dyDescent="0.2">
      <c r="A134" s="8" t="s">
        <v>311</v>
      </c>
      <c r="B134" s="8" t="s">
        <v>312</v>
      </c>
      <c r="C134" s="8">
        <v>148</v>
      </c>
      <c r="D134" s="8" t="s">
        <v>16</v>
      </c>
      <c r="E134" s="8" t="s">
        <v>60</v>
      </c>
    </row>
    <row r="135" spans="1:5" x14ac:dyDescent="0.2">
      <c r="A135" s="8" t="s">
        <v>313</v>
      </c>
      <c r="B135" s="8" t="s">
        <v>314</v>
      </c>
      <c r="C135" s="8">
        <v>162</v>
      </c>
      <c r="D135" s="8" t="s">
        <v>16</v>
      </c>
      <c r="E135" s="8" t="s">
        <v>60</v>
      </c>
    </row>
    <row r="136" spans="1:5" x14ac:dyDescent="0.2">
      <c r="A136" s="8" t="s">
        <v>315</v>
      </c>
      <c r="B136" s="8" t="s">
        <v>316</v>
      </c>
      <c r="C136" s="8">
        <v>82</v>
      </c>
      <c r="D136" s="8" t="s">
        <v>16</v>
      </c>
      <c r="E136" s="8" t="s">
        <v>60</v>
      </c>
    </row>
    <row r="137" spans="1:5" x14ac:dyDescent="0.2">
      <c r="A137" s="8" t="s">
        <v>317</v>
      </c>
      <c r="B137" s="8" t="s">
        <v>318</v>
      </c>
      <c r="C137" s="8">
        <v>159</v>
      </c>
      <c r="D137" s="8" t="s">
        <v>16</v>
      </c>
      <c r="E137" s="8" t="s">
        <v>60</v>
      </c>
    </row>
    <row r="138" spans="1:5" x14ac:dyDescent="0.2">
      <c r="A138" s="8" t="s">
        <v>319</v>
      </c>
      <c r="B138" s="8" t="s">
        <v>320</v>
      </c>
      <c r="C138" s="8">
        <v>43</v>
      </c>
      <c r="D138" s="8" t="s">
        <v>10</v>
      </c>
      <c r="E138" s="8" t="s">
        <v>60</v>
      </c>
    </row>
    <row r="139" spans="1:5" x14ac:dyDescent="0.2">
      <c r="A139" s="8" t="s">
        <v>321</v>
      </c>
      <c r="B139" s="8" t="s">
        <v>322</v>
      </c>
      <c r="C139" s="8">
        <v>168</v>
      </c>
      <c r="D139" s="8" t="s">
        <v>10</v>
      </c>
      <c r="E139" s="8" t="s">
        <v>60</v>
      </c>
    </row>
    <row r="140" spans="1:5" x14ac:dyDescent="0.2">
      <c r="A140" s="8" t="s">
        <v>323</v>
      </c>
      <c r="B140" s="8" t="s">
        <v>324</v>
      </c>
      <c r="C140" s="8">
        <v>154</v>
      </c>
      <c r="D140" s="8" t="s">
        <v>10</v>
      </c>
      <c r="E140" s="8" t="s">
        <v>60</v>
      </c>
    </row>
    <row r="141" spans="1:5" x14ac:dyDescent="0.2">
      <c r="A141" s="8" t="s">
        <v>325</v>
      </c>
      <c r="B141" s="8" t="s">
        <v>326</v>
      </c>
      <c r="C141" s="8">
        <v>198</v>
      </c>
      <c r="D141" s="8" t="s">
        <v>10</v>
      </c>
      <c r="E141" s="8" t="s">
        <v>60</v>
      </c>
    </row>
    <row r="142" spans="1:5" x14ac:dyDescent="0.2">
      <c r="A142" s="8" t="s">
        <v>327</v>
      </c>
      <c r="B142" s="8" t="s">
        <v>328</v>
      </c>
      <c r="C142" s="8">
        <v>130</v>
      </c>
      <c r="D142" s="8" t="s">
        <v>10</v>
      </c>
      <c r="E142" s="8" t="s">
        <v>60</v>
      </c>
    </row>
    <row r="143" spans="1:5" x14ac:dyDescent="0.2">
      <c r="A143" s="8" t="s">
        <v>329</v>
      </c>
      <c r="B143" s="8" t="s">
        <v>330</v>
      </c>
      <c r="C143" s="8">
        <v>5</v>
      </c>
      <c r="D143" s="8" t="s">
        <v>10</v>
      </c>
      <c r="E143" s="8" t="s">
        <v>60</v>
      </c>
    </row>
    <row r="144" spans="1:5" x14ac:dyDescent="0.2">
      <c r="A144" s="8" t="s">
        <v>331</v>
      </c>
      <c r="B144" s="8" t="s">
        <v>332</v>
      </c>
      <c r="C144" s="8">
        <v>78</v>
      </c>
      <c r="D144" s="8" t="s">
        <v>10</v>
      </c>
      <c r="E144" s="8" t="s">
        <v>60</v>
      </c>
    </row>
    <row r="145" spans="1:5" x14ac:dyDescent="0.2">
      <c r="A145" s="8" t="s">
        <v>30</v>
      </c>
      <c r="B145" s="8" t="s">
        <v>31</v>
      </c>
      <c r="C145" s="8">
        <v>119</v>
      </c>
      <c r="D145" s="8" t="s">
        <v>10</v>
      </c>
      <c r="E145" s="8" t="s">
        <v>60</v>
      </c>
    </row>
    <row r="146" spans="1:5" x14ac:dyDescent="0.2">
      <c r="A146" s="8" t="s">
        <v>333</v>
      </c>
      <c r="B146" s="8" t="s">
        <v>334</v>
      </c>
      <c r="C146" s="8">
        <v>186</v>
      </c>
      <c r="D146" s="8" t="s">
        <v>10</v>
      </c>
      <c r="E146" s="8" t="s">
        <v>60</v>
      </c>
    </row>
    <row r="147" spans="1:5" x14ac:dyDescent="0.2">
      <c r="A147" s="8" t="s">
        <v>33</v>
      </c>
      <c r="B147" s="8" t="s">
        <v>34</v>
      </c>
      <c r="C147" s="8">
        <v>61</v>
      </c>
      <c r="D147" s="8" t="s">
        <v>10</v>
      </c>
      <c r="E147" s="8" t="s">
        <v>60</v>
      </c>
    </row>
    <row r="148" spans="1:5" x14ac:dyDescent="0.2">
      <c r="A148" s="8" t="s">
        <v>335</v>
      </c>
      <c r="B148" s="8" t="s">
        <v>336</v>
      </c>
      <c r="C148" s="8">
        <v>9</v>
      </c>
      <c r="D148" s="8" t="s">
        <v>10</v>
      </c>
      <c r="E148" s="8" t="s">
        <v>60</v>
      </c>
    </row>
    <row r="149" spans="1:5" x14ac:dyDescent="0.2">
      <c r="A149" s="8" t="s">
        <v>337</v>
      </c>
      <c r="B149" s="8" t="s">
        <v>338</v>
      </c>
      <c r="C149" s="8">
        <v>152</v>
      </c>
      <c r="D149" s="8" t="s">
        <v>10</v>
      </c>
      <c r="E149" s="8" t="s">
        <v>60</v>
      </c>
    </row>
    <row r="150" spans="1:5" x14ac:dyDescent="0.2">
      <c r="A150" s="8" t="s">
        <v>339</v>
      </c>
      <c r="B150" s="8" t="s">
        <v>340</v>
      </c>
      <c r="C150" s="8">
        <v>56</v>
      </c>
      <c r="D150" s="8" t="s">
        <v>10</v>
      </c>
      <c r="E150" s="8" t="s">
        <v>60</v>
      </c>
    </row>
    <row r="151" spans="1:5" x14ac:dyDescent="0.2">
      <c r="A151" s="8" t="s">
        <v>341</v>
      </c>
      <c r="B151" s="8" t="s">
        <v>342</v>
      </c>
      <c r="C151" s="8">
        <v>187</v>
      </c>
      <c r="D151" s="8" t="s">
        <v>10</v>
      </c>
      <c r="E151" s="8" t="s">
        <v>60</v>
      </c>
    </row>
    <row r="152" spans="1:5" x14ac:dyDescent="0.2">
      <c r="A152" s="8" t="s">
        <v>343</v>
      </c>
      <c r="B152" s="8" t="s">
        <v>344</v>
      </c>
      <c r="C152" s="8">
        <v>86</v>
      </c>
      <c r="D152" s="8" t="s">
        <v>10</v>
      </c>
      <c r="E152" s="8" t="s">
        <v>60</v>
      </c>
    </row>
    <row r="153" spans="1:5" x14ac:dyDescent="0.2">
      <c r="A153" s="8" t="s">
        <v>345</v>
      </c>
      <c r="B153" s="8" t="s">
        <v>346</v>
      </c>
      <c r="C153" s="8">
        <v>140</v>
      </c>
      <c r="D153" s="8" t="s">
        <v>10</v>
      </c>
      <c r="E153" s="8" t="s">
        <v>60</v>
      </c>
    </row>
    <row r="154" spans="1:5" x14ac:dyDescent="0.2">
      <c r="A154" s="8" t="s">
        <v>347</v>
      </c>
      <c r="B154" s="8" t="s">
        <v>348</v>
      </c>
      <c r="C154" s="8">
        <v>83</v>
      </c>
      <c r="D154" s="8" t="s">
        <v>10</v>
      </c>
      <c r="E154" s="8" t="s">
        <v>60</v>
      </c>
    </row>
    <row r="155" spans="1:5" x14ac:dyDescent="0.2">
      <c r="A155" s="8" t="s">
        <v>349</v>
      </c>
      <c r="B155" s="8" t="s">
        <v>350</v>
      </c>
      <c r="C155" s="8">
        <v>3</v>
      </c>
      <c r="D155" s="8" t="s">
        <v>10</v>
      </c>
      <c r="E155" s="8" t="s">
        <v>60</v>
      </c>
    </row>
    <row r="156" spans="1:5" x14ac:dyDescent="0.2">
      <c r="A156" s="8" t="s">
        <v>40</v>
      </c>
      <c r="B156" s="8" t="s">
        <v>41</v>
      </c>
      <c r="C156" s="8">
        <v>30</v>
      </c>
      <c r="D156" s="8" t="s">
        <v>10</v>
      </c>
      <c r="E156" s="8" t="s">
        <v>60</v>
      </c>
    </row>
    <row r="157" spans="1:5" x14ac:dyDescent="0.2">
      <c r="A157" s="8" t="s">
        <v>351</v>
      </c>
      <c r="B157" s="8" t="s">
        <v>352</v>
      </c>
      <c r="C157" s="8">
        <v>51</v>
      </c>
      <c r="D157" s="8" t="s">
        <v>10</v>
      </c>
      <c r="E157" s="8" t="s">
        <v>60</v>
      </c>
    </row>
    <row r="158" spans="1:5" x14ac:dyDescent="0.2">
      <c r="A158" s="8" t="s">
        <v>353</v>
      </c>
      <c r="B158" s="8" t="s">
        <v>354</v>
      </c>
      <c r="C158" s="8">
        <v>199</v>
      </c>
      <c r="D158" s="8" t="s">
        <v>10</v>
      </c>
      <c r="E158" s="8" t="s">
        <v>60</v>
      </c>
    </row>
    <row r="159" spans="1:5" x14ac:dyDescent="0.2">
      <c r="A159" s="8" t="s">
        <v>355</v>
      </c>
      <c r="B159" s="8" t="s">
        <v>356</v>
      </c>
      <c r="C159" s="8">
        <v>32</v>
      </c>
      <c r="D159" s="8" t="s">
        <v>10</v>
      </c>
      <c r="E159" s="8" t="s">
        <v>60</v>
      </c>
    </row>
    <row r="160" spans="1:5" x14ac:dyDescent="0.2">
      <c r="A160" s="8" t="s">
        <v>357</v>
      </c>
      <c r="B160" s="8" t="s">
        <v>358</v>
      </c>
      <c r="C160" s="8">
        <v>87</v>
      </c>
      <c r="D160" s="8" t="s">
        <v>10</v>
      </c>
      <c r="E160" s="8" t="s">
        <v>60</v>
      </c>
    </row>
    <row r="161" spans="1:5" x14ac:dyDescent="0.2">
      <c r="A161" s="8" t="s">
        <v>359</v>
      </c>
      <c r="B161" s="8" t="s">
        <v>360</v>
      </c>
      <c r="C161" s="8">
        <v>88</v>
      </c>
      <c r="D161" s="8" t="s">
        <v>10</v>
      </c>
      <c r="E161" s="8" t="s">
        <v>60</v>
      </c>
    </row>
    <row r="162" spans="1:5" x14ac:dyDescent="0.2">
      <c r="A162" s="8" t="s">
        <v>361</v>
      </c>
      <c r="B162" s="8" t="s">
        <v>362</v>
      </c>
      <c r="C162" s="8">
        <v>101</v>
      </c>
      <c r="D162" s="8" t="s">
        <v>10</v>
      </c>
      <c r="E162" s="8" t="s">
        <v>60</v>
      </c>
    </row>
    <row r="163" spans="1:5" x14ac:dyDescent="0.2">
      <c r="A163" s="8" t="s">
        <v>363</v>
      </c>
      <c r="B163" s="8" t="s">
        <v>364</v>
      </c>
      <c r="C163" s="8">
        <v>126</v>
      </c>
      <c r="D163" s="8" t="s">
        <v>10</v>
      </c>
      <c r="E163" s="8" t="s">
        <v>60</v>
      </c>
    </row>
    <row r="164" spans="1:5" x14ac:dyDescent="0.2">
      <c r="A164" s="8" t="s">
        <v>365</v>
      </c>
      <c r="B164" s="8" t="s">
        <v>366</v>
      </c>
      <c r="C164" s="8">
        <v>13</v>
      </c>
      <c r="D164" s="8" t="s">
        <v>10</v>
      </c>
      <c r="E164" s="8" t="s">
        <v>60</v>
      </c>
    </row>
    <row r="165" spans="1:5" x14ac:dyDescent="0.2">
      <c r="A165" s="8" t="s">
        <v>367</v>
      </c>
      <c r="B165" s="8" t="s">
        <v>368</v>
      </c>
      <c r="C165" s="8">
        <v>169</v>
      </c>
      <c r="D165" s="8" t="s">
        <v>10</v>
      </c>
      <c r="E165" s="8" t="s">
        <v>60</v>
      </c>
    </row>
    <row r="166" spans="1:5" x14ac:dyDescent="0.2">
      <c r="A166" s="8" t="s">
        <v>369</v>
      </c>
      <c r="B166" s="8" t="s">
        <v>370</v>
      </c>
      <c r="C166" s="8">
        <v>20</v>
      </c>
      <c r="D166" s="8" t="s">
        <v>10</v>
      </c>
      <c r="E166" s="8" t="s">
        <v>60</v>
      </c>
    </row>
    <row r="167" spans="1:5" x14ac:dyDescent="0.2">
      <c r="A167" s="8" t="s">
        <v>371</v>
      </c>
      <c r="B167" s="8" t="s">
        <v>372</v>
      </c>
      <c r="C167" s="8">
        <v>17</v>
      </c>
      <c r="D167" s="8" t="s">
        <v>10</v>
      </c>
      <c r="E167" s="8" t="s">
        <v>60</v>
      </c>
    </row>
    <row r="168" spans="1:5" x14ac:dyDescent="0.2">
      <c r="A168" s="8" t="s">
        <v>373</v>
      </c>
      <c r="B168" s="8" t="s">
        <v>374</v>
      </c>
      <c r="C168" s="8">
        <v>92</v>
      </c>
      <c r="D168" s="8" t="s">
        <v>10</v>
      </c>
      <c r="E168" s="8" t="s">
        <v>60</v>
      </c>
    </row>
    <row r="169" spans="1:5" x14ac:dyDescent="0.2">
      <c r="A169" s="8" t="s">
        <v>375</v>
      </c>
      <c r="B169" s="8" t="s">
        <v>376</v>
      </c>
      <c r="C169" s="8">
        <v>128</v>
      </c>
      <c r="D169" s="8" t="s">
        <v>10</v>
      </c>
      <c r="E169" s="8" t="s">
        <v>60</v>
      </c>
    </row>
    <row r="170" spans="1:5" x14ac:dyDescent="0.2">
      <c r="A170" s="8" t="s">
        <v>377</v>
      </c>
      <c r="B170" s="8" t="s">
        <v>378</v>
      </c>
      <c r="C170" s="8">
        <v>103</v>
      </c>
      <c r="D170" s="8" t="s">
        <v>10</v>
      </c>
      <c r="E170" s="8" t="s">
        <v>60</v>
      </c>
    </row>
    <row r="171" spans="1:5" x14ac:dyDescent="0.2">
      <c r="A171" s="8" t="s">
        <v>379</v>
      </c>
      <c r="B171" s="8" t="s">
        <v>380</v>
      </c>
      <c r="C171" s="8">
        <v>60</v>
      </c>
      <c r="D171" s="8" t="s">
        <v>10</v>
      </c>
      <c r="E171" s="8" t="s">
        <v>60</v>
      </c>
    </row>
    <row r="172" spans="1:5" x14ac:dyDescent="0.2">
      <c r="A172" s="8" t="s">
        <v>381</v>
      </c>
      <c r="B172" s="8" t="s">
        <v>382</v>
      </c>
      <c r="C172" s="8">
        <v>154</v>
      </c>
      <c r="D172" s="8" t="s">
        <v>10</v>
      </c>
      <c r="E172" s="8" t="s">
        <v>60</v>
      </c>
    </row>
    <row r="173" spans="1:5" x14ac:dyDescent="0.2">
      <c r="A173" s="8" t="s">
        <v>383</v>
      </c>
      <c r="B173" s="8" t="s">
        <v>384</v>
      </c>
      <c r="C173" s="8">
        <v>136</v>
      </c>
      <c r="D173" s="8" t="s">
        <v>10</v>
      </c>
      <c r="E173" s="8" t="s">
        <v>60</v>
      </c>
    </row>
    <row r="174" spans="1:5" x14ac:dyDescent="0.2">
      <c r="A174" s="8" t="s">
        <v>385</v>
      </c>
      <c r="B174" s="8" t="s">
        <v>386</v>
      </c>
      <c r="C174" s="8">
        <v>1</v>
      </c>
      <c r="D174" s="8" t="s">
        <v>10</v>
      </c>
      <c r="E174" s="8" t="s">
        <v>60</v>
      </c>
    </row>
    <row r="175" spans="1:5" x14ac:dyDescent="0.2">
      <c r="A175" s="8" t="s">
        <v>387</v>
      </c>
      <c r="B175" s="8" t="s">
        <v>388</v>
      </c>
      <c r="C175" s="8">
        <v>135</v>
      </c>
      <c r="D175" s="8" t="s">
        <v>10</v>
      </c>
      <c r="E175" s="8" t="s">
        <v>60</v>
      </c>
    </row>
    <row r="176" spans="1:5" x14ac:dyDescent="0.2">
      <c r="A176" s="8" t="s">
        <v>389</v>
      </c>
      <c r="B176" s="8" t="s">
        <v>390</v>
      </c>
      <c r="C176" s="8">
        <v>158</v>
      </c>
      <c r="D176" s="8" t="s">
        <v>10</v>
      </c>
      <c r="E176" s="8" t="s">
        <v>60</v>
      </c>
    </row>
    <row r="177" spans="1:5" x14ac:dyDescent="0.2">
      <c r="A177" s="8" t="s">
        <v>391</v>
      </c>
      <c r="B177" s="8" t="s">
        <v>392</v>
      </c>
      <c r="C177" s="8">
        <v>158</v>
      </c>
      <c r="D177" s="8" t="s">
        <v>10</v>
      </c>
      <c r="E177" s="8" t="s">
        <v>60</v>
      </c>
    </row>
    <row r="178" spans="1:5" x14ac:dyDescent="0.2">
      <c r="A178" s="8" t="s">
        <v>393</v>
      </c>
      <c r="B178" s="8" t="s">
        <v>394</v>
      </c>
      <c r="C178" s="8">
        <v>39</v>
      </c>
      <c r="D178" s="8" t="s">
        <v>10</v>
      </c>
      <c r="E178" s="8" t="s">
        <v>60</v>
      </c>
    </row>
    <row r="179" spans="1:5" x14ac:dyDescent="0.2">
      <c r="A179" s="8" t="s">
        <v>395</v>
      </c>
      <c r="B179" s="8" t="s">
        <v>396</v>
      </c>
      <c r="C179" s="8">
        <v>82</v>
      </c>
      <c r="D179" s="8" t="s">
        <v>10</v>
      </c>
      <c r="E179" s="8" t="s">
        <v>60</v>
      </c>
    </row>
    <row r="180" spans="1:5" x14ac:dyDescent="0.2">
      <c r="A180" s="8" t="s">
        <v>397</v>
      </c>
      <c r="B180" s="8" t="s">
        <v>398</v>
      </c>
      <c r="C180" s="8">
        <v>123</v>
      </c>
      <c r="D180" s="8" t="s">
        <v>10</v>
      </c>
      <c r="E180" s="8" t="s">
        <v>60</v>
      </c>
    </row>
    <row r="181" spans="1:5" x14ac:dyDescent="0.2">
      <c r="A181" s="8" t="s">
        <v>399</v>
      </c>
      <c r="B181" s="8" t="s">
        <v>400</v>
      </c>
      <c r="C181" s="8">
        <v>2</v>
      </c>
      <c r="D181" s="8" t="s">
        <v>10</v>
      </c>
      <c r="E181" s="8" t="s">
        <v>60</v>
      </c>
    </row>
    <row r="182" spans="1:5" x14ac:dyDescent="0.2">
      <c r="A182" s="8" t="s">
        <v>401</v>
      </c>
      <c r="B182" s="8" t="s">
        <v>402</v>
      </c>
      <c r="C182" s="8">
        <v>124</v>
      </c>
      <c r="D182" s="8" t="s">
        <v>10</v>
      </c>
      <c r="E182" s="8" t="s">
        <v>60</v>
      </c>
    </row>
    <row r="183" spans="1:5" x14ac:dyDescent="0.2">
      <c r="A183" s="8" t="s">
        <v>403</v>
      </c>
      <c r="B183" s="8" t="s">
        <v>404</v>
      </c>
      <c r="C183" s="8">
        <v>148</v>
      </c>
      <c r="D183" s="8" t="s">
        <v>10</v>
      </c>
      <c r="E183" s="8" t="s">
        <v>60</v>
      </c>
    </row>
    <row r="184" spans="1:5" x14ac:dyDescent="0.2">
      <c r="A184" s="8" t="s">
        <v>405</v>
      </c>
      <c r="B184" s="8" t="s">
        <v>406</v>
      </c>
      <c r="C184" s="8">
        <v>33</v>
      </c>
      <c r="D184" s="8" t="s">
        <v>10</v>
      </c>
      <c r="E184" s="8" t="s">
        <v>60</v>
      </c>
    </row>
    <row r="185" spans="1:5" x14ac:dyDescent="0.2">
      <c r="A185" s="8" t="s">
        <v>407</v>
      </c>
      <c r="B185" s="8" t="s">
        <v>408</v>
      </c>
      <c r="C185" s="8">
        <v>200</v>
      </c>
      <c r="D185" s="8" t="s">
        <v>10</v>
      </c>
      <c r="E185" s="8" t="s">
        <v>60</v>
      </c>
    </row>
    <row r="186" spans="1:5" x14ac:dyDescent="0.2">
      <c r="A186" s="8" t="s">
        <v>409</v>
      </c>
      <c r="B186" s="8" t="s">
        <v>410</v>
      </c>
      <c r="C186" s="8">
        <v>44</v>
      </c>
      <c r="D186" s="8" t="s">
        <v>10</v>
      </c>
      <c r="E186" s="8" t="s">
        <v>60</v>
      </c>
    </row>
    <row r="187" spans="1:5" x14ac:dyDescent="0.2">
      <c r="A187" s="8" t="s">
        <v>411</v>
      </c>
      <c r="B187" s="8" t="s">
        <v>412</v>
      </c>
      <c r="C187" s="8">
        <v>20</v>
      </c>
      <c r="D187" s="8" t="s">
        <v>10</v>
      </c>
      <c r="E187" s="8" t="s">
        <v>60</v>
      </c>
    </row>
    <row r="188" spans="1:5" x14ac:dyDescent="0.2">
      <c r="A188" s="8" t="s">
        <v>413</v>
      </c>
      <c r="B188" s="8" t="s">
        <v>414</v>
      </c>
      <c r="C188" s="8">
        <v>62</v>
      </c>
      <c r="D188" s="8" t="s">
        <v>10</v>
      </c>
      <c r="E188" s="8" t="s">
        <v>60</v>
      </c>
    </row>
    <row r="189" spans="1:5" x14ac:dyDescent="0.2">
      <c r="A189" s="8" t="s">
        <v>415</v>
      </c>
      <c r="B189" s="8" t="s">
        <v>416</v>
      </c>
      <c r="C189" s="8">
        <v>9</v>
      </c>
      <c r="D189" s="8" t="s">
        <v>10</v>
      </c>
      <c r="E189" s="8" t="s">
        <v>60</v>
      </c>
    </row>
    <row r="190" spans="1:5" x14ac:dyDescent="0.2">
      <c r="A190" s="8" t="s">
        <v>417</v>
      </c>
      <c r="B190" s="8" t="s">
        <v>418</v>
      </c>
      <c r="C190" s="8">
        <v>57</v>
      </c>
      <c r="D190" s="8" t="s">
        <v>10</v>
      </c>
      <c r="E190" s="8" t="s">
        <v>60</v>
      </c>
    </row>
    <row r="191" spans="1:5" x14ac:dyDescent="0.2">
      <c r="A191" s="8" t="s">
        <v>419</v>
      </c>
      <c r="B191" s="8" t="s">
        <v>420</v>
      </c>
      <c r="C191" s="8">
        <v>146</v>
      </c>
      <c r="D191" s="8" t="s">
        <v>10</v>
      </c>
      <c r="E191" s="8" t="s">
        <v>60</v>
      </c>
    </row>
    <row r="192" spans="1:5" x14ac:dyDescent="0.2">
      <c r="A192" s="8" t="s">
        <v>421</v>
      </c>
      <c r="B192" s="8" t="s">
        <v>422</v>
      </c>
      <c r="C192" s="8">
        <v>144</v>
      </c>
      <c r="D192" s="8" t="s">
        <v>10</v>
      </c>
      <c r="E192" s="8" t="s">
        <v>60</v>
      </c>
    </row>
    <row r="193" spans="1:5" x14ac:dyDescent="0.2">
      <c r="A193" s="8" t="s">
        <v>423</v>
      </c>
      <c r="B193" s="8" t="s">
        <v>424</v>
      </c>
      <c r="C193" s="8">
        <v>148</v>
      </c>
      <c r="D193" s="8" t="s">
        <v>10</v>
      </c>
      <c r="E193" s="8" t="s">
        <v>60</v>
      </c>
    </row>
    <row r="194" spans="1:5" x14ac:dyDescent="0.2">
      <c r="A194" s="8" t="s">
        <v>425</v>
      </c>
      <c r="B194" s="8" t="s">
        <v>426</v>
      </c>
      <c r="C194" s="8">
        <v>176</v>
      </c>
      <c r="D194" s="8" t="s">
        <v>10</v>
      </c>
      <c r="E194" s="8" t="s">
        <v>60</v>
      </c>
    </row>
    <row r="195" spans="1:5" x14ac:dyDescent="0.2">
      <c r="A195" s="8" t="s">
        <v>427</v>
      </c>
      <c r="B195" s="8" t="s">
        <v>428</v>
      </c>
      <c r="C195" s="8">
        <v>84</v>
      </c>
      <c r="D195" s="8" t="s">
        <v>10</v>
      </c>
      <c r="E195" s="8" t="s">
        <v>60</v>
      </c>
    </row>
    <row r="196" spans="1:5" x14ac:dyDescent="0.2">
      <c r="A196" s="8" t="s">
        <v>429</v>
      </c>
      <c r="B196" s="8" t="s">
        <v>430</v>
      </c>
      <c r="C196" s="8">
        <v>92</v>
      </c>
      <c r="D196" s="8" t="s">
        <v>10</v>
      </c>
      <c r="E196" s="8" t="s">
        <v>60</v>
      </c>
    </row>
    <row r="197" spans="1:5" x14ac:dyDescent="0.2">
      <c r="A197" s="8" t="s">
        <v>431</v>
      </c>
      <c r="B197" s="8" t="s">
        <v>432</v>
      </c>
      <c r="C197" s="8">
        <v>24</v>
      </c>
      <c r="D197" s="8" t="s">
        <v>10</v>
      </c>
      <c r="E197" s="8" t="s">
        <v>60</v>
      </c>
    </row>
    <row r="198" spans="1:5" x14ac:dyDescent="0.2">
      <c r="A198" s="8" t="s">
        <v>433</v>
      </c>
      <c r="B198" s="8" t="s">
        <v>434</v>
      </c>
      <c r="C198" s="8">
        <v>114</v>
      </c>
      <c r="D198" s="8" t="s">
        <v>10</v>
      </c>
      <c r="E198" s="8" t="s">
        <v>60</v>
      </c>
    </row>
    <row r="199" spans="1:5" x14ac:dyDescent="0.2">
      <c r="A199" s="8" t="s">
        <v>435</v>
      </c>
      <c r="B199" s="8" t="s">
        <v>436</v>
      </c>
      <c r="C199" s="8">
        <v>96</v>
      </c>
      <c r="D199" s="8" t="s">
        <v>10</v>
      </c>
      <c r="E199" s="8" t="s">
        <v>60</v>
      </c>
    </row>
    <row r="200" spans="1:5" x14ac:dyDescent="0.2">
      <c r="A200" s="8" t="s">
        <v>437</v>
      </c>
      <c r="B200" s="8" t="s">
        <v>438</v>
      </c>
      <c r="C200" s="8">
        <v>40</v>
      </c>
      <c r="D200" s="8" t="s">
        <v>10</v>
      </c>
      <c r="E200" s="8" t="s">
        <v>60</v>
      </c>
    </row>
    <row r="201" spans="1:5" x14ac:dyDescent="0.2">
      <c r="A201" s="8" t="s">
        <v>439</v>
      </c>
      <c r="B201" s="8" t="s">
        <v>440</v>
      </c>
      <c r="C201" s="8">
        <v>129</v>
      </c>
      <c r="D201" s="8" t="s">
        <v>10</v>
      </c>
      <c r="E201" s="8" t="s">
        <v>60</v>
      </c>
    </row>
    <row r="202" spans="1:5" x14ac:dyDescent="0.2">
      <c r="A202" s="8" t="s">
        <v>441</v>
      </c>
      <c r="B202" s="8" t="s">
        <v>442</v>
      </c>
      <c r="C202" s="8">
        <v>20</v>
      </c>
      <c r="D202" s="8" t="s">
        <v>10</v>
      </c>
      <c r="E202" s="8" t="s">
        <v>60</v>
      </c>
    </row>
    <row r="203" spans="1:5" x14ac:dyDescent="0.2">
      <c r="A203" s="8" t="s">
        <v>443</v>
      </c>
      <c r="B203" s="8" t="s">
        <v>444</v>
      </c>
      <c r="C203" s="8">
        <v>26</v>
      </c>
      <c r="D203" s="8" t="s">
        <v>10</v>
      </c>
      <c r="E203" s="8" t="s">
        <v>60</v>
      </c>
    </row>
    <row r="204" spans="1:5" x14ac:dyDescent="0.2">
      <c r="A204" s="8" t="s">
        <v>445</v>
      </c>
      <c r="B204" s="8" t="s">
        <v>446</v>
      </c>
      <c r="C204" s="8">
        <v>196</v>
      </c>
      <c r="D204" s="8" t="s">
        <v>10</v>
      </c>
      <c r="E204" s="8" t="s">
        <v>60</v>
      </c>
    </row>
    <row r="205" spans="1:5" x14ac:dyDescent="0.2">
      <c r="A205" s="8" t="s">
        <v>447</v>
      </c>
      <c r="B205" s="8" t="s">
        <v>448</v>
      </c>
      <c r="C205" s="8">
        <v>195</v>
      </c>
      <c r="D205" s="8" t="s">
        <v>10</v>
      </c>
      <c r="E205" s="8" t="s">
        <v>60</v>
      </c>
    </row>
    <row r="206" spans="1:5" x14ac:dyDescent="0.2">
      <c r="A206" s="8" t="s">
        <v>449</v>
      </c>
      <c r="B206" s="8" t="s">
        <v>450</v>
      </c>
      <c r="C206" s="8">
        <v>114</v>
      </c>
      <c r="D206" s="8" t="s">
        <v>10</v>
      </c>
      <c r="E206" s="8" t="s">
        <v>60</v>
      </c>
    </row>
    <row r="207" spans="1:5" x14ac:dyDescent="0.2">
      <c r="A207" s="8" t="s">
        <v>451</v>
      </c>
      <c r="B207" s="8" t="s">
        <v>452</v>
      </c>
      <c r="C207" s="8">
        <v>129</v>
      </c>
      <c r="D207" s="8" t="s">
        <v>10</v>
      </c>
      <c r="E207" s="8" t="s">
        <v>60</v>
      </c>
    </row>
    <row r="208" spans="1:5" x14ac:dyDescent="0.2">
      <c r="A208" s="8" t="s">
        <v>453</v>
      </c>
      <c r="B208" s="8" t="s">
        <v>454</v>
      </c>
      <c r="C208" s="8">
        <v>112</v>
      </c>
      <c r="D208" s="8" t="s">
        <v>10</v>
      </c>
      <c r="E208" s="8" t="s">
        <v>60</v>
      </c>
    </row>
    <row r="209" spans="1:5" x14ac:dyDescent="0.2">
      <c r="A209" s="8" t="s">
        <v>455</v>
      </c>
      <c r="B209" s="8" t="s">
        <v>456</v>
      </c>
      <c r="C209" s="8">
        <v>155</v>
      </c>
      <c r="D209" s="8" t="s">
        <v>10</v>
      </c>
      <c r="E209" s="8" t="s">
        <v>60</v>
      </c>
    </row>
    <row r="210" spans="1:5" x14ac:dyDescent="0.2">
      <c r="A210" s="8" t="s">
        <v>457</v>
      </c>
      <c r="B210" s="8" t="s">
        <v>458</v>
      </c>
      <c r="C210" s="8">
        <v>8</v>
      </c>
      <c r="D210" s="8" t="s">
        <v>10</v>
      </c>
      <c r="E210" s="8" t="s">
        <v>60</v>
      </c>
    </row>
    <row r="211" spans="1:5" x14ac:dyDescent="0.2">
      <c r="A211" s="8" t="s">
        <v>459</v>
      </c>
      <c r="B211" s="8" t="s">
        <v>460</v>
      </c>
      <c r="C211" s="8">
        <v>97</v>
      </c>
      <c r="D211" s="8" t="s">
        <v>10</v>
      </c>
      <c r="E211" s="8" t="s">
        <v>60</v>
      </c>
    </row>
    <row r="212" spans="1:5" x14ac:dyDescent="0.2">
      <c r="A212" s="8" t="s">
        <v>461</v>
      </c>
      <c r="B212" s="8" t="s">
        <v>462</v>
      </c>
      <c r="C212" s="8">
        <v>22</v>
      </c>
      <c r="D212" s="8" t="s">
        <v>10</v>
      </c>
      <c r="E212" s="8" t="s">
        <v>60</v>
      </c>
    </row>
    <row r="213" spans="1:5" x14ac:dyDescent="0.2">
      <c r="A213" s="8" t="s">
        <v>463</v>
      </c>
      <c r="B213" s="8" t="s">
        <v>464</v>
      </c>
      <c r="C213" s="8">
        <v>50</v>
      </c>
      <c r="D213" s="8" t="s">
        <v>10</v>
      </c>
      <c r="E213" s="8" t="s">
        <v>60</v>
      </c>
    </row>
    <row r="214" spans="1:5" x14ac:dyDescent="0.2">
      <c r="A214" s="8" t="s">
        <v>465</v>
      </c>
      <c r="B214" s="8" t="s">
        <v>466</v>
      </c>
      <c r="C214" s="8">
        <v>125</v>
      </c>
      <c r="D214" s="8" t="s">
        <v>10</v>
      </c>
      <c r="E214" s="8" t="s">
        <v>60</v>
      </c>
    </row>
    <row r="215" spans="1:5" x14ac:dyDescent="0.2">
      <c r="A215" s="8" t="s">
        <v>467</v>
      </c>
      <c r="B215" s="8" t="s">
        <v>468</v>
      </c>
      <c r="C215" s="8">
        <v>139</v>
      </c>
      <c r="D215" s="8" t="s">
        <v>10</v>
      </c>
      <c r="E215" s="8" t="s">
        <v>60</v>
      </c>
    </row>
    <row r="216" spans="1:5" x14ac:dyDescent="0.2">
      <c r="A216" s="8" t="s">
        <v>469</v>
      </c>
      <c r="B216" s="8" t="s">
        <v>470</v>
      </c>
      <c r="C216" s="8">
        <v>2</v>
      </c>
      <c r="D216" s="8" t="s">
        <v>10</v>
      </c>
      <c r="E216" s="8" t="s">
        <v>60</v>
      </c>
    </row>
    <row r="217" spans="1:5" x14ac:dyDescent="0.2">
      <c r="A217" s="8" t="s">
        <v>471</v>
      </c>
      <c r="B217" s="8" t="s">
        <v>472</v>
      </c>
      <c r="C217" s="8">
        <v>38</v>
      </c>
      <c r="D217" s="8" t="s">
        <v>10</v>
      </c>
      <c r="E217" s="8" t="s">
        <v>60</v>
      </c>
    </row>
    <row r="218" spans="1:5" x14ac:dyDescent="0.2">
      <c r="A218" s="8" t="s">
        <v>473</v>
      </c>
      <c r="B218" s="8" t="s">
        <v>474</v>
      </c>
      <c r="C218" s="8">
        <v>142</v>
      </c>
      <c r="D218" s="8" t="s">
        <v>10</v>
      </c>
      <c r="E218" s="8" t="s">
        <v>60</v>
      </c>
    </row>
    <row r="219" spans="1:5" x14ac:dyDescent="0.2">
      <c r="A219" s="8" t="s">
        <v>475</v>
      </c>
      <c r="B219" s="8" t="s">
        <v>476</v>
      </c>
      <c r="C219" s="8">
        <v>94</v>
      </c>
      <c r="D219" s="8" t="s">
        <v>10</v>
      </c>
      <c r="E219" s="8" t="s">
        <v>60</v>
      </c>
    </row>
    <row r="220" spans="1:5" x14ac:dyDescent="0.2">
      <c r="A220" s="8" t="s">
        <v>477</v>
      </c>
      <c r="B220" s="8" t="s">
        <v>478</v>
      </c>
      <c r="C220" s="8">
        <v>142</v>
      </c>
      <c r="D220" s="8" t="s">
        <v>10</v>
      </c>
      <c r="E220" s="8" t="s">
        <v>60</v>
      </c>
    </row>
    <row r="221" spans="1:5" x14ac:dyDescent="0.2">
      <c r="A221" s="8" t="s">
        <v>479</v>
      </c>
      <c r="B221" s="8" t="s">
        <v>480</v>
      </c>
      <c r="C221" s="8">
        <v>119</v>
      </c>
      <c r="D221" s="8" t="s">
        <v>10</v>
      </c>
      <c r="E221" s="8" t="s">
        <v>60</v>
      </c>
    </row>
    <row r="222" spans="1:5" x14ac:dyDescent="0.2">
      <c r="A222" s="8" t="s">
        <v>481</v>
      </c>
      <c r="B222" s="8" t="s">
        <v>482</v>
      </c>
      <c r="C222" s="8">
        <v>115</v>
      </c>
      <c r="D222" s="8" t="s">
        <v>10</v>
      </c>
      <c r="E222" s="8" t="s">
        <v>60</v>
      </c>
    </row>
    <row r="223" spans="1:5" x14ac:dyDescent="0.2">
      <c r="A223" s="8" t="s">
        <v>483</v>
      </c>
      <c r="B223" s="8" t="s">
        <v>484</v>
      </c>
      <c r="C223" s="8">
        <v>131</v>
      </c>
      <c r="D223" s="8" t="s">
        <v>10</v>
      </c>
      <c r="E223" s="8" t="s">
        <v>60</v>
      </c>
    </row>
    <row r="224" spans="1:5" x14ac:dyDescent="0.2">
      <c r="A224" s="8" t="s">
        <v>485</v>
      </c>
      <c r="B224" s="8" t="s">
        <v>486</v>
      </c>
      <c r="C224" s="8">
        <v>17</v>
      </c>
      <c r="D224" s="8" t="s">
        <v>10</v>
      </c>
      <c r="E224" s="8" t="s">
        <v>60</v>
      </c>
    </row>
    <row r="225" spans="1:5" x14ac:dyDescent="0.2">
      <c r="A225" s="8" t="s">
        <v>487</v>
      </c>
      <c r="B225" s="8" t="s">
        <v>488</v>
      </c>
      <c r="C225" s="8">
        <v>150</v>
      </c>
      <c r="D225" s="8" t="s">
        <v>10</v>
      </c>
      <c r="E225" s="8" t="s">
        <v>60</v>
      </c>
    </row>
    <row r="226" spans="1:5" x14ac:dyDescent="0.2">
      <c r="A226" s="8" t="s">
        <v>489</v>
      </c>
      <c r="B226" s="8" t="s">
        <v>490</v>
      </c>
      <c r="C226" s="8">
        <v>90</v>
      </c>
      <c r="D226" s="8" t="s">
        <v>10</v>
      </c>
      <c r="E226" s="8" t="s">
        <v>60</v>
      </c>
    </row>
    <row r="227" spans="1:5" x14ac:dyDescent="0.2">
      <c r="A227" s="8" t="s">
        <v>491</v>
      </c>
      <c r="B227" s="8" t="s">
        <v>492</v>
      </c>
      <c r="C227" s="8">
        <v>85</v>
      </c>
      <c r="D227" s="8" t="s">
        <v>10</v>
      </c>
      <c r="E227" s="8" t="s">
        <v>60</v>
      </c>
    </row>
    <row r="228" spans="1:5" x14ac:dyDescent="0.2">
      <c r="A228" s="8" t="s">
        <v>493</v>
      </c>
      <c r="B228" s="8" t="s">
        <v>494</v>
      </c>
      <c r="C228" s="8">
        <v>194</v>
      </c>
      <c r="D228" s="8" t="s">
        <v>10</v>
      </c>
      <c r="E228" s="8" t="s">
        <v>60</v>
      </c>
    </row>
    <row r="229" spans="1:5" x14ac:dyDescent="0.2">
      <c r="A229" s="8" t="s">
        <v>495</v>
      </c>
      <c r="B229" s="8" t="s">
        <v>496</v>
      </c>
      <c r="C229" s="8">
        <v>189</v>
      </c>
      <c r="D229" s="8" t="s">
        <v>10</v>
      </c>
      <c r="E229" s="8" t="s">
        <v>60</v>
      </c>
    </row>
    <row r="230" spans="1:5" x14ac:dyDescent="0.2">
      <c r="A230" s="8" t="s">
        <v>497</v>
      </c>
      <c r="B230" s="8" t="s">
        <v>498</v>
      </c>
      <c r="C230" s="8">
        <v>199</v>
      </c>
      <c r="D230" s="8" t="s">
        <v>10</v>
      </c>
      <c r="E230" s="8" t="s">
        <v>60</v>
      </c>
    </row>
    <row r="231" spans="1:5" x14ac:dyDescent="0.2">
      <c r="A231" s="8" t="s">
        <v>38</v>
      </c>
      <c r="B231" s="8" t="s">
        <v>39</v>
      </c>
      <c r="C231" s="8">
        <v>11</v>
      </c>
      <c r="D231" s="8" t="s">
        <v>10</v>
      </c>
      <c r="E231" s="8" t="s">
        <v>60</v>
      </c>
    </row>
    <row r="232" spans="1:5" x14ac:dyDescent="0.2">
      <c r="A232" s="8" t="s">
        <v>499</v>
      </c>
      <c r="B232" s="8" t="s">
        <v>500</v>
      </c>
      <c r="C232" s="8">
        <v>79</v>
      </c>
      <c r="D232" s="8" t="s">
        <v>10</v>
      </c>
      <c r="E232" s="8" t="s">
        <v>60</v>
      </c>
    </row>
    <row r="233" spans="1:5" x14ac:dyDescent="0.2">
      <c r="A233" s="8" t="s">
        <v>501</v>
      </c>
      <c r="B233" s="8" t="s">
        <v>502</v>
      </c>
      <c r="C233" s="8">
        <v>70</v>
      </c>
      <c r="D233" s="8" t="s">
        <v>10</v>
      </c>
      <c r="E233" s="8" t="s">
        <v>60</v>
      </c>
    </row>
    <row r="234" spans="1:5" x14ac:dyDescent="0.2">
      <c r="A234" s="8" t="s">
        <v>503</v>
      </c>
      <c r="B234" s="8" t="s">
        <v>504</v>
      </c>
      <c r="C234" s="8">
        <v>65</v>
      </c>
      <c r="D234" s="8" t="s">
        <v>10</v>
      </c>
      <c r="E234" s="8" t="s">
        <v>60</v>
      </c>
    </row>
    <row r="235" spans="1:5" x14ac:dyDescent="0.2">
      <c r="A235" s="8" t="s">
        <v>505</v>
      </c>
      <c r="B235" s="8" t="s">
        <v>506</v>
      </c>
      <c r="C235" s="8">
        <v>195</v>
      </c>
      <c r="D235" s="8" t="s">
        <v>10</v>
      </c>
      <c r="E235" s="8" t="s">
        <v>60</v>
      </c>
    </row>
    <row r="236" spans="1:5" x14ac:dyDescent="0.2">
      <c r="A236" s="8" t="s">
        <v>507</v>
      </c>
      <c r="B236" s="8" t="s">
        <v>508</v>
      </c>
      <c r="C236" s="8">
        <v>178</v>
      </c>
      <c r="D236" s="8" t="s">
        <v>10</v>
      </c>
      <c r="E236" s="8" t="s">
        <v>60</v>
      </c>
    </row>
    <row r="237" spans="1:5" x14ac:dyDescent="0.2">
      <c r="A237" s="8" t="s">
        <v>509</v>
      </c>
      <c r="B237" s="8" t="s">
        <v>510</v>
      </c>
      <c r="C237" s="8">
        <v>183</v>
      </c>
      <c r="D237" s="8" t="s">
        <v>10</v>
      </c>
      <c r="E237" s="8" t="s">
        <v>60</v>
      </c>
    </row>
    <row r="238" spans="1:5" x14ac:dyDescent="0.2">
      <c r="A238" s="8" t="s">
        <v>511</v>
      </c>
      <c r="B238" s="8" t="s">
        <v>512</v>
      </c>
      <c r="C238" s="8">
        <v>198</v>
      </c>
      <c r="D238" s="8" t="s">
        <v>10</v>
      </c>
      <c r="E238" s="8" t="s">
        <v>60</v>
      </c>
    </row>
    <row r="239" spans="1:5" x14ac:dyDescent="0.2">
      <c r="A239" s="8" t="s">
        <v>513</v>
      </c>
      <c r="B239" s="8" t="s">
        <v>514</v>
      </c>
      <c r="C239" s="8">
        <v>142</v>
      </c>
      <c r="D239" s="8" t="s">
        <v>10</v>
      </c>
      <c r="E239" s="8" t="s">
        <v>60</v>
      </c>
    </row>
    <row r="240" spans="1:5" x14ac:dyDescent="0.2">
      <c r="A240" s="8" t="s">
        <v>515</v>
      </c>
      <c r="B240" s="8" t="s">
        <v>516</v>
      </c>
      <c r="C240" s="8">
        <v>190</v>
      </c>
      <c r="D240" s="8" t="s">
        <v>10</v>
      </c>
      <c r="E240" s="8" t="s">
        <v>60</v>
      </c>
    </row>
    <row r="241" spans="1:5" x14ac:dyDescent="0.2">
      <c r="A241" s="8" t="s">
        <v>517</v>
      </c>
      <c r="B241" s="8" t="s">
        <v>518</v>
      </c>
      <c r="C241" s="8">
        <v>42</v>
      </c>
      <c r="D241" s="8" t="s">
        <v>10</v>
      </c>
      <c r="E241" s="8" t="s">
        <v>60</v>
      </c>
    </row>
    <row r="242" spans="1:5" x14ac:dyDescent="0.2">
      <c r="A242" s="8" t="s">
        <v>36</v>
      </c>
      <c r="B242" s="8" t="s">
        <v>37</v>
      </c>
      <c r="C242" s="8">
        <v>118</v>
      </c>
      <c r="D242" s="8" t="s">
        <v>10</v>
      </c>
      <c r="E242" s="8" t="s">
        <v>60</v>
      </c>
    </row>
    <row r="243" spans="1:5" x14ac:dyDescent="0.2">
      <c r="A243" s="8" t="s">
        <v>13</v>
      </c>
      <c r="B243" s="8" t="s">
        <v>14</v>
      </c>
      <c r="C243" s="8">
        <v>124</v>
      </c>
      <c r="D243" s="8" t="s">
        <v>16</v>
      </c>
      <c r="E243" s="8" t="s">
        <v>60</v>
      </c>
    </row>
    <row r="244" spans="1:5" x14ac:dyDescent="0.2">
      <c r="A244" s="8" t="s">
        <v>17</v>
      </c>
      <c r="B244" s="8" t="s">
        <v>18</v>
      </c>
      <c r="C244" s="8">
        <v>24</v>
      </c>
      <c r="D244" s="8" t="s">
        <v>16</v>
      </c>
      <c r="E244" s="8" t="s">
        <v>60</v>
      </c>
    </row>
    <row r="245" spans="1:5" x14ac:dyDescent="0.2">
      <c r="A245" s="8" t="s">
        <v>519</v>
      </c>
      <c r="B245" s="8" t="s">
        <v>520</v>
      </c>
      <c r="C245" s="8">
        <v>69</v>
      </c>
      <c r="D245" s="8" t="s">
        <v>16</v>
      </c>
      <c r="E245" s="8" t="s">
        <v>60</v>
      </c>
    </row>
    <row r="246" spans="1:5" x14ac:dyDescent="0.2">
      <c r="A246" s="8" t="s">
        <v>521</v>
      </c>
      <c r="B246" s="8" t="s">
        <v>522</v>
      </c>
      <c r="C246" s="8">
        <v>103</v>
      </c>
      <c r="D246" s="8" t="s">
        <v>16</v>
      </c>
      <c r="E246" s="8" t="s">
        <v>60</v>
      </c>
    </row>
    <row r="247" spans="1:5" x14ac:dyDescent="0.2">
      <c r="A247" s="8" t="s">
        <v>523</v>
      </c>
      <c r="B247" s="8" t="s">
        <v>524</v>
      </c>
      <c r="C247" s="8">
        <v>54</v>
      </c>
      <c r="D247" s="8" t="s">
        <v>16</v>
      </c>
      <c r="E247" s="8" t="s">
        <v>60</v>
      </c>
    </row>
    <row r="248" spans="1:5" x14ac:dyDescent="0.2">
      <c r="A248" s="8" t="s">
        <v>525</v>
      </c>
      <c r="B248" s="8" t="s">
        <v>526</v>
      </c>
      <c r="C248" s="8">
        <v>83</v>
      </c>
      <c r="D248" s="8" t="s">
        <v>16</v>
      </c>
      <c r="E248" s="8" t="s">
        <v>60</v>
      </c>
    </row>
    <row r="249" spans="1:5" x14ac:dyDescent="0.2">
      <c r="A249" s="8" t="s">
        <v>527</v>
      </c>
      <c r="B249" s="8" t="s">
        <v>528</v>
      </c>
      <c r="C249" s="8">
        <v>165</v>
      </c>
      <c r="D249" s="8" t="s">
        <v>16</v>
      </c>
      <c r="E249" s="8" t="s">
        <v>60</v>
      </c>
    </row>
    <row r="250" spans="1:5" x14ac:dyDescent="0.2">
      <c r="A250" s="8" t="s">
        <v>529</v>
      </c>
      <c r="B250" s="38" t="s">
        <v>530</v>
      </c>
      <c r="C250" s="8">
        <v>165</v>
      </c>
      <c r="D250" s="8" t="s">
        <v>16</v>
      </c>
      <c r="E250" s="8" t="s">
        <v>60</v>
      </c>
    </row>
    <row r="251" spans="1:5" x14ac:dyDescent="0.2">
      <c r="A251" s="8" t="s">
        <v>531</v>
      </c>
      <c r="B251" s="8" t="s">
        <v>532</v>
      </c>
      <c r="C251" s="8">
        <v>121</v>
      </c>
      <c r="D251" s="8" t="s">
        <v>16</v>
      </c>
      <c r="E251" s="8" t="s">
        <v>60</v>
      </c>
    </row>
    <row r="252" spans="1:5" x14ac:dyDescent="0.2">
      <c r="A252" s="8" t="s">
        <v>533</v>
      </c>
      <c r="B252" s="8" t="s">
        <v>534</v>
      </c>
      <c r="C252" s="8">
        <v>186</v>
      </c>
      <c r="D252" s="8" t="s">
        <v>16</v>
      </c>
      <c r="E252" s="8" t="s">
        <v>60</v>
      </c>
    </row>
    <row r="253" spans="1:5" x14ac:dyDescent="0.2">
      <c r="A253" s="8" t="s">
        <v>535</v>
      </c>
      <c r="B253" s="8" t="s">
        <v>536</v>
      </c>
      <c r="C253" s="8">
        <v>82</v>
      </c>
      <c r="D253" s="8" t="s">
        <v>16</v>
      </c>
      <c r="E253" s="8" t="s">
        <v>60</v>
      </c>
    </row>
    <row r="254" spans="1:5" x14ac:dyDescent="0.2">
      <c r="A254" s="8" t="s">
        <v>537</v>
      </c>
      <c r="B254" s="38" t="s">
        <v>538</v>
      </c>
      <c r="C254" s="8">
        <v>56</v>
      </c>
      <c r="D254" s="8" t="s">
        <v>16</v>
      </c>
      <c r="E254" s="8" t="s">
        <v>60</v>
      </c>
    </row>
    <row r="255" spans="1:5" x14ac:dyDescent="0.2">
      <c r="A255" s="8" t="s">
        <v>539</v>
      </c>
      <c r="B255" s="8" t="s">
        <v>540</v>
      </c>
      <c r="C255" s="8">
        <v>158</v>
      </c>
      <c r="D255" s="8" t="s">
        <v>16</v>
      </c>
      <c r="E255" s="8" t="s">
        <v>60</v>
      </c>
    </row>
    <row r="256" spans="1:5" x14ac:dyDescent="0.2">
      <c r="A256" s="8" t="s">
        <v>541</v>
      </c>
      <c r="B256" s="38" t="s">
        <v>542</v>
      </c>
      <c r="C256" s="8">
        <v>125</v>
      </c>
      <c r="D256" s="8" t="s">
        <v>16</v>
      </c>
      <c r="E256" s="8" t="s">
        <v>60</v>
      </c>
    </row>
    <row r="257" spans="1:5" x14ac:dyDescent="0.2">
      <c r="A257" s="8" t="s">
        <v>543</v>
      </c>
      <c r="B257" s="38" t="s">
        <v>544</v>
      </c>
      <c r="C257" s="8">
        <v>113</v>
      </c>
      <c r="D257" s="8" t="s">
        <v>16</v>
      </c>
      <c r="E257" s="8" t="s">
        <v>60</v>
      </c>
    </row>
    <row r="258" spans="1:5" x14ac:dyDescent="0.2">
      <c r="A258" s="8" t="s">
        <v>545</v>
      </c>
      <c r="B258" s="38" t="s">
        <v>546</v>
      </c>
      <c r="C258" s="8">
        <v>106</v>
      </c>
      <c r="D258" s="8" t="s">
        <v>16</v>
      </c>
      <c r="E258" s="8" t="s">
        <v>60</v>
      </c>
    </row>
    <row r="259" spans="1:5" x14ac:dyDescent="0.2">
      <c r="A259" s="8" t="s">
        <v>547</v>
      </c>
      <c r="B259" s="38" t="s">
        <v>548</v>
      </c>
      <c r="C259" s="8">
        <v>141</v>
      </c>
      <c r="D259" s="8" t="s">
        <v>16</v>
      </c>
      <c r="E259" s="8" t="s">
        <v>60</v>
      </c>
    </row>
    <row r="260" spans="1:5" x14ac:dyDescent="0.2">
      <c r="A260" s="8" t="s">
        <v>549</v>
      </c>
      <c r="B260" s="8" t="s">
        <v>550</v>
      </c>
      <c r="C260" s="8">
        <v>82</v>
      </c>
      <c r="D260" s="8" t="s">
        <v>16</v>
      </c>
      <c r="E260" s="8" t="s">
        <v>60</v>
      </c>
    </row>
    <row r="261" spans="1:5" x14ac:dyDescent="0.2">
      <c r="A261" s="8" t="s">
        <v>42</v>
      </c>
      <c r="B261" s="8" t="s">
        <v>43</v>
      </c>
      <c r="C261" s="8">
        <v>172</v>
      </c>
      <c r="D261" s="8" t="s">
        <v>10</v>
      </c>
      <c r="E261" s="8" t="s">
        <v>60</v>
      </c>
    </row>
    <row r="262" spans="1:5" x14ac:dyDescent="0.2">
      <c r="A262" s="8" t="s">
        <v>551</v>
      </c>
      <c r="B262" s="8" t="s">
        <v>552</v>
      </c>
      <c r="C262" s="8">
        <v>147</v>
      </c>
      <c r="D262" s="8" t="s">
        <v>10</v>
      </c>
      <c r="E262" s="8" t="s">
        <v>60</v>
      </c>
    </row>
    <row r="263" spans="1:5" x14ac:dyDescent="0.2">
      <c r="A263" s="8" t="s">
        <v>553</v>
      </c>
      <c r="B263" s="8" t="s">
        <v>554</v>
      </c>
      <c r="C263" s="8">
        <v>117</v>
      </c>
      <c r="D263" s="8" t="s">
        <v>10</v>
      </c>
      <c r="E263" s="8" t="s">
        <v>60</v>
      </c>
    </row>
    <row r="264" spans="1:5" x14ac:dyDescent="0.2">
      <c r="A264" s="8" t="s">
        <v>555</v>
      </c>
      <c r="B264" s="8" t="s">
        <v>556</v>
      </c>
      <c r="C264" s="8">
        <v>16</v>
      </c>
      <c r="D264" s="8" t="s">
        <v>10</v>
      </c>
      <c r="E264" s="8" t="s">
        <v>60</v>
      </c>
    </row>
    <row r="265" spans="1:5" x14ac:dyDescent="0.2">
      <c r="A265" s="8" t="s">
        <v>557</v>
      </c>
      <c r="B265" s="8" t="s">
        <v>558</v>
      </c>
      <c r="C265" s="8">
        <v>67</v>
      </c>
      <c r="D265" s="8" t="s">
        <v>10</v>
      </c>
      <c r="E265" s="8" t="s">
        <v>60</v>
      </c>
    </row>
    <row r="266" spans="1:5" x14ac:dyDescent="0.2">
      <c r="A266" s="8" t="s">
        <v>559</v>
      </c>
      <c r="B266" s="8" t="s">
        <v>560</v>
      </c>
      <c r="C266" s="8">
        <v>24</v>
      </c>
      <c r="D266" s="8" t="s">
        <v>10</v>
      </c>
      <c r="E266" s="8" t="s">
        <v>60</v>
      </c>
    </row>
    <row r="267" spans="1:5" x14ac:dyDescent="0.2">
      <c r="A267" s="8" t="s">
        <v>561</v>
      </c>
      <c r="B267" s="8" t="s">
        <v>562</v>
      </c>
      <c r="C267" s="8">
        <v>33</v>
      </c>
      <c r="D267" s="8" t="s">
        <v>10</v>
      </c>
      <c r="E267" s="8" t="s">
        <v>60</v>
      </c>
    </row>
    <row r="268" spans="1:5" x14ac:dyDescent="0.2">
      <c r="A268" s="8" t="s">
        <v>563</v>
      </c>
      <c r="B268" s="8" t="s">
        <v>564</v>
      </c>
      <c r="C268" s="8">
        <v>65</v>
      </c>
      <c r="D268" s="8" t="s">
        <v>10</v>
      </c>
      <c r="E268" s="8" t="s">
        <v>60</v>
      </c>
    </row>
    <row r="269" spans="1:5" x14ac:dyDescent="0.2">
      <c r="A269" s="8" t="s">
        <v>565</v>
      </c>
      <c r="B269" s="8" t="s">
        <v>566</v>
      </c>
      <c r="C269" s="8">
        <v>64</v>
      </c>
      <c r="D269" s="8" t="s">
        <v>10</v>
      </c>
      <c r="E269" s="8" t="s">
        <v>60</v>
      </c>
    </row>
    <row r="270" spans="1:5" x14ac:dyDescent="0.2">
      <c r="A270" s="8" t="s">
        <v>567</v>
      </c>
      <c r="B270" s="39" t="s">
        <v>568</v>
      </c>
      <c r="C270" s="8">
        <v>137</v>
      </c>
      <c r="D270" s="8" t="s">
        <v>16</v>
      </c>
      <c r="E270" s="8" t="s">
        <v>60</v>
      </c>
    </row>
    <row r="271" spans="1:5" x14ac:dyDescent="0.2">
      <c r="A271" s="8" t="s">
        <v>569</v>
      </c>
      <c r="B271" s="39" t="s">
        <v>570</v>
      </c>
      <c r="C271" s="8">
        <v>48</v>
      </c>
      <c r="D271" s="8" t="s">
        <v>16</v>
      </c>
      <c r="E271" s="8" t="s">
        <v>60</v>
      </c>
    </row>
    <row r="272" spans="1:5" x14ac:dyDescent="0.2">
      <c r="A272" s="8" t="s">
        <v>571</v>
      </c>
      <c r="B272" s="39" t="s">
        <v>572</v>
      </c>
      <c r="C272" s="8">
        <v>98</v>
      </c>
      <c r="D272" s="8" t="s">
        <v>16</v>
      </c>
      <c r="E272" s="8" t="s">
        <v>60</v>
      </c>
    </row>
    <row r="273" spans="1:5" x14ac:dyDescent="0.2">
      <c r="A273" s="8" t="s">
        <v>573</v>
      </c>
      <c r="B273" s="39" t="s">
        <v>574</v>
      </c>
      <c r="C273" s="8">
        <v>105</v>
      </c>
      <c r="D273" s="8" t="s">
        <v>16</v>
      </c>
      <c r="E273" s="8" t="s">
        <v>60</v>
      </c>
    </row>
    <row r="274" spans="1:5" x14ac:dyDescent="0.2">
      <c r="A274" s="8" t="s">
        <v>575</v>
      </c>
      <c r="B274" s="39" t="s">
        <v>576</v>
      </c>
      <c r="C274" s="8">
        <v>131</v>
      </c>
      <c r="D274" s="8" t="s">
        <v>16</v>
      </c>
      <c r="E274" s="8" t="s">
        <v>60</v>
      </c>
    </row>
    <row r="275" spans="1:5" x14ac:dyDescent="0.2">
      <c r="A275" s="8" t="s">
        <v>577</v>
      </c>
      <c r="B275" s="39" t="s">
        <v>578</v>
      </c>
      <c r="C275" s="8">
        <v>190</v>
      </c>
      <c r="D275" s="8" t="s">
        <v>16</v>
      </c>
      <c r="E275" s="8" t="s">
        <v>60</v>
      </c>
    </row>
    <row r="276" spans="1:5" x14ac:dyDescent="0.2">
      <c r="A276" s="8" t="s">
        <v>579</v>
      </c>
      <c r="B276" s="39" t="s">
        <v>580</v>
      </c>
      <c r="C276" s="8">
        <v>11</v>
      </c>
      <c r="D276" s="8" t="s">
        <v>16</v>
      </c>
      <c r="E276" s="8" t="s">
        <v>60</v>
      </c>
    </row>
    <row r="277" spans="1:5" x14ac:dyDescent="0.2">
      <c r="A277" s="8" t="s">
        <v>581</v>
      </c>
      <c r="B277" s="39" t="s">
        <v>582</v>
      </c>
      <c r="C277" s="8">
        <v>141</v>
      </c>
      <c r="D277" s="8" t="s">
        <v>16</v>
      </c>
      <c r="E277" s="8" t="s">
        <v>60</v>
      </c>
    </row>
    <row r="278" spans="1:5" x14ac:dyDescent="0.2">
      <c r="A278" s="8" t="s">
        <v>583</v>
      </c>
      <c r="B278" s="39" t="s">
        <v>584</v>
      </c>
      <c r="C278" s="8">
        <v>96</v>
      </c>
      <c r="D278" s="8" t="s">
        <v>16</v>
      </c>
      <c r="E278" s="8" t="s">
        <v>60</v>
      </c>
    </row>
    <row r="279" spans="1:5" x14ac:dyDescent="0.2">
      <c r="A279" s="8" t="s">
        <v>585</v>
      </c>
      <c r="B279" s="39" t="s">
        <v>586</v>
      </c>
      <c r="C279" s="8">
        <v>111</v>
      </c>
      <c r="D279" s="8" t="s">
        <v>16</v>
      </c>
      <c r="E279" s="8" t="s">
        <v>60</v>
      </c>
    </row>
    <row r="280" spans="1:5" x14ac:dyDescent="0.2">
      <c r="A280" s="8" t="s">
        <v>587</v>
      </c>
      <c r="B280" s="39" t="s">
        <v>588</v>
      </c>
      <c r="C280" s="8">
        <v>72</v>
      </c>
      <c r="D280" s="8" t="s">
        <v>16</v>
      </c>
      <c r="E280" s="8" t="s">
        <v>60</v>
      </c>
    </row>
    <row r="281" spans="1:5" x14ac:dyDescent="0.2">
      <c r="A281" s="8" t="s">
        <v>589</v>
      </c>
      <c r="B281" s="39" t="s">
        <v>590</v>
      </c>
      <c r="C281" s="8">
        <v>42</v>
      </c>
      <c r="D281" s="8" t="s">
        <v>16</v>
      </c>
      <c r="E281" s="8" t="s">
        <v>60</v>
      </c>
    </row>
    <row r="282" spans="1:5" x14ac:dyDescent="0.2">
      <c r="A282" s="8" t="s">
        <v>591</v>
      </c>
      <c r="B282" s="39" t="s">
        <v>592</v>
      </c>
      <c r="C282" s="8">
        <v>155</v>
      </c>
      <c r="D282" s="8" t="s">
        <v>16</v>
      </c>
      <c r="E282" s="8" t="s">
        <v>60</v>
      </c>
    </row>
    <row r="283" spans="1:5" x14ac:dyDescent="0.2">
      <c r="A283" s="8" t="s">
        <v>593</v>
      </c>
      <c r="B283" s="8" t="s">
        <v>594</v>
      </c>
      <c r="C283" s="8">
        <v>183</v>
      </c>
      <c r="D283" s="8" t="s">
        <v>16</v>
      </c>
      <c r="E283" s="8" t="s">
        <v>60</v>
      </c>
    </row>
    <row r="284" spans="1:5" x14ac:dyDescent="0.2">
      <c r="A284" s="8" t="s">
        <v>595</v>
      </c>
      <c r="B284" s="39" t="s">
        <v>596</v>
      </c>
      <c r="C284" s="8">
        <v>120</v>
      </c>
      <c r="D284" s="8" t="s">
        <v>16</v>
      </c>
      <c r="E284" s="8" t="s">
        <v>60</v>
      </c>
    </row>
    <row r="285" spans="1:5" x14ac:dyDescent="0.2">
      <c r="A285" s="8" t="s">
        <v>597</v>
      </c>
      <c r="B285" s="39" t="s">
        <v>598</v>
      </c>
      <c r="C285" s="8">
        <v>26</v>
      </c>
      <c r="D285" s="8" t="s">
        <v>16</v>
      </c>
      <c r="E285" s="8" t="s">
        <v>60</v>
      </c>
    </row>
    <row r="286" spans="1:5" x14ac:dyDescent="0.2">
      <c r="A286" s="8" t="s">
        <v>599</v>
      </c>
      <c r="B286" s="39" t="s">
        <v>600</v>
      </c>
      <c r="C286" s="8">
        <v>192</v>
      </c>
      <c r="D286" s="8" t="s">
        <v>16</v>
      </c>
      <c r="E286" s="8" t="s">
        <v>60</v>
      </c>
    </row>
    <row r="287" spans="1:5" x14ac:dyDescent="0.2">
      <c r="A287" s="8" t="s">
        <v>44</v>
      </c>
      <c r="B287" s="8" t="s">
        <v>45</v>
      </c>
      <c r="C287" s="8">
        <v>129</v>
      </c>
      <c r="D287" s="8" t="s">
        <v>16</v>
      </c>
      <c r="E287" s="8" t="s">
        <v>60</v>
      </c>
    </row>
    <row r="288" spans="1:5" x14ac:dyDescent="0.2">
      <c r="A288" s="8" t="s">
        <v>47</v>
      </c>
      <c r="B288" s="8" t="s">
        <v>48</v>
      </c>
      <c r="C288" s="8">
        <v>74</v>
      </c>
      <c r="D288" s="8" t="s">
        <v>16</v>
      </c>
      <c r="E288" s="8" t="s">
        <v>60</v>
      </c>
    </row>
    <row r="289" spans="1:5" x14ac:dyDescent="0.2">
      <c r="A289" s="8" t="s">
        <v>49</v>
      </c>
      <c r="B289" s="8" t="s">
        <v>50</v>
      </c>
      <c r="C289" s="8">
        <v>92</v>
      </c>
      <c r="D289" s="8" t="s">
        <v>16</v>
      </c>
      <c r="E289" s="8" t="s">
        <v>60</v>
      </c>
    </row>
    <row r="290" spans="1:5" x14ac:dyDescent="0.2">
      <c r="A290" s="8" t="s">
        <v>51</v>
      </c>
      <c r="B290" s="8" t="s">
        <v>52</v>
      </c>
      <c r="C290" s="8">
        <v>139</v>
      </c>
      <c r="D290" s="8" t="s">
        <v>10</v>
      </c>
      <c r="E290" s="8" t="s">
        <v>60</v>
      </c>
    </row>
    <row r="291" spans="1:5" x14ac:dyDescent="0.2">
      <c r="A291" s="8" t="s">
        <v>55</v>
      </c>
      <c r="B291" s="8" t="s">
        <v>56</v>
      </c>
      <c r="C291" s="8">
        <v>146</v>
      </c>
      <c r="D291" s="8" t="s">
        <v>16</v>
      </c>
      <c r="E291" s="8" t="s">
        <v>60</v>
      </c>
    </row>
    <row r="292" spans="1:5" x14ac:dyDescent="0.2">
      <c r="A292" s="8" t="s">
        <v>53</v>
      </c>
      <c r="B292" s="8" t="s">
        <v>54</v>
      </c>
      <c r="C292" s="8">
        <v>113</v>
      </c>
      <c r="D292" s="8" t="s">
        <v>16</v>
      </c>
      <c r="E292" s="8" t="s">
        <v>60</v>
      </c>
    </row>
    <row r="293" spans="1:5" x14ac:dyDescent="0.2">
      <c r="A293" s="8" t="s">
        <v>58</v>
      </c>
      <c r="B293" s="8" t="s">
        <v>59</v>
      </c>
      <c r="C293" s="8">
        <v>192</v>
      </c>
      <c r="D293" s="8" t="s">
        <v>10</v>
      </c>
      <c r="E293" s="8" t="s">
        <v>601</v>
      </c>
    </row>
    <row r="294" spans="1:5" x14ac:dyDescent="0.2">
      <c r="A294" s="8" t="s">
        <v>61</v>
      </c>
      <c r="B294" s="8" t="s">
        <v>62</v>
      </c>
      <c r="C294" s="8">
        <v>83</v>
      </c>
      <c r="D294" s="8" t="s">
        <v>10</v>
      </c>
      <c r="E294" s="8" t="s">
        <v>601</v>
      </c>
    </row>
    <row r="295" spans="1:5" x14ac:dyDescent="0.2">
      <c r="A295" s="8" t="s">
        <v>7</v>
      </c>
      <c r="B295" s="8" t="s">
        <v>8</v>
      </c>
      <c r="C295" s="8">
        <v>128</v>
      </c>
      <c r="D295" s="8" t="s">
        <v>10</v>
      </c>
      <c r="E295" s="8" t="s">
        <v>601</v>
      </c>
    </row>
    <row r="296" spans="1:5" x14ac:dyDescent="0.2">
      <c r="A296" s="8" t="s">
        <v>63</v>
      </c>
      <c r="B296" s="8" t="s">
        <v>64</v>
      </c>
      <c r="C296" s="8">
        <v>188</v>
      </c>
      <c r="D296" s="8" t="s">
        <v>10</v>
      </c>
      <c r="E296" s="8" t="s">
        <v>601</v>
      </c>
    </row>
    <row r="297" spans="1:5" x14ac:dyDescent="0.2">
      <c r="A297" s="8" t="s">
        <v>65</v>
      </c>
      <c r="B297" s="8" t="s">
        <v>66</v>
      </c>
      <c r="C297" s="8">
        <v>7</v>
      </c>
      <c r="D297" s="8" t="s">
        <v>10</v>
      </c>
      <c r="E297" s="8" t="s">
        <v>601</v>
      </c>
    </row>
    <row r="298" spans="1:5" x14ac:dyDescent="0.2">
      <c r="A298" s="8" t="s">
        <v>67</v>
      </c>
      <c r="B298" s="8" t="s">
        <v>68</v>
      </c>
      <c r="C298" s="8">
        <v>31</v>
      </c>
      <c r="D298" s="8" t="s">
        <v>10</v>
      </c>
      <c r="E298" s="8" t="s">
        <v>601</v>
      </c>
    </row>
    <row r="299" spans="1:5" x14ac:dyDescent="0.2">
      <c r="A299" s="8" t="s">
        <v>69</v>
      </c>
      <c r="B299" s="8" t="s">
        <v>70</v>
      </c>
      <c r="C299" s="8">
        <v>109</v>
      </c>
      <c r="D299" s="8" t="s">
        <v>10</v>
      </c>
      <c r="E299" s="8" t="s">
        <v>601</v>
      </c>
    </row>
    <row r="300" spans="1:5" x14ac:dyDescent="0.2">
      <c r="A300" s="8" t="s">
        <v>71</v>
      </c>
      <c r="B300" s="8" t="s">
        <v>72</v>
      </c>
      <c r="C300" s="8">
        <v>138</v>
      </c>
      <c r="D300" s="8" t="s">
        <v>10</v>
      </c>
      <c r="E300" s="8" t="s">
        <v>601</v>
      </c>
    </row>
    <row r="301" spans="1:5" x14ac:dyDescent="0.2">
      <c r="A301" s="8" t="s">
        <v>73</v>
      </c>
      <c r="B301" s="8" t="s">
        <v>74</v>
      </c>
      <c r="C301" s="8">
        <v>159</v>
      </c>
      <c r="D301" s="8" t="s">
        <v>10</v>
      </c>
      <c r="E301" s="8" t="s">
        <v>601</v>
      </c>
    </row>
    <row r="302" spans="1:5" x14ac:dyDescent="0.2">
      <c r="A302" s="8" t="s">
        <v>75</v>
      </c>
      <c r="B302" s="8" t="s">
        <v>76</v>
      </c>
      <c r="C302" s="8">
        <v>78</v>
      </c>
      <c r="D302" s="8" t="s">
        <v>10</v>
      </c>
      <c r="E302" s="8" t="s">
        <v>601</v>
      </c>
    </row>
    <row r="303" spans="1:5" x14ac:dyDescent="0.2">
      <c r="A303" s="8" t="s">
        <v>77</v>
      </c>
      <c r="B303" s="8" t="s">
        <v>78</v>
      </c>
      <c r="C303" s="8">
        <v>133</v>
      </c>
      <c r="D303" s="8" t="s">
        <v>10</v>
      </c>
      <c r="E303" s="8" t="s">
        <v>601</v>
      </c>
    </row>
    <row r="304" spans="1:5" x14ac:dyDescent="0.2">
      <c r="A304" s="8" t="s">
        <v>79</v>
      </c>
      <c r="B304" s="8" t="s">
        <v>80</v>
      </c>
      <c r="C304" s="8">
        <v>36</v>
      </c>
      <c r="D304" s="8" t="s">
        <v>10</v>
      </c>
      <c r="E304" s="8" t="s">
        <v>601</v>
      </c>
    </row>
    <row r="305" spans="1:5" x14ac:dyDescent="0.2">
      <c r="A305" s="8" t="s">
        <v>81</v>
      </c>
      <c r="B305" s="8" t="s">
        <v>82</v>
      </c>
      <c r="C305" s="8">
        <v>2</v>
      </c>
      <c r="D305" s="8" t="s">
        <v>10</v>
      </c>
      <c r="E305" s="8" t="s">
        <v>601</v>
      </c>
    </row>
    <row r="306" spans="1:5" x14ac:dyDescent="0.2">
      <c r="A306" s="8" t="s">
        <v>83</v>
      </c>
      <c r="B306" s="8" t="s">
        <v>84</v>
      </c>
      <c r="C306" s="8">
        <v>141</v>
      </c>
      <c r="D306" s="8" t="s">
        <v>10</v>
      </c>
      <c r="E306" s="8" t="s">
        <v>601</v>
      </c>
    </row>
    <row r="307" spans="1:5" x14ac:dyDescent="0.2">
      <c r="A307" s="8" t="s">
        <v>85</v>
      </c>
      <c r="B307" s="8" t="s">
        <v>86</v>
      </c>
      <c r="C307" s="8">
        <v>142</v>
      </c>
      <c r="D307" s="8" t="s">
        <v>10</v>
      </c>
      <c r="E307" s="8" t="s">
        <v>601</v>
      </c>
    </row>
    <row r="308" spans="1:5" x14ac:dyDescent="0.2">
      <c r="A308" s="8" t="s">
        <v>87</v>
      </c>
      <c r="B308" s="8" t="s">
        <v>88</v>
      </c>
      <c r="C308" s="8">
        <v>45</v>
      </c>
      <c r="D308" s="8" t="s">
        <v>10</v>
      </c>
      <c r="E308" s="8" t="s">
        <v>601</v>
      </c>
    </row>
    <row r="309" spans="1:5" x14ac:dyDescent="0.2">
      <c r="A309" s="8" t="s">
        <v>89</v>
      </c>
      <c r="B309" s="8" t="s">
        <v>90</v>
      </c>
      <c r="C309" s="8">
        <v>114</v>
      </c>
      <c r="D309" s="8" t="s">
        <v>10</v>
      </c>
      <c r="E309" s="8" t="s">
        <v>601</v>
      </c>
    </row>
    <row r="310" spans="1:5" x14ac:dyDescent="0.2">
      <c r="A310" s="8" t="s">
        <v>91</v>
      </c>
      <c r="B310" s="8" t="s">
        <v>92</v>
      </c>
      <c r="C310" s="8">
        <v>14</v>
      </c>
      <c r="D310" s="8" t="s">
        <v>10</v>
      </c>
      <c r="E310" s="8" t="s">
        <v>601</v>
      </c>
    </row>
    <row r="311" spans="1:5" x14ac:dyDescent="0.2">
      <c r="A311" s="8" t="s">
        <v>93</v>
      </c>
      <c r="B311" s="8" t="s">
        <v>94</v>
      </c>
      <c r="C311" s="8">
        <v>195</v>
      </c>
      <c r="D311" s="8" t="s">
        <v>10</v>
      </c>
      <c r="E311" s="8" t="s">
        <v>601</v>
      </c>
    </row>
    <row r="312" spans="1:5" x14ac:dyDescent="0.2">
      <c r="A312" s="8" t="s">
        <v>95</v>
      </c>
      <c r="B312" s="8" t="s">
        <v>96</v>
      </c>
      <c r="C312" s="8">
        <v>67</v>
      </c>
      <c r="D312" s="8" t="s">
        <v>10</v>
      </c>
      <c r="E312" s="8" t="s">
        <v>601</v>
      </c>
    </row>
    <row r="313" spans="1:5" x14ac:dyDescent="0.2">
      <c r="A313" s="8" t="s">
        <v>97</v>
      </c>
      <c r="B313" s="8" t="s">
        <v>98</v>
      </c>
      <c r="C313" s="8">
        <v>186</v>
      </c>
      <c r="D313" s="8" t="s">
        <v>10</v>
      </c>
      <c r="E313" s="8" t="s">
        <v>601</v>
      </c>
    </row>
    <row r="314" spans="1:5" x14ac:dyDescent="0.2">
      <c r="A314" s="8" t="s">
        <v>99</v>
      </c>
      <c r="B314" s="8" t="s">
        <v>100</v>
      </c>
      <c r="C314" s="8">
        <v>156</v>
      </c>
      <c r="D314" s="8" t="s">
        <v>10</v>
      </c>
      <c r="E314" s="8" t="s">
        <v>601</v>
      </c>
    </row>
    <row r="315" spans="1:5" x14ac:dyDescent="0.2">
      <c r="A315" s="8" t="s">
        <v>101</v>
      </c>
      <c r="B315" s="8" t="s">
        <v>102</v>
      </c>
      <c r="C315" s="8">
        <v>29</v>
      </c>
      <c r="D315" s="8" t="s">
        <v>10</v>
      </c>
      <c r="E315" s="8" t="s">
        <v>601</v>
      </c>
    </row>
    <row r="316" spans="1:5" x14ac:dyDescent="0.2">
      <c r="A316" s="8" t="s">
        <v>103</v>
      </c>
      <c r="B316" s="8" t="s">
        <v>104</v>
      </c>
      <c r="C316" s="8">
        <v>50</v>
      </c>
      <c r="D316" s="8" t="s">
        <v>10</v>
      </c>
      <c r="E316" s="8" t="s">
        <v>601</v>
      </c>
    </row>
    <row r="317" spans="1:5" x14ac:dyDescent="0.2">
      <c r="A317" s="8" t="s">
        <v>105</v>
      </c>
      <c r="B317" s="8" t="s">
        <v>106</v>
      </c>
      <c r="C317" s="8">
        <v>23</v>
      </c>
      <c r="D317" s="8" t="s">
        <v>10</v>
      </c>
      <c r="E317" s="8" t="s">
        <v>601</v>
      </c>
    </row>
    <row r="318" spans="1:5" x14ac:dyDescent="0.2">
      <c r="A318" s="8" t="s">
        <v>107</v>
      </c>
      <c r="B318" s="8" t="s">
        <v>108</v>
      </c>
      <c r="C318" s="8">
        <v>98</v>
      </c>
      <c r="D318" s="8" t="s">
        <v>10</v>
      </c>
      <c r="E318" s="8" t="s">
        <v>601</v>
      </c>
    </row>
    <row r="319" spans="1:5" x14ac:dyDescent="0.2">
      <c r="A319" s="8" t="s">
        <v>109</v>
      </c>
      <c r="B319" s="8" t="s">
        <v>110</v>
      </c>
      <c r="C319" s="8">
        <v>93</v>
      </c>
      <c r="D319" s="8" t="s">
        <v>10</v>
      </c>
      <c r="E319" s="8" t="s">
        <v>601</v>
      </c>
    </row>
    <row r="320" spans="1:5" x14ac:dyDescent="0.2">
      <c r="A320" s="8" t="s">
        <v>111</v>
      </c>
      <c r="B320" s="8" t="s">
        <v>112</v>
      </c>
      <c r="C320" s="8">
        <v>23</v>
      </c>
      <c r="D320" s="8" t="s">
        <v>10</v>
      </c>
      <c r="E320" s="8" t="s">
        <v>601</v>
      </c>
    </row>
    <row r="321" spans="1:5" x14ac:dyDescent="0.2">
      <c r="A321" s="8" t="s">
        <v>113</v>
      </c>
      <c r="B321" s="8" t="s">
        <v>114</v>
      </c>
      <c r="C321" s="8">
        <v>122</v>
      </c>
      <c r="D321" s="8" t="s">
        <v>10</v>
      </c>
      <c r="E321" s="8" t="s">
        <v>601</v>
      </c>
    </row>
    <row r="322" spans="1:5" x14ac:dyDescent="0.2">
      <c r="A322" s="8" t="s">
        <v>115</v>
      </c>
      <c r="B322" s="8" t="s">
        <v>116</v>
      </c>
      <c r="C322" s="8">
        <v>70</v>
      </c>
      <c r="D322" s="8" t="s">
        <v>10</v>
      </c>
      <c r="E322" s="8" t="s">
        <v>601</v>
      </c>
    </row>
    <row r="323" spans="1:5" x14ac:dyDescent="0.2">
      <c r="A323" s="8" t="s">
        <v>117</v>
      </c>
      <c r="B323" s="8" t="s">
        <v>118</v>
      </c>
      <c r="C323" s="8">
        <v>21</v>
      </c>
      <c r="D323" s="8" t="s">
        <v>10</v>
      </c>
      <c r="E323" s="8" t="s">
        <v>601</v>
      </c>
    </row>
    <row r="324" spans="1:5" x14ac:dyDescent="0.2">
      <c r="A324" s="8" t="s">
        <v>119</v>
      </c>
      <c r="B324" s="8" t="s">
        <v>120</v>
      </c>
      <c r="C324" s="8">
        <v>167</v>
      </c>
      <c r="D324" s="8" t="s">
        <v>10</v>
      </c>
      <c r="E324" s="8" t="s">
        <v>601</v>
      </c>
    </row>
    <row r="325" spans="1:5" x14ac:dyDescent="0.2">
      <c r="A325" s="8" t="s">
        <v>121</v>
      </c>
      <c r="B325" s="8" t="s">
        <v>122</v>
      </c>
      <c r="C325" s="8">
        <v>156</v>
      </c>
      <c r="D325" s="8" t="s">
        <v>10</v>
      </c>
      <c r="E325" s="8" t="s">
        <v>601</v>
      </c>
    </row>
    <row r="326" spans="1:5" x14ac:dyDescent="0.2">
      <c r="A326" s="8" t="s">
        <v>123</v>
      </c>
      <c r="B326" s="8" t="s">
        <v>124</v>
      </c>
      <c r="C326" s="8">
        <v>180</v>
      </c>
      <c r="D326" s="8" t="s">
        <v>10</v>
      </c>
      <c r="E326" s="8" t="s">
        <v>601</v>
      </c>
    </row>
    <row r="327" spans="1:5" x14ac:dyDescent="0.2">
      <c r="A327" s="8" t="s">
        <v>125</v>
      </c>
      <c r="B327" s="8" t="s">
        <v>126</v>
      </c>
      <c r="C327" s="8">
        <v>199</v>
      </c>
      <c r="D327" s="8" t="s">
        <v>10</v>
      </c>
      <c r="E327" s="8" t="s">
        <v>601</v>
      </c>
    </row>
    <row r="328" spans="1:5" x14ac:dyDescent="0.2">
      <c r="A328" s="8" t="s">
        <v>127</v>
      </c>
      <c r="B328" s="8" t="s">
        <v>128</v>
      </c>
      <c r="C328" s="8">
        <v>159</v>
      </c>
      <c r="D328" s="8" t="s">
        <v>10</v>
      </c>
      <c r="E328" s="8" t="s">
        <v>601</v>
      </c>
    </row>
    <row r="329" spans="1:5" x14ac:dyDescent="0.2">
      <c r="A329" s="8" t="s">
        <v>129</v>
      </c>
      <c r="B329" s="8" t="s">
        <v>130</v>
      </c>
      <c r="C329" s="8">
        <v>166</v>
      </c>
      <c r="D329" s="8" t="s">
        <v>10</v>
      </c>
      <c r="E329" s="8" t="s">
        <v>601</v>
      </c>
    </row>
    <row r="330" spans="1:5" x14ac:dyDescent="0.2">
      <c r="A330" s="8" t="s">
        <v>131</v>
      </c>
      <c r="B330" s="8" t="s">
        <v>132</v>
      </c>
      <c r="C330" s="8">
        <v>42</v>
      </c>
      <c r="D330" s="8" t="s">
        <v>10</v>
      </c>
      <c r="E330" s="8" t="s">
        <v>601</v>
      </c>
    </row>
    <row r="331" spans="1:5" x14ac:dyDescent="0.2">
      <c r="A331" s="8" t="s">
        <v>133</v>
      </c>
      <c r="B331" s="8" t="s">
        <v>134</v>
      </c>
      <c r="C331" s="8">
        <v>90</v>
      </c>
      <c r="D331" s="8" t="s">
        <v>10</v>
      </c>
      <c r="E331" s="8" t="s">
        <v>601</v>
      </c>
    </row>
    <row r="332" spans="1:5" x14ac:dyDescent="0.2">
      <c r="A332" s="8" t="s">
        <v>135</v>
      </c>
      <c r="B332" s="8" t="s">
        <v>136</v>
      </c>
      <c r="C332" s="8">
        <v>83</v>
      </c>
      <c r="D332" s="8" t="s">
        <v>10</v>
      </c>
      <c r="E332" s="8" t="s">
        <v>601</v>
      </c>
    </row>
    <row r="333" spans="1:5" x14ac:dyDescent="0.2">
      <c r="A333" s="8" t="s">
        <v>137</v>
      </c>
      <c r="B333" s="8" t="s">
        <v>138</v>
      </c>
      <c r="C333" s="8">
        <v>185</v>
      </c>
      <c r="D333" s="8" t="s">
        <v>10</v>
      </c>
      <c r="E333" s="8" t="s">
        <v>601</v>
      </c>
    </row>
    <row r="334" spans="1:5" x14ac:dyDescent="0.2">
      <c r="A334" s="8" t="s">
        <v>139</v>
      </c>
      <c r="B334" s="8" t="s">
        <v>140</v>
      </c>
      <c r="C334" s="8">
        <v>196</v>
      </c>
      <c r="D334" s="8" t="s">
        <v>10</v>
      </c>
      <c r="E334" s="8" t="s">
        <v>601</v>
      </c>
    </row>
    <row r="335" spans="1:5" x14ac:dyDescent="0.2">
      <c r="A335" s="8" t="s">
        <v>141</v>
      </c>
      <c r="B335" s="8" t="s">
        <v>142</v>
      </c>
      <c r="C335" s="8">
        <v>23</v>
      </c>
      <c r="D335" s="8" t="s">
        <v>10</v>
      </c>
      <c r="E335" s="8" t="s">
        <v>601</v>
      </c>
    </row>
    <row r="336" spans="1:5" x14ac:dyDescent="0.2">
      <c r="A336" s="8" t="s">
        <v>143</v>
      </c>
      <c r="B336" s="8" t="s">
        <v>144</v>
      </c>
      <c r="C336" s="8">
        <v>171</v>
      </c>
      <c r="D336" s="8" t="s">
        <v>10</v>
      </c>
      <c r="E336" s="8" t="s">
        <v>601</v>
      </c>
    </row>
    <row r="337" spans="1:5" x14ac:dyDescent="0.2">
      <c r="A337" s="8" t="s">
        <v>145</v>
      </c>
      <c r="B337" s="8" t="s">
        <v>146</v>
      </c>
      <c r="C337" s="8">
        <v>49</v>
      </c>
      <c r="D337" s="8" t="s">
        <v>10</v>
      </c>
      <c r="E337" s="8" t="s">
        <v>601</v>
      </c>
    </row>
    <row r="338" spans="1:5" x14ac:dyDescent="0.2">
      <c r="A338" s="8" t="s">
        <v>147</v>
      </c>
      <c r="B338" s="8" t="s">
        <v>148</v>
      </c>
      <c r="C338" s="8">
        <v>14</v>
      </c>
      <c r="D338" s="8" t="s">
        <v>10</v>
      </c>
      <c r="E338" s="8" t="s">
        <v>601</v>
      </c>
    </row>
    <row r="339" spans="1:5" x14ac:dyDescent="0.2">
      <c r="A339" s="8" t="s">
        <v>149</v>
      </c>
      <c r="B339" s="8" t="s">
        <v>150</v>
      </c>
      <c r="C339" s="8">
        <v>126</v>
      </c>
      <c r="D339" s="8" t="s">
        <v>10</v>
      </c>
      <c r="E339" s="8" t="s">
        <v>601</v>
      </c>
    </row>
    <row r="340" spans="1:5" x14ac:dyDescent="0.2">
      <c r="A340" s="8" t="s">
        <v>151</v>
      </c>
      <c r="B340" s="8" t="s">
        <v>152</v>
      </c>
      <c r="C340" s="8">
        <v>16</v>
      </c>
      <c r="D340" s="8" t="s">
        <v>10</v>
      </c>
      <c r="E340" s="8" t="s">
        <v>601</v>
      </c>
    </row>
    <row r="341" spans="1:5" x14ac:dyDescent="0.2">
      <c r="A341" s="8" t="s">
        <v>153</v>
      </c>
      <c r="B341" s="8" t="s">
        <v>154</v>
      </c>
      <c r="C341" s="8">
        <v>112</v>
      </c>
      <c r="D341" s="8" t="s">
        <v>10</v>
      </c>
      <c r="E341" s="8" t="s">
        <v>601</v>
      </c>
    </row>
    <row r="342" spans="1:5" x14ac:dyDescent="0.2">
      <c r="A342" s="8" t="s">
        <v>155</v>
      </c>
      <c r="B342" s="8" t="s">
        <v>156</v>
      </c>
      <c r="C342" s="8">
        <v>155</v>
      </c>
      <c r="D342" s="8" t="s">
        <v>10</v>
      </c>
      <c r="E342" s="8" t="s">
        <v>601</v>
      </c>
    </row>
    <row r="343" spans="1:5" x14ac:dyDescent="0.2">
      <c r="A343" s="8" t="s">
        <v>157</v>
      </c>
      <c r="B343" s="8" t="s">
        <v>158</v>
      </c>
      <c r="C343" s="8">
        <v>57</v>
      </c>
      <c r="D343" s="8" t="s">
        <v>10</v>
      </c>
      <c r="E343" s="8" t="s">
        <v>601</v>
      </c>
    </row>
    <row r="344" spans="1:5" x14ac:dyDescent="0.2">
      <c r="A344" s="8" t="s">
        <v>159</v>
      </c>
      <c r="B344" s="8" t="s">
        <v>160</v>
      </c>
      <c r="C344" s="8">
        <v>98</v>
      </c>
      <c r="D344" s="8" t="s">
        <v>10</v>
      </c>
      <c r="E344" s="8" t="s">
        <v>601</v>
      </c>
    </row>
    <row r="345" spans="1:5" x14ac:dyDescent="0.2">
      <c r="A345" s="8" t="s">
        <v>161</v>
      </c>
      <c r="B345" s="8" t="s">
        <v>162</v>
      </c>
      <c r="C345" s="8">
        <v>93</v>
      </c>
      <c r="D345" s="8" t="s">
        <v>16</v>
      </c>
      <c r="E345" s="8" t="s">
        <v>601</v>
      </c>
    </row>
    <row r="346" spans="1:5" x14ac:dyDescent="0.2">
      <c r="A346" s="8" t="s">
        <v>163</v>
      </c>
      <c r="B346" s="8" t="s">
        <v>164</v>
      </c>
      <c r="C346" s="8">
        <v>20</v>
      </c>
      <c r="D346" s="8" t="s">
        <v>16</v>
      </c>
      <c r="E346" s="8" t="s">
        <v>601</v>
      </c>
    </row>
    <row r="347" spans="1:5" x14ac:dyDescent="0.2">
      <c r="A347" s="8" t="s">
        <v>165</v>
      </c>
      <c r="B347" s="8" t="s">
        <v>166</v>
      </c>
      <c r="C347" s="8">
        <v>10</v>
      </c>
      <c r="D347" s="8" t="s">
        <v>16</v>
      </c>
      <c r="E347" s="8" t="s">
        <v>601</v>
      </c>
    </row>
    <row r="348" spans="1:5" x14ac:dyDescent="0.2">
      <c r="A348" s="8" t="s">
        <v>167</v>
      </c>
      <c r="B348" s="8" t="s">
        <v>168</v>
      </c>
      <c r="C348" s="8">
        <v>83</v>
      </c>
      <c r="D348" s="8" t="s">
        <v>16</v>
      </c>
      <c r="E348" s="8" t="s">
        <v>601</v>
      </c>
    </row>
    <row r="349" spans="1:5" x14ac:dyDescent="0.2">
      <c r="A349" s="8" t="s">
        <v>169</v>
      </c>
      <c r="B349" s="38" t="s">
        <v>170</v>
      </c>
      <c r="C349" s="8">
        <v>64</v>
      </c>
      <c r="D349" s="8" t="s">
        <v>16</v>
      </c>
      <c r="E349" s="8" t="s">
        <v>601</v>
      </c>
    </row>
    <row r="350" spans="1:5" x14ac:dyDescent="0.2">
      <c r="A350" s="8" t="s">
        <v>171</v>
      </c>
      <c r="B350" s="8" t="s">
        <v>172</v>
      </c>
      <c r="C350" s="8">
        <v>96</v>
      </c>
      <c r="D350" s="8" t="s">
        <v>16</v>
      </c>
      <c r="E350" s="8" t="s">
        <v>601</v>
      </c>
    </row>
    <row r="351" spans="1:5" x14ac:dyDescent="0.2">
      <c r="A351" s="8" t="s">
        <v>173</v>
      </c>
      <c r="B351" s="8" t="s">
        <v>174</v>
      </c>
      <c r="C351" s="8">
        <v>107</v>
      </c>
      <c r="D351" s="8" t="s">
        <v>16</v>
      </c>
      <c r="E351" s="8" t="s">
        <v>601</v>
      </c>
    </row>
    <row r="352" spans="1:5" x14ac:dyDescent="0.2">
      <c r="A352" s="8" t="s">
        <v>19</v>
      </c>
      <c r="B352" s="8" t="s">
        <v>20</v>
      </c>
      <c r="C352" s="8">
        <v>76</v>
      </c>
      <c r="D352" s="8" t="s">
        <v>16</v>
      </c>
      <c r="E352" s="8" t="s">
        <v>601</v>
      </c>
    </row>
    <row r="353" spans="1:5" x14ac:dyDescent="0.2">
      <c r="A353" s="8" t="s">
        <v>22</v>
      </c>
      <c r="B353" s="8" t="s">
        <v>23</v>
      </c>
      <c r="C353" s="8">
        <v>60</v>
      </c>
      <c r="D353" s="8" t="s">
        <v>16</v>
      </c>
      <c r="E353" s="8" t="s">
        <v>601</v>
      </c>
    </row>
    <row r="354" spans="1:5" x14ac:dyDescent="0.2">
      <c r="A354" s="8" t="s">
        <v>175</v>
      </c>
      <c r="B354" s="8" t="s">
        <v>176</v>
      </c>
      <c r="C354" s="8">
        <v>121</v>
      </c>
      <c r="D354" s="8" t="s">
        <v>16</v>
      </c>
      <c r="E354" s="8" t="s">
        <v>601</v>
      </c>
    </row>
    <row r="355" spans="1:5" x14ac:dyDescent="0.2">
      <c r="A355" s="8" t="s">
        <v>177</v>
      </c>
      <c r="B355" s="8" t="s">
        <v>178</v>
      </c>
      <c r="C355" s="8">
        <v>111</v>
      </c>
      <c r="D355" s="8" t="s">
        <v>16</v>
      </c>
      <c r="E355" s="8" t="s">
        <v>601</v>
      </c>
    </row>
    <row r="356" spans="1:5" x14ac:dyDescent="0.2">
      <c r="A356" s="8" t="s">
        <v>179</v>
      </c>
      <c r="B356" s="8" t="s">
        <v>180</v>
      </c>
      <c r="C356" s="8">
        <v>24</v>
      </c>
      <c r="D356" s="8" t="s">
        <v>16</v>
      </c>
      <c r="E356" s="8" t="s">
        <v>601</v>
      </c>
    </row>
    <row r="357" spans="1:5" x14ac:dyDescent="0.2">
      <c r="A357" s="8" t="s">
        <v>24</v>
      </c>
      <c r="B357" s="8" t="s">
        <v>25</v>
      </c>
      <c r="C357" s="8">
        <v>93</v>
      </c>
      <c r="D357" s="8" t="s">
        <v>16</v>
      </c>
      <c r="E357" s="8" t="s">
        <v>601</v>
      </c>
    </row>
    <row r="358" spans="1:5" x14ac:dyDescent="0.2">
      <c r="A358" s="8" t="s">
        <v>181</v>
      </c>
      <c r="B358" s="8" t="s">
        <v>182</v>
      </c>
      <c r="C358" s="8">
        <v>104</v>
      </c>
      <c r="D358" s="8" t="s">
        <v>16</v>
      </c>
      <c r="E358" s="8" t="s">
        <v>601</v>
      </c>
    </row>
    <row r="359" spans="1:5" x14ac:dyDescent="0.2">
      <c r="A359" s="8" t="s">
        <v>183</v>
      </c>
      <c r="B359" s="8" t="s">
        <v>184</v>
      </c>
      <c r="C359" s="8">
        <v>44</v>
      </c>
      <c r="D359" s="8" t="s">
        <v>16</v>
      </c>
      <c r="E359" s="8" t="s">
        <v>601</v>
      </c>
    </row>
    <row r="360" spans="1:5" x14ac:dyDescent="0.2">
      <c r="A360" s="8" t="s">
        <v>185</v>
      </c>
      <c r="B360" s="8" t="s">
        <v>186</v>
      </c>
      <c r="C360" s="8">
        <v>98</v>
      </c>
      <c r="D360" s="8" t="s">
        <v>16</v>
      </c>
      <c r="E360" s="8" t="s">
        <v>601</v>
      </c>
    </row>
    <row r="361" spans="1:5" x14ac:dyDescent="0.2">
      <c r="A361" s="8" t="s">
        <v>187</v>
      </c>
      <c r="B361" s="8" t="s">
        <v>188</v>
      </c>
      <c r="C361" s="8">
        <v>65</v>
      </c>
      <c r="D361" s="8" t="s">
        <v>16</v>
      </c>
      <c r="E361" s="8" t="s">
        <v>601</v>
      </c>
    </row>
    <row r="362" spans="1:5" x14ac:dyDescent="0.2">
      <c r="A362" s="8" t="s">
        <v>189</v>
      </c>
      <c r="B362" s="8" t="s">
        <v>190</v>
      </c>
      <c r="C362" s="8">
        <v>170</v>
      </c>
      <c r="D362" s="8" t="s">
        <v>16</v>
      </c>
      <c r="E362" s="8" t="s">
        <v>601</v>
      </c>
    </row>
    <row r="363" spans="1:5" x14ac:dyDescent="0.2">
      <c r="A363" s="8" t="s">
        <v>191</v>
      </c>
      <c r="B363" s="8" t="s">
        <v>192</v>
      </c>
      <c r="C363" s="8">
        <v>1</v>
      </c>
      <c r="D363" s="8" t="s">
        <v>16</v>
      </c>
      <c r="E363" s="8" t="s">
        <v>601</v>
      </c>
    </row>
    <row r="364" spans="1:5" x14ac:dyDescent="0.2">
      <c r="A364" s="8" t="s">
        <v>193</v>
      </c>
      <c r="B364" s="8" t="s">
        <v>194</v>
      </c>
      <c r="C364" s="8">
        <v>142</v>
      </c>
      <c r="D364" s="8" t="s">
        <v>16</v>
      </c>
      <c r="E364" s="8" t="s">
        <v>601</v>
      </c>
    </row>
    <row r="365" spans="1:5" x14ac:dyDescent="0.2">
      <c r="A365" s="8" t="s">
        <v>26</v>
      </c>
      <c r="B365" s="8" t="s">
        <v>27</v>
      </c>
      <c r="C365" s="8">
        <v>157</v>
      </c>
      <c r="D365" s="8" t="s">
        <v>16</v>
      </c>
      <c r="E365" s="8" t="s">
        <v>601</v>
      </c>
    </row>
    <row r="366" spans="1:5" x14ac:dyDescent="0.2">
      <c r="A366" s="8" t="s">
        <v>28</v>
      </c>
      <c r="B366" s="8" t="s">
        <v>29</v>
      </c>
      <c r="C366" s="8">
        <v>96</v>
      </c>
      <c r="D366" s="8" t="s">
        <v>16</v>
      </c>
      <c r="E366" s="8" t="s">
        <v>601</v>
      </c>
    </row>
    <row r="367" spans="1:5" x14ac:dyDescent="0.2">
      <c r="A367" s="8" t="s">
        <v>195</v>
      </c>
      <c r="B367" s="8" t="s">
        <v>196</v>
      </c>
      <c r="C367" s="8">
        <v>83</v>
      </c>
      <c r="D367" s="8" t="s">
        <v>16</v>
      </c>
      <c r="E367" s="8" t="s">
        <v>601</v>
      </c>
    </row>
    <row r="368" spans="1:5" x14ac:dyDescent="0.2">
      <c r="A368" s="8" t="s">
        <v>197</v>
      </c>
      <c r="B368" s="8" t="s">
        <v>198</v>
      </c>
      <c r="C368" s="8">
        <v>157</v>
      </c>
      <c r="D368" s="8" t="s">
        <v>16</v>
      </c>
      <c r="E368" s="8" t="s">
        <v>601</v>
      </c>
    </row>
    <row r="369" spans="1:5" x14ac:dyDescent="0.2">
      <c r="A369" s="8" t="s">
        <v>199</v>
      </c>
      <c r="B369" s="8" t="s">
        <v>200</v>
      </c>
      <c r="C369" s="8">
        <v>141</v>
      </c>
      <c r="D369" s="8" t="s">
        <v>16</v>
      </c>
      <c r="E369" s="8" t="s">
        <v>601</v>
      </c>
    </row>
    <row r="370" spans="1:5" x14ac:dyDescent="0.2">
      <c r="A370" s="8" t="s">
        <v>201</v>
      </c>
      <c r="B370" s="8" t="s">
        <v>202</v>
      </c>
      <c r="C370" s="8">
        <v>78</v>
      </c>
      <c r="D370" s="8" t="s">
        <v>16</v>
      </c>
      <c r="E370" s="8" t="s">
        <v>601</v>
      </c>
    </row>
    <row r="371" spans="1:5" x14ac:dyDescent="0.2">
      <c r="A371" s="8" t="s">
        <v>203</v>
      </c>
      <c r="B371" s="8" t="s">
        <v>204</v>
      </c>
      <c r="C371" s="8">
        <v>92</v>
      </c>
      <c r="D371" s="8" t="s">
        <v>16</v>
      </c>
      <c r="E371" s="8" t="s">
        <v>601</v>
      </c>
    </row>
    <row r="372" spans="1:5" x14ac:dyDescent="0.2">
      <c r="A372" s="8" t="s">
        <v>205</v>
      </c>
      <c r="B372" s="8" t="s">
        <v>206</v>
      </c>
      <c r="C372" s="8">
        <v>160</v>
      </c>
      <c r="D372" s="8" t="s">
        <v>16</v>
      </c>
      <c r="E372" s="8" t="s">
        <v>601</v>
      </c>
    </row>
    <row r="373" spans="1:5" x14ac:dyDescent="0.2">
      <c r="A373" s="8" t="s">
        <v>207</v>
      </c>
      <c r="B373" s="8" t="s">
        <v>208</v>
      </c>
      <c r="C373" s="8">
        <v>93</v>
      </c>
      <c r="D373" s="8" t="s">
        <v>16</v>
      </c>
      <c r="E373" s="8" t="s">
        <v>601</v>
      </c>
    </row>
    <row r="374" spans="1:5" x14ac:dyDescent="0.2">
      <c r="A374" s="8" t="s">
        <v>209</v>
      </c>
      <c r="B374" s="8" t="s">
        <v>210</v>
      </c>
      <c r="C374" s="8">
        <v>181</v>
      </c>
      <c r="D374" s="8" t="s">
        <v>16</v>
      </c>
      <c r="E374" s="8" t="s">
        <v>601</v>
      </c>
    </row>
    <row r="375" spans="1:5" x14ac:dyDescent="0.2">
      <c r="A375" s="8" t="s">
        <v>211</v>
      </c>
      <c r="B375" s="8" t="s">
        <v>212</v>
      </c>
      <c r="C375" s="8">
        <v>172</v>
      </c>
      <c r="D375" s="8" t="s">
        <v>16</v>
      </c>
      <c r="E375" s="8" t="s">
        <v>601</v>
      </c>
    </row>
    <row r="376" spans="1:5" x14ac:dyDescent="0.2">
      <c r="A376" s="8" t="s">
        <v>213</v>
      </c>
      <c r="B376" s="8" t="s">
        <v>214</v>
      </c>
      <c r="C376" s="8">
        <v>20</v>
      </c>
      <c r="D376" s="8" t="s">
        <v>16</v>
      </c>
      <c r="E376" s="8" t="s">
        <v>601</v>
      </c>
    </row>
    <row r="377" spans="1:5" x14ac:dyDescent="0.2">
      <c r="A377" s="8" t="s">
        <v>215</v>
      </c>
      <c r="B377" s="8" t="s">
        <v>216</v>
      </c>
      <c r="C377" s="8">
        <v>45</v>
      </c>
      <c r="D377" s="8" t="s">
        <v>16</v>
      </c>
      <c r="E377" s="8" t="s">
        <v>601</v>
      </c>
    </row>
    <row r="378" spans="1:5" x14ac:dyDescent="0.2">
      <c r="A378" s="8" t="s">
        <v>217</v>
      </c>
      <c r="B378" s="8" t="s">
        <v>218</v>
      </c>
      <c r="C378" s="8">
        <v>66</v>
      </c>
      <c r="D378" s="8" t="s">
        <v>16</v>
      </c>
      <c r="E378" s="8" t="s">
        <v>601</v>
      </c>
    </row>
    <row r="379" spans="1:5" x14ac:dyDescent="0.2">
      <c r="A379" s="8" t="s">
        <v>219</v>
      </c>
      <c r="B379" s="8" t="s">
        <v>220</v>
      </c>
      <c r="C379" s="8">
        <v>56</v>
      </c>
      <c r="D379" s="8" t="s">
        <v>16</v>
      </c>
      <c r="E379" s="8" t="s">
        <v>601</v>
      </c>
    </row>
    <row r="380" spans="1:5" x14ac:dyDescent="0.2">
      <c r="A380" s="8" t="s">
        <v>221</v>
      </c>
      <c r="B380" s="8" t="s">
        <v>222</v>
      </c>
      <c r="C380" s="8">
        <v>192</v>
      </c>
      <c r="D380" s="8" t="s">
        <v>16</v>
      </c>
      <c r="E380" s="8" t="s">
        <v>601</v>
      </c>
    </row>
    <row r="381" spans="1:5" x14ac:dyDescent="0.2">
      <c r="A381" s="8" t="s">
        <v>223</v>
      </c>
      <c r="B381" s="8" t="s">
        <v>224</v>
      </c>
      <c r="C381" s="8">
        <v>73</v>
      </c>
      <c r="D381" s="8" t="s">
        <v>16</v>
      </c>
      <c r="E381" s="8" t="s">
        <v>601</v>
      </c>
    </row>
    <row r="382" spans="1:5" x14ac:dyDescent="0.2">
      <c r="A382" s="8" t="s">
        <v>225</v>
      </c>
      <c r="B382" s="8" t="s">
        <v>226</v>
      </c>
      <c r="C382" s="8">
        <v>196</v>
      </c>
      <c r="D382" s="8" t="s">
        <v>16</v>
      </c>
      <c r="E382" s="8" t="s">
        <v>601</v>
      </c>
    </row>
    <row r="383" spans="1:5" x14ac:dyDescent="0.2">
      <c r="A383" s="8" t="s">
        <v>227</v>
      </c>
      <c r="B383" s="8" t="s">
        <v>228</v>
      </c>
      <c r="C383" s="8">
        <v>146</v>
      </c>
      <c r="D383" s="8" t="s">
        <v>16</v>
      </c>
      <c r="E383" s="8" t="s">
        <v>601</v>
      </c>
    </row>
    <row r="384" spans="1:5" x14ac:dyDescent="0.2">
      <c r="A384" s="8" t="s">
        <v>229</v>
      </c>
      <c r="B384" s="8" t="s">
        <v>230</v>
      </c>
      <c r="C384" s="8">
        <v>135</v>
      </c>
      <c r="D384" s="8" t="s">
        <v>16</v>
      </c>
      <c r="E384" s="8" t="s">
        <v>601</v>
      </c>
    </row>
    <row r="385" spans="1:5" x14ac:dyDescent="0.2">
      <c r="A385" s="8" t="s">
        <v>231</v>
      </c>
      <c r="B385" s="8" t="s">
        <v>232</v>
      </c>
      <c r="C385" s="8">
        <v>72</v>
      </c>
      <c r="D385" s="8" t="s">
        <v>16</v>
      </c>
      <c r="E385" s="8" t="s">
        <v>601</v>
      </c>
    </row>
    <row r="386" spans="1:5" x14ac:dyDescent="0.2">
      <c r="A386" s="8" t="s">
        <v>233</v>
      </c>
      <c r="B386" s="8" t="s">
        <v>234</v>
      </c>
      <c r="C386" s="8">
        <v>63</v>
      </c>
      <c r="D386" s="8" t="s">
        <v>16</v>
      </c>
      <c r="E386" s="8" t="s">
        <v>601</v>
      </c>
    </row>
    <row r="387" spans="1:5" x14ac:dyDescent="0.2">
      <c r="A387" s="8" t="s">
        <v>235</v>
      </c>
      <c r="B387" s="39" t="s">
        <v>236</v>
      </c>
      <c r="C387" s="8">
        <v>19</v>
      </c>
      <c r="D387" s="8" t="s">
        <v>16</v>
      </c>
      <c r="E387" s="8" t="s">
        <v>601</v>
      </c>
    </row>
    <row r="388" spans="1:5" x14ac:dyDescent="0.2">
      <c r="A388" s="8" t="s">
        <v>237</v>
      </c>
      <c r="B388" s="8" t="s">
        <v>238</v>
      </c>
      <c r="C388" s="8">
        <v>10</v>
      </c>
      <c r="D388" s="8" t="s">
        <v>16</v>
      </c>
      <c r="E388" s="8" t="s">
        <v>601</v>
      </c>
    </row>
    <row r="389" spans="1:5" x14ac:dyDescent="0.2">
      <c r="A389" s="8" t="s">
        <v>239</v>
      </c>
      <c r="B389" s="8" t="s">
        <v>240</v>
      </c>
      <c r="C389" s="8">
        <v>42</v>
      </c>
      <c r="D389" s="8" t="s">
        <v>16</v>
      </c>
      <c r="E389" s="8" t="s">
        <v>601</v>
      </c>
    </row>
    <row r="390" spans="1:5" x14ac:dyDescent="0.2">
      <c r="A390" s="8" t="s">
        <v>241</v>
      </c>
      <c r="B390" s="8" t="s">
        <v>242</v>
      </c>
      <c r="C390" s="8">
        <v>121</v>
      </c>
      <c r="D390" s="8" t="s">
        <v>16</v>
      </c>
      <c r="E390" s="8" t="s">
        <v>601</v>
      </c>
    </row>
    <row r="391" spans="1:5" x14ac:dyDescent="0.2">
      <c r="A391" s="8" t="s">
        <v>243</v>
      </c>
      <c r="B391" s="39" t="s">
        <v>244</v>
      </c>
      <c r="C391" s="8">
        <v>119</v>
      </c>
      <c r="D391" s="8" t="s">
        <v>16</v>
      </c>
      <c r="E391" s="8" t="s">
        <v>601</v>
      </c>
    </row>
    <row r="392" spans="1:5" x14ac:dyDescent="0.2">
      <c r="A392" s="8" t="s">
        <v>245</v>
      </c>
      <c r="B392" s="39" t="s">
        <v>246</v>
      </c>
      <c r="C392" s="8">
        <v>186</v>
      </c>
      <c r="D392" s="8" t="s">
        <v>16</v>
      </c>
      <c r="E392" s="8" t="s">
        <v>601</v>
      </c>
    </row>
    <row r="393" spans="1:5" x14ac:dyDescent="0.2">
      <c r="A393" s="8" t="s">
        <v>247</v>
      </c>
      <c r="B393" s="39" t="s">
        <v>248</v>
      </c>
      <c r="C393" s="8">
        <v>200</v>
      </c>
      <c r="D393" s="8" t="s">
        <v>16</v>
      </c>
      <c r="E393" s="8" t="s">
        <v>601</v>
      </c>
    </row>
    <row r="394" spans="1:5" x14ac:dyDescent="0.2">
      <c r="A394" s="8" t="s">
        <v>249</v>
      </c>
      <c r="B394" s="39" t="s">
        <v>250</v>
      </c>
      <c r="C394" s="8">
        <v>60</v>
      </c>
      <c r="D394" s="8" t="s">
        <v>16</v>
      </c>
      <c r="E394" s="8" t="s">
        <v>601</v>
      </c>
    </row>
    <row r="395" spans="1:5" x14ac:dyDescent="0.2">
      <c r="A395" s="8" t="s">
        <v>251</v>
      </c>
      <c r="B395" s="8" t="s">
        <v>252</v>
      </c>
      <c r="C395" s="8">
        <v>132</v>
      </c>
      <c r="D395" s="8" t="s">
        <v>16</v>
      </c>
      <c r="E395" s="8" t="s">
        <v>601</v>
      </c>
    </row>
    <row r="396" spans="1:5" x14ac:dyDescent="0.2">
      <c r="A396" s="8" t="s">
        <v>253</v>
      </c>
      <c r="B396" s="8" t="s">
        <v>254</v>
      </c>
      <c r="C396" s="8">
        <v>101</v>
      </c>
      <c r="D396" s="8" t="s">
        <v>16</v>
      </c>
      <c r="E396" s="8" t="s">
        <v>601</v>
      </c>
    </row>
    <row r="397" spans="1:5" x14ac:dyDescent="0.2">
      <c r="A397" s="8" t="s">
        <v>255</v>
      </c>
      <c r="B397" s="8" t="s">
        <v>256</v>
      </c>
      <c r="C397" s="8">
        <v>132</v>
      </c>
      <c r="D397" s="8" t="s">
        <v>16</v>
      </c>
      <c r="E397" s="8" t="s">
        <v>601</v>
      </c>
    </row>
    <row r="398" spans="1:5" x14ac:dyDescent="0.2">
      <c r="A398" s="8" t="s">
        <v>257</v>
      </c>
      <c r="B398" s="38" t="s">
        <v>258</v>
      </c>
      <c r="C398" s="8">
        <v>84</v>
      </c>
      <c r="D398" s="8" t="s">
        <v>16</v>
      </c>
      <c r="E398" s="8" t="s">
        <v>601</v>
      </c>
    </row>
    <row r="399" spans="1:5" x14ac:dyDescent="0.2">
      <c r="A399" s="8" t="s">
        <v>259</v>
      </c>
      <c r="B399" s="8" t="s">
        <v>260</v>
      </c>
      <c r="C399" s="8">
        <v>41</v>
      </c>
      <c r="D399" s="8" t="s">
        <v>16</v>
      </c>
      <c r="E399" s="8" t="s">
        <v>601</v>
      </c>
    </row>
    <row r="400" spans="1:5" x14ac:dyDescent="0.2">
      <c r="A400" s="8" t="s">
        <v>261</v>
      </c>
      <c r="B400" s="38" t="s">
        <v>262</v>
      </c>
      <c r="C400" s="8">
        <v>119</v>
      </c>
      <c r="D400" s="8" t="s">
        <v>16</v>
      </c>
      <c r="E400" s="8" t="s">
        <v>601</v>
      </c>
    </row>
    <row r="401" spans="1:5" x14ac:dyDescent="0.2">
      <c r="A401" s="8" t="s">
        <v>263</v>
      </c>
      <c r="B401" s="38" t="s">
        <v>264</v>
      </c>
      <c r="C401" s="8">
        <v>134</v>
      </c>
      <c r="D401" s="8" t="s">
        <v>16</v>
      </c>
      <c r="E401" s="8" t="s">
        <v>601</v>
      </c>
    </row>
    <row r="402" spans="1:5" x14ac:dyDescent="0.2">
      <c r="A402" s="8" t="s">
        <v>265</v>
      </c>
      <c r="B402" s="38" t="s">
        <v>266</v>
      </c>
      <c r="C402" s="8">
        <v>67</v>
      </c>
      <c r="D402" s="8" t="s">
        <v>16</v>
      </c>
      <c r="E402" s="8" t="s">
        <v>601</v>
      </c>
    </row>
    <row r="403" spans="1:5" x14ac:dyDescent="0.2">
      <c r="A403" s="8" t="s">
        <v>267</v>
      </c>
      <c r="B403" s="38" t="s">
        <v>268</v>
      </c>
      <c r="C403" s="8">
        <v>175</v>
      </c>
      <c r="D403" s="8" t="s">
        <v>16</v>
      </c>
      <c r="E403" s="8" t="s">
        <v>601</v>
      </c>
    </row>
    <row r="404" spans="1:5" x14ac:dyDescent="0.2">
      <c r="A404" s="8" t="s">
        <v>269</v>
      </c>
      <c r="B404" s="38" t="s">
        <v>270</v>
      </c>
      <c r="C404" s="8">
        <v>6</v>
      </c>
      <c r="D404" s="8" t="s">
        <v>16</v>
      </c>
      <c r="E404" s="8" t="s">
        <v>601</v>
      </c>
    </row>
    <row r="405" spans="1:5" x14ac:dyDescent="0.2">
      <c r="A405" s="8" t="s">
        <v>271</v>
      </c>
      <c r="B405" s="38" t="s">
        <v>272</v>
      </c>
      <c r="C405" s="8">
        <v>58</v>
      </c>
      <c r="D405" s="8" t="s">
        <v>16</v>
      </c>
      <c r="E405" s="8" t="s">
        <v>601</v>
      </c>
    </row>
    <row r="406" spans="1:5" x14ac:dyDescent="0.2">
      <c r="A406" s="8" t="s">
        <v>273</v>
      </c>
      <c r="B406" s="38" t="s">
        <v>274</v>
      </c>
      <c r="C406" s="8">
        <v>142</v>
      </c>
      <c r="D406" s="8" t="s">
        <v>16</v>
      </c>
      <c r="E406" s="8" t="s">
        <v>601</v>
      </c>
    </row>
    <row r="407" spans="1:5" x14ac:dyDescent="0.2">
      <c r="A407" s="8" t="s">
        <v>275</v>
      </c>
      <c r="B407" s="38" t="s">
        <v>276</v>
      </c>
      <c r="C407" s="8">
        <v>26</v>
      </c>
      <c r="D407" s="8" t="s">
        <v>16</v>
      </c>
      <c r="E407" s="8" t="s">
        <v>601</v>
      </c>
    </row>
    <row r="408" spans="1:5" x14ac:dyDescent="0.2">
      <c r="A408" s="8" t="s">
        <v>277</v>
      </c>
      <c r="B408" s="38" t="s">
        <v>278</v>
      </c>
      <c r="C408" s="8">
        <v>56</v>
      </c>
      <c r="D408" s="8" t="s">
        <v>16</v>
      </c>
      <c r="E408" s="8" t="s">
        <v>601</v>
      </c>
    </row>
    <row r="409" spans="1:5" x14ac:dyDescent="0.2">
      <c r="A409" s="8" t="s">
        <v>279</v>
      </c>
      <c r="B409" s="8" t="s">
        <v>280</v>
      </c>
      <c r="C409" s="8">
        <v>139</v>
      </c>
      <c r="D409" s="8" t="s">
        <v>16</v>
      </c>
      <c r="E409" s="8" t="s">
        <v>601</v>
      </c>
    </row>
    <row r="410" spans="1:5" x14ac:dyDescent="0.2">
      <c r="A410" s="8" t="s">
        <v>281</v>
      </c>
      <c r="B410" s="8" t="s">
        <v>282</v>
      </c>
      <c r="C410" s="8">
        <v>175</v>
      </c>
      <c r="D410" s="8" t="s">
        <v>16</v>
      </c>
      <c r="E410" s="8" t="s">
        <v>601</v>
      </c>
    </row>
    <row r="411" spans="1:5" x14ac:dyDescent="0.2">
      <c r="A411" s="8" t="s">
        <v>283</v>
      </c>
      <c r="B411" s="8" t="s">
        <v>284</v>
      </c>
      <c r="C411" s="8">
        <v>103</v>
      </c>
      <c r="D411" s="8" t="s">
        <v>16</v>
      </c>
      <c r="E411" s="8" t="s">
        <v>601</v>
      </c>
    </row>
    <row r="412" spans="1:5" x14ac:dyDescent="0.2">
      <c r="A412" s="8" t="s">
        <v>285</v>
      </c>
      <c r="B412" s="8" t="s">
        <v>286</v>
      </c>
      <c r="C412" s="8">
        <v>139</v>
      </c>
      <c r="D412" s="8" t="s">
        <v>16</v>
      </c>
      <c r="E412" s="8" t="s">
        <v>601</v>
      </c>
    </row>
    <row r="413" spans="1:5" x14ac:dyDescent="0.2">
      <c r="A413" s="8" t="s">
        <v>287</v>
      </c>
      <c r="B413" s="8" t="s">
        <v>288</v>
      </c>
      <c r="C413" s="8">
        <v>189</v>
      </c>
      <c r="D413" s="8" t="s">
        <v>16</v>
      </c>
      <c r="E413" s="8" t="s">
        <v>601</v>
      </c>
    </row>
    <row r="414" spans="1:5" x14ac:dyDescent="0.2">
      <c r="A414" s="8" t="s">
        <v>289</v>
      </c>
      <c r="B414" s="8" t="s">
        <v>290</v>
      </c>
      <c r="C414" s="8">
        <v>71</v>
      </c>
      <c r="D414" s="8" t="s">
        <v>16</v>
      </c>
      <c r="E414" s="8" t="s">
        <v>601</v>
      </c>
    </row>
    <row r="415" spans="1:5" x14ac:dyDescent="0.2">
      <c r="A415" s="8" t="s">
        <v>291</v>
      </c>
      <c r="B415" s="8" t="s">
        <v>292</v>
      </c>
      <c r="C415" s="8">
        <v>67</v>
      </c>
      <c r="D415" s="8" t="s">
        <v>16</v>
      </c>
      <c r="E415" s="8" t="s">
        <v>601</v>
      </c>
    </row>
    <row r="416" spans="1:5" x14ac:dyDescent="0.2">
      <c r="A416" s="8" t="s">
        <v>293</v>
      </c>
      <c r="B416" s="8" t="s">
        <v>294</v>
      </c>
      <c r="C416" s="8">
        <v>1</v>
      </c>
      <c r="D416" s="8" t="s">
        <v>16</v>
      </c>
      <c r="E416" s="8" t="s">
        <v>601</v>
      </c>
    </row>
    <row r="417" spans="1:5" x14ac:dyDescent="0.2">
      <c r="A417" s="8" t="s">
        <v>295</v>
      </c>
      <c r="B417" s="8" t="s">
        <v>296</v>
      </c>
      <c r="C417" s="8">
        <v>60</v>
      </c>
      <c r="D417" s="8" t="s">
        <v>16</v>
      </c>
      <c r="E417" s="8" t="s">
        <v>601</v>
      </c>
    </row>
    <row r="418" spans="1:5" x14ac:dyDescent="0.2">
      <c r="A418" s="8" t="s">
        <v>297</v>
      </c>
      <c r="B418" s="8" t="s">
        <v>298</v>
      </c>
      <c r="C418" s="8">
        <v>89</v>
      </c>
      <c r="D418" s="8" t="s">
        <v>16</v>
      </c>
      <c r="E418" s="8" t="s">
        <v>601</v>
      </c>
    </row>
    <row r="419" spans="1:5" x14ac:dyDescent="0.2">
      <c r="A419" s="8" t="s">
        <v>299</v>
      </c>
      <c r="B419" s="8" t="s">
        <v>300</v>
      </c>
      <c r="C419" s="8">
        <v>109</v>
      </c>
      <c r="D419" s="8" t="s">
        <v>16</v>
      </c>
      <c r="E419" s="8" t="s">
        <v>601</v>
      </c>
    </row>
    <row r="420" spans="1:5" x14ac:dyDescent="0.2">
      <c r="A420" s="8" t="s">
        <v>301</v>
      </c>
      <c r="B420" s="8" t="s">
        <v>302</v>
      </c>
      <c r="C420" s="8">
        <v>66</v>
      </c>
      <c r="D420" s="8" t="s">
        <v>16</v>
      </c>
      <c r="E420" s="8" t="s">
        <v>601</v>
      </c>
    </row>
    <row r="421" spans="1:5" x14ac:dyDescent="0.2">
      <c r="A421" s="8" t="s">
        <v>303</v>
      </c>
      <c r="B421" s="8" t="s">
        <v>304</v>
      </c>
      <c r="C421" s="8">
        <v>183</v>
      </c>
      <c r="D421" s="8" t="s">
        <v>16</v>
      </c>
      <c r="E421" s="8" t="s">
        <v>601</v>
      </c>
    </row>
    <row r="422" spans="1:5" x14ac:dyDescent="0.2">
      <c r="A422" s="8" t="s">
        <v>305</v>
      </c>
      <c r="B422" s="38" t="s">
        <v>306</v>
      </c>
      <c r="C422" s="8">
        <v>34</v>
      </c>
      <c r="D422" s="8" t="s">
        <v>16</v>
      </c>
      <c r="E422" s="8" t="s">
        <v>601</v>
      </c>
    </row>
    <row r="423" spans="1:5" x14ac:dyDescent="0.2">
      <c r="A423" s="8" t="s">
        <v>307</v>
      </c>
      <c r="B423" s="8" t="s">
        <v>308</v>
      </c>
      <c r="C423" s="8">
        <v>33</v>
      </c>
      <c r="D423" s="8" t="s">
        <v>16</v>
      </c>
      <c r="E423" s="8" t="s">
        <v>601</v>
      </c>
    </row>
    <row r="424" spans="1:5" x14ac:dyDescent="0.2">
      <c r="A424" s="8" t="s">
        <v>309</v>
      </c>
      <c r="B424" s="8" t="s">
        <v>310</v>
      </c>
      <c r="C424" s="8">
        <v>76</v>
      </c>
      <c r="D424" s="8" t="s">
        <v>16</v>
      </c>
      <c r="E424" s="8" t="s">
        <v>601</v>
      </c>
    </row>
    <row r="425" spans="1:5" x14ac:dyDescent="0.2">
      <c r="A425" s="8" t="s">
        <v>311</v>
      </c>
      <c r="B425" s="8" t="s">
        <v>312</v>
      </c>
      <c r="C425" s="8">
        <v>191</v>
      </c>
      <c r="D425" s="8" t="s">
        <v>16</v>
      </c>
      <c r="E425" s="8" t="s">
        <v>601</v>
      </c>
    </row>
    <row r="426" spans="1:5" x14ac:dyDescent="0.2">
      <c r="A426" s="8" t="s">
        <v>313</v>
      </c>
      <c r="B426" s="8" t="s">
        <v>314</v>
      </c>
      <c r="C426" s="8">
        <v>122</v>
      </c>
      <c r="D426" s="8" t="s">
        <v>16</v>
      </c>
      <c r="E426" s="8" t="s">
        <v>601</v>
      </c>
    </row>
    <row r="427" spans="1:5" x14ac:dyDescent="0.2">
      <c r="A427" s="8" t="s">
        <v>315</v>
      </c>
      <c r="B427" s="8" t="s">
        <v>316</v>
      </c>
      <c r="C427" s="8">
        <v>191</v>
      </c>
      <c r="D427" s="8" t="s">
        <v>16</v>
      </c>
      <c r="E427" s="8" t="s">
        <v>601</v>
      </c>
    </row>
    <row r="428" spans="1:5" x14ac:dyDescent="0.2">
      <c r="A428" s="8" t="s">
        <v>317</v>
      </c>
      <c r="B428" s="8" t="s">
        <v>318</v>
      </c>
      <c r="C428" s="8">
        <v>141</v>
      </c>
      <c r="D428" s="8" t="s">
        <v>16</v>
      </c>
      <c r="E428" s="8" t="s">
        <v>601</v>
      </c>
    </row>
    <row r="429" spans="1:5" x14ac:dyDescent="0.2">
      <c r="A429" s="8" t="s">
        <v>319</v>
      </c>
      <c r="B429" s="8" t="s">
        <v>320</v>
      </c>
      <c r="C429" s="8">
        <v>6</v>
      </c>
      <c r="D429" s="8" t="s">
        <v>10</v>
      </c>
      <c r="E429" s="8" t="s">
        <v>601</v>
      </c>
    </row>
    <row r="430" spans="1:5" x14ac:dyDescent="0.2">
      <c r="A430" s="8" t="s">
        <v>321</v>
      </c>
      <c r="B430" s="8" t="s">
        <v>322</v>
      </c>
      <c r="C430" s="8">
        <v>66</v>
      </c>
      <c r="D430" s="8" t="s">
        <v>10</v>
      </c>
      <c r="E430" s="8" t="s">
        <v>601</v>
      </c>
    </row>
    <row r="431" spans="1:5" x14ac:dyDescent="0.2">
      <c r="A431" s="8" t="s">
        <v>323</v>
      </c>
      <c r="B431" s="8" t="s">
        <v>324</v>
      </c>
      <c r="C431" s="8">
        <v>84</v>
      </c>
      <c r="D431" s="8" t="s">
        <v>10</v>
      </c>
      <c r="E431" s="8" t="s">
        <v>601</v>
      </c>
    </row>
    <row r="432" spans="1:5" x14ac:dyDescent="0.2">
      <c r="A432" s="8" t="s">
        <v>325</v>
      </c>
      <c r="B432" s="8" t="s">
        <v>326</v>
      </c>
      <c r="C432" s="8">
        <v>72</v>
      </c>
      <c r="D432" s="8" t="s">
        <v>10</v>
      </c>
      <c r="E432" s="8" t="s">
        <v>601</v>
      </c>
    </row>
    <row r="433" spans="1:5" x14ac:dyDescent="0.2">
      <c r="A433" s="8" t="s">
        <v>327</v>
      </c>
      <c r="B433" s="8" t="s">
        <v>328</v>
      </c>
      <c r="C433" s="8">
        <v>70</v>
      </c>
      <c r="D433" s="8" t="s">
        <v>10</v>
      </c>
      <c r="E433" s="8" t="s">
        <v>601</v>
      </c>
    </row>
    <row r="434" spans="1:5" x14ac:dyDescent="0.2">
      <c r="A434" s="8" t="s">
        <v>329</v>
      </c>
      <c r="B434" s="8" t="s">
        <v>330</v>
      </c>
      <c r="C434" s="8">
        <v>110</v>
      </c>
      <c r="D434" s="8" t="s">
        <v>10</v>
      </c>
      <c r="E434" s="8" t="s">
        <v>601</v>
      </c>
    </row>
    <row r="435" spans="1:5" x14ac:dyDescent="0.2">
      <c r="A435" s="8" t="s">
        <v>331</v>
      </c>
      <c r="B435" s="8" t="s">
        <v>332</v>
      </c>
      <c r="C435" s="8">
        <v>101</v>
      </c>
      <c r="D435" s="8" t="s">
        <v>10</v>
      </c>
      <c r="E435" s="8" t="s">
        <v>601</v>
      </c>
    </row>
    <row r="436" spans="1:5" x14ac:dyDescent="0.2">
      <c r="A436" s="8" t="s">
        <v>30</v>
      </c>
      <c r="B436" s="8" t="s">
        <v>31</v>
      </c>
      <c r="C436" s="8">
        <v>193</v>
      </c>
      <c r="D436" s="8" t="s">
        <v>10</v>
      </c>
      <c r="E436" s="8" t="s">
        <v>601</v>
      </c>
    </row>
    <row r="437" spans="1:5" x14ac:dyDescent="0.2">
      <c r="A437" s="8" t="s">
        <v>333</v>
      </c>
      <c r="B437" s="8" t="s">
        <v>334</v>
      </c>
      <c r="C437" s="8">
        <v>112</v>
      </c>
      <c r="D437" s="8" t="s">
        <v>10</v>
      </c>
      <c r="E437" s="8" t="s">
        <v>601</v>
      </c>
    </row>
    <row r="438" spans="1:5" x14ac:dyDescent="0.2">
      <c r="A438" s="8" t="s">
        <v>33</v>
      </c>
      <c r="B438" s="8" t="s">
        <v>34</v>
      </c>
      <c r="C438" s="8">
        <v>150</v>
      </c>
      <c r="D438" s="8" t="s">
        <v>10</v>
      </c>
      <c r="E438" s="8" t="s">
        <v>601</v>
      </c>
    </row>
    <row r="439" spans="1:5" x14ac:dyDescent="0.2">
      <c r="A439" s="8" t="s">
        <v>335</v>
      </c>
      <c r="B439" s="8" t="s">
        <v>336</v>
      </c>
      <c r="C439" s="8">
        <v>77</v>
      </c>
      <c r="D439" s="8" t="s">
        <v>10</v>
      </c>
      <c r="E439" s="8" t="s">
        <v>601</v>
      </c>
    </row>
    <row r="440" spans="1:5" x14ac:dyDescent="0.2">
      <c r="A440" s="8" t="s">
        <v>337</v>
      </c>
      <c r="B440" s="8" t="s">
        <v>338</v>
      </c>
      <c r="C440" s="8">
        <v>174</v>
      </c>
      <c r="D440" s="8" t="s">
        <v>10</v>
      </c>
      <c r="E440" s="8" t="s">
        <v>601</v>
      </c>
    </row>
    <row r="441" spans="1:5" x14ac:dyDescent="0.2">
      <c r="A441" s="8" t="s">
        <v>339</v>
      </c>
      <c r="B441" s="8" t="s">
        <v>340</v>
      </c>
      <c r="C441" s="8">
        <v>177</v>
      </c>
      <c r="D441" s="8" t="s">
        <v>10</v>
      </c>
      <c r="E441" s="8" t="s">
        <v>601</v>
      </c>
    </row>
    <row r="442" spans="1:5" x14ac:dyDescent="0.2">
      <c r="A442" s="8" t="s">
        <v>341</v>
      </c>
      <c r="B442" s="8" t="s">
        <v>342</v>
      </c>
      <c r="C442" s="8">
        <v>150</v>
      </c>
      <c r="D442" s="8" t="s">
        <v>10</v>
      </c>
      <c r="E442" s="8" t="s">
        <v>601</v>
      </c>
    </row>
    <row r="443" spans="1:5" x14ac:dyDescent="0.2">
      <c r="A443" s="8" t="s">
        <v>343</v>
      </c>
      <c r="B443" s="8" t="s">
        <v>344</v>
      </c>
      <c r="C443" s="8">
        <v>181</v>
      </c>
      <c r="D443" s="8" t="s">
        <v>10</v>
      </c>
      <c r="E443" s="8" t="s">
        <v>601</v>
      </c>
    </row>
    <row r="444" spans="1:5" x14ac:dyDescent="0.2">
      <c r="A444" s="8" t="s">
        <v>345</v>
      </c>
      <c r="B444" s="8" t="s">
        <v>346</v>
      </c>
      <c r="C444" s="8">
        <v>46</v>
      </c>
      <c r="D444" s="8" t="s">
        <v>10</v>
      </c>
      <c r="E444" s="8" t="s">
        <v>601</v>
      </c>
    </row>
    <row r="445" spans="1:5" x14ac:dyDescent="0.2">
      <c r="A445" s="8" t="s">
        <v>347</v>
      </c>
      <c r="B445" s="8" t="s">
        <v>348</v>
      </c>
      <c r="C445" s="8">
        <v>76</v>
      </c>
      <c r="D445" s="8" t="s">
        <v>10</v>
      </c>
      <c r="E445" s="8" t="s">
        <v>601</v>
      </c>
    </row>
    <row r="446" spans="1:5" x14ac:dyDescent="0.2">
      <c r="A446" s="8" t="s">
        <v>349</v>
      </c>
      <c r="B446" s="8" t="s">
        <v>350</v>
      </c>
      <c r="C446" s="8">
        <v>105</v>
      </c>
      <c r="D446" s="8" t="s">
        <v>10</v>
      </c>
      <c r="E446" s="8" t="s">
        <v>601</v>
      </c>
    </row>
    <row r="447" spans="1:5" x14ac:dyDescent="0.2">
      <c r="A447" s="8" t="s">
        <v>40</v>
      </c>
      <c r="B447" s="8" t="s">
        <v>41</v>
      </c>
      <c r="C447" s="8">
        <v>21</v>
      </c>
      <c r="D447" s="8" t="s">
        <v>10</v>
      </c>
      <c r="E447" s="8" t="s">
        <v>601</v>
      </c>
    </row>
    <row r="448" spans="1:5" x14ac:dyDescent="0.2">
      <c r="A448" s="8" t="s">
        <v>351</v>
      </c>
      <c r="B448" s="8" t="s">
        <v>352</v>
      </c>
      <c r="C448" s="8">
        <v>129</v>
      </c>
      <c r="D448" s="8" t="s">
        <v>10</v>
      </c>
      <c r="E448" s="8" t="s">
        <v>601</v>
      </c>
    </row>
    <row r="449" spans="1:5" x14ac:dyDescent="0.2">
      <c r="A449" s="8" t="s">
        <v>353</v>
      </c>
      <c r="B449" s="8" t="s">
        <v>354</v>
      </c>
      <c r="C449" s="8">
        <v>92</v>
      </c>
      <c r="D449" s="8" t="s">
        <v>10</v>
      </c>
      <c r="E449" s="8" t="s">
        <v>601</v>
      </c>
    </row>
    <row r="450" spans="1:5" x14ac:dyDescent="0.2">
      <c r="A450" s="8" t="s">
        <v>355</v>
      </c>
      <c r="B450" s="8" t="s">
        <v>356</v>
      </c>
      <c r="C450" s="8">
        <v>127</v>
      </c>
      <c r="D450" s="8" t="s">
        <v>10</v>
      </c>
      <c r="E450" s="8" t="s">
        <v>601</v>
      </c>
    </row>
    <row r="451" spans="1:5" x14ac:dyDescent="0.2">
      <c r="A451" s="8" t="s">
        <v>357</v>
      </c>
      <c r="B451" s="8" t="s">
        <v>358</v>
      </c>
      <c r="C451" s="8">
        <v>43</v>
      </c>
      <c r="D451" s="8" t="s">
        <v>10</v>
      </c>
      <c r="E451" s="8" t="s">
        <v>601</v>
      </c>
    </row>
    <row r="452" spans="1:5" x14ac:dyDescent="0.2">
      <c r="A452" s="8" t="s">
        <v>359</v>
      </c>
      <c r="B452" s="8" t="s">
        <v>360</v>
      </c>
      <c r="C452" s="8">
        <v>87</v>
      </c>
      <c r="D452" s="8" t="s">
        <v>10</v>
      </c>
      <c r="E452" s="8" t="s">
        <v>601</v>
      </c>
    </row>
    <row r="453" spans="1:5" x14ac:dyDescent="0.2">
      <c r="A453" s="8" t="s">
        <v>361</v>
      </c>
      <c r="B453" s="8" t="s">
        <v>362</v>
      </c>
      <c r="C453" s="8">
        <v>18</v>
      </c>
      <c r="D453" s="8" t="s">
        <v>10</v>
      </c>
      <c r="E453" s="8" t="s">
        <v>601</v>
      </c>
    </row>
    <row r="454" spans="1:5" x14ac:dyDescent="0.2">
      <c r="A454" s="8" t="s">
        <v>363</v>
      </c>
      <c r="B454" s="8" t="s">
        <v>364</v>
      </c>
      <c r="C454" s="8">
        <v>190</v>
      </c>
      <c r="D454" s="8" t="s">
        <v>10</v>
      </c>
      <c r="E454" s="8" t="s">
        <v>601</v>
      </c>
    </row>
    <row r="455" spans="1:5" x14ac:dyDescent="0.2">
      <c r="A455" s="8" t="s">
        <v>365</v>
      </c>
      <c r="B455" s="8" t="s">
        <v>366</v>
      </c>
      <c r="C455" s="8">
        <v>38</v>
      </c>
      <c r="D455" s="8" t="s">
        <v>10</v>
      </c>
      <c r="E455" s="8" t="s">
        <v>601</v>
      </c>
    </row>
    <row r="456" spans="1:5" x14ac:dyDescent="0.2">
      <c r="A456" s="8" t="s">
        <v>367</v>
      </c>
      <c r="B456" s="8" t="s">
        <v>368</v>
      </c>
      <c r="C456" s="8">
        <v>16</v>
      </c>
      <c r="D456" s="8" t="s">
        <v>10</v>
      </c>
      <c r="E456" s="8" t="s">
        <v>601</v>
      </c>
    </row>
    <row r="457" spans="1:5" x14ac:dyDescent="0.2">
      <c r="A457" s="8" t="s">
        <v>369</v>
      </c>
      <c r="B457" s="8" t="s">
        <v>370</v>
      </c>
      <c r="C457" s="8">
        <v>9</v>
      </c>
      <c r="D457" s="8" t="s">
        <v>10</v>
      </c>
      <c r="E457" s="8" t="s">
        <v>601</v>
      </c>
    </row>
    <row r="458" spans="1:5" x14ac:dyDescent="0.2">
      <c r="A458" s="8" t="s">
        <v>371</v>
      </c>
      <c r="B458" s="8" t="s">
        <v>372</v>
      </c>
      <c r="C458" s="8">
        <v>4</v>
      </c>
      <c r="D458" s="8" t="s">
        <v>10</v>
      </c>
      <c r="E458" s="8" t="s">
        <v>601</v>
      </c>
    </row>
    <row r="459" spans="1:5" x14ac:dyDescent="0.2">
      <c r="A459" s="8" t="s">
        <v>373</v>
      </c>
      <c r="B459" s="8" t="s">
        <v>374</v>
      </c>
      <c r="C459" s="8">
        <v>110</v>
      </c>
      <c r="D459" s="8" t="s">
        <v>10</v>
      </c>
      <c r="E459" s="8" t="s">
        <v>601</v>
      </c>
    </row>
    <row r="460" spans="1:5" x14ac:dyDescent="0.2">
      <c r="A460" s="8" t="s">
        <v>375</v>
      </c>
      <c r="B460" s="8" t="s">
        <v>376</v>
      </c>
      <c r="C460" s="8">
        <v>129</v>
      </c>
      <c r="D460" s="8" t="s">
        <v>10</v>
      </c>
      <c r="E460" s="8" t="s">
        <v>601</v>
      </c>
    </row>
    <row r="461" spans="1:5" x14ac:dyDescent="0.2">
      <c r="A461" s="8" t="s">
        <v>377</v>
      </c>
      <c r="B461" s="8" t="s">
        <v>378</v>
      </c>
      <c r="C461" s="8">
        <v>162</v>
      </c>
      <c r="D461" s="8" t="s">
        <v>10</v>
      </c>
      <c r="E461" s="8" t="s">
        <v>601</v>
      </c>
    </row>
    <row r="462" spans="1:5" x14ac:dyDescent="0.2">
      <c r="A462" s="8" t="s">
        <v>379</v>
      </c>
      <c r="B462" s="8" t="s">
        <v>380</v>
      </c>
      <c r="C462" s="8">
        <v>120</v>
      </c>
      <c r="D462" s="8" t="s">
        <v>10</v>
      </c>
      <c r="E462" s="8" t="s">
        <v>601</v>
      </c>
    </row>
    <row r="463" spans="1:5" x14ac:dyDescent="0.2">
      <c r="A463" s="8" t="s">
        <v>381</v>
      </c>
      <c r="B463" s="8" t="s">
        <v>382</v>
      </c>
      <c r="C463" s="8">
        <v>193</v>
      </c>
      <c r="D463" s="8" t="s">
        <v>10</v>
      </c>
      <c r="E463" s="8" t="s">
        <v>601</v>
      </c>
    </row>
    <row r="464" spans="1:5" x14ac:dyDescent="0.2">
      <c r="A464" s="8" t="s">
        <v>383</v>
      </c>
      <c r="B464" s="8" t="s">
        <v>384</v>
      </c>
      <c r="C464" s="8">
        <v>6</v>
      </c>
      <c r="D464" s="8" t="s">
        <v>10</v>
      </c>
      <c r="E464" s="8" t="s">
        <v>601</v>
      </c>
    </row>
    <row r="465" spans="1:5" x14ac:dyDescent="0.2">
      <c r="A465" s="8" t="s">
        <v>385</v>
      </c>
      <c r="B465" s="8" t="s">
        <v>386</v>
      </c>
      <c r="C465" s="8">
        <v>58</v>
      </c>
      <c r="D465" s="8" t="s">
        <v>10</v>
      </c>
      <c r="E465" s="8" t="s">
        <v>601</v>
      </c>
    </row>
    <row r="466" spans="1:5" x14ac:dyDescent="0.2">
      <c r="A466" s="8" t="s">
        <v>387</v>
      </c>
      <c r="B466" s="8" t="s">
        <v>388</v>
      </c>
      <c r="C466" s="8">
        <v>174</v>
      </c>
      <c r="D466" s="8" t="s">
        <v>10</v>
      </c>
      <c r="E466" s="8" t="s">
        <v>601</v>
      </c>
    </row>
    <row r="467" spans="1:5" x14ac:dyDescent="0.2">
      <c r="A467" s="8" t="s">
        <v>389</v>
      </c>
      <c r="B467" s="8" t="s">
        <v>390</v>
      </c>
      <c r="C467" s="8">
        <v>65</v>
      </c>
      <c r="D467" s="8" t="s">
        <v>10</v>
      </c>
      <c r="E467" s="8" t="s">
        <v>601</v>
      </c>
    </row>
    <row r="468" spans="1:5" x14ac:dyDescent="0.2">
      <c r="A468" s="8" t="s">
        <v>391</v>
      </c>
      <c r="B468" s="8" t="s">
        <v>392</v>
      </c>
      <c r="C468" s="8">
        <v>116</v>
      </c>
      <c r="D468" s="8" t="s">
        <v>10</v>
      </c>
      <c r="E468" s="8" t="s">
        <v>601</v>
      </c>
    </row>
    <row r="469" spans="1:5" x14ac:dyDescent="0.2">
      <c r="A469" s="8" t="s">
        <v>393</v>
      </c>
      <c r="B469" s="8" t="s">
        <v>394</v>
      </c>
      <c r="C469" s="8">
        <v>166</v>
      </c>
      <c r="D469" s="8" t="s">
        <v>10</v>
      </c>
      <c r="E469" s="8" t="s">
        <v>601</v>
      </c>
    </row>
    <row r="470" spans="1:5" x14ac:dyDescent="0.2">
      <c r="A470" s="8" t="s">
        <v>395</v>
      </c>
      <c r="B470" s="8" t="s">
        <v>396</v>
      </c>
      <c r="C470" s="8">
        <v>94</v>
      </c>
      <c r="D470" s="8" t="s">
        <v>10</v>
      </c>
      <c r="E470" s="8" t="s">
        <v>601</v>
      </c>
    </row>
    <row r="471" spans="1:5" x14ac:dyDescent="0.2">
      <c r="A471" s="8" t="s">
        <v>397</v>
      </c>
      <c r="B471" s="8" t="s">
        <v>398</v>
      </c>
      <c r="C471" s="8">
        <v>148</v>
      </c>
      <c r="D471" s="8" t="s">
        <v>10</v>
      </c>
      <c r="E471" s="8" t="s">
        <v>601</v>
      </c>
    </row>
    <row r="472" spans="1:5" x14ac:dyDescent="0.2">
      <c r="A472" s="8" t="s">
        <v>399</v>
      </c>
      <c r="B472" s="8" t="s">
        <v>400</v>
      </c>
      <c r="C472" s="8">
        <v>136</v>
      </c>
      <c r="D472" s="8" t="s">
        <v>10</v>
      </c>
      <c r="E472" s="8" t="s">
        <v>601</v>
      </c>
    </row>
    <row r="473" spans="1:5" x14ac:dyDescent="0.2">
      <c r="A473" s="8" t="s">
        <v>401</v>
      </c>
      <c r="B473" s="8" t="s">
        <v>402</v>
      </c>
      <c r="C473" s="8">
        <v>11</v>
      </c>
      <c r="D473" s="8" t="s">
        <v>10</v>
      </c>
      <c r="E473" s="8" t="s">
        <v>601</v>
      </c>
    </row>
    <row r="474" spans="1:5" x14ac:dyDescent="0.2">
      <c r="A474" s="8" t="s">
        <v>403</v>
      </c>
      <c r="B474" s="8" t="s">
        <v>404</v>
      </c>
      <c r="C474" s="8">
        <v>121</v>
      </c>
      <c r="D474" s="8" t="s">
        <v>10</v>
      </c>
      <c r="E474" s="8" t="s">
        <v>601</v>
      </c>
    </row>
    <row r="475" spans="1:5" x14ac:dyDescent="0.2">
      <c r="A475" s="8" t="s">
        <v>405</v>
      </c>
      <c r="B475" s="8" t="s">
        <v>406</v>
      </c>
      <c r="C475" s="8">
        <v>140</v>
      </c>
      <c r="D475" s="8" t="s">
        <v>10</v>
      </c>
      <c r="E475" s="8" t="s">
        <v>601</v>
      </c>
    </row>
    <row r="476" spans="1:5" x14ac:dyDescent="0.2">
      <c r="A476" s="8" t="s">
        <v>407</v>
      </c>
      <c r="B476" s="8" t="s">
        <v>408</v>
      </c>
      <c r="C476" s="8">
        <v>11</v>
      </c>
      <c r="D476" s="8" t="s">
        <v>10</v>
      </c>
      <c r="E476" s="8" t="s">
        <v>601</v>
      </c>
    </row>
    <row r="477" spans="1:5" x14ac:dyDescent="0.2">
      <c r="A477" s="8" t="s">
        <v>409</v>
      </c>
      <c r="B477" s="8" t="s">
        <v>410</v>
      </c>
      <c r="C477" s="8">
        <v>104</v>
      </c>
      <c r="D477" s="8" t="s">
        <v>10</v>
      </c>
      <c r="E477" s="8" t="s">
        <v>601</v>
      </c>
    </row>
    <row r="478" spans="1:5" x14ac:dyDescent="0.2">
      <c r="A478" s="8" t="s">
        <v>411</v>
      </c>
      <c r="B478" s="8" t="s">
        <v>412</v>
      </c>
      <c r="C478" s="8">
        <v>67</v>
      </c>
      <c r="D478" s="8" t="s">
        <v>10</v>
      </c>
      <c r="E478" s="8" t="s">
        <v>601</v>
      </c>
    </row>
    <row r="479" spans="1:5" x14ac:dyDescent="0.2">
      <c r="A479" s="8" t="s">
        <v>413</v>
      </c>
      <c r="B479" s="8" t="s">
        <v>414</v>
      </c>
      <c r="C479" s="8">
        <v>113</v>
      </c>
      <c r="D479" s="8" t="s">
        <v>10</v>
      </c>
      <c r="E479" s="8" t="s">
        <v>601</v>
      </c>
    </row>
    <row r="480" spans="1:5" x14ac:dyDescent="0.2">
      <c r="A480" s="8" t="s">
        <v>415</v>
      </c>
      <c r="B480" s="8" t="s">
        <v>416</v>
      </c>
      <c r="C480" s="8">
        <v>18</v>
      </c>
      <c r="D480" s="8" t="s">
        <v>10</v>
      </c>
      <c r="E480" s="8" t="s">
        <v>601</v>
      </c>
    </row>
    <row r="481" spans="1:5" x14ac:dyDescent="0.2">
      <c r="A481" s="8" t="s">
        <v>417</v>
      </c>
      <c r="B481" s="8" t="s">
        <v>418</v>
      </c>
      <c r="C481" s="8">
        <v>166</v>
      </c>
      <c r="D481" s="8" t="s">
        <v>10</v>
      </c>
      <c r="E481" s="8" t="s">
        <v>601</v>
      </c>
    </row>
    <row r="482" spans="1:5" x14ac:dyDescent="0.2">
      <c r="A482" s="8" t="s">
        <v>419</v>
      </c>
      <c r="B482" s="8" t="s">
        <v>420</v>
      </c>
      <c r="C482" s="8">
        <v>5</v>
      </c>
      <c r="D482" s="8" t="s">
        <v>10</v>
      </c>
      <c r="E482" s="8" t="s">
        <v>601</v>
      </c>
    </row>
    <row r="483" spans="1:5" x14ac:dyDescent="0.2">
      <c r="A483" s="8" t="s">
        <v>421</v>
      </c>
      <c r="B483" s="8" t="s">
        <v>422</v>
      </c>
      <c r="C483" s="8">
        <v>178</v>
      </c>
      <c r="D483" s="8" t="s">
        <v>10</v>
      </c>
      <c r="E483" s="8" t="s">
        <v>601</v>
      </c>
    </row>
    <row r="484" spans="1:5" x14ac:dyDescent="0.2">
      <c r="A484" s="8" t="s">
        <v>423</v>
      </c>
      <c r="B484" s="8" t="s">
        <v>424</v>
      </c>
      <c r="C484" s="8">
        <v>101</v>
      </c>
      <c r="D484" s="8" t="s">
        <v>10</v>
      </c>
      <c r="E484" s="8" t="s">
        <v>601</v>
      </c>
    </row>
    <row r="485" spans="1:5" x14ac:dyDescent="0.2">
      <c r="A485" s="8" t="s">
        <v>425</v>
      </c>
      <c r="B485" s="8" t="s">
        <v>426</v>
      </c>
      <c r="C485" s="8">
        <v>10</v>
      </c>
      <c r="D485" s="8" t="s">
        <v>10</v>
      </c>
      <c r="E485" s="8" t="s">
        <v>601</v>
      </c>
    </row>
    <row r="486" spans="1:5" x14ac:dyDescent="0.2">
      <c r="A486" s="8" t="s">
        <v>427</v>
      </c>
      <c r="B486" s="8" t="s">
        <v>428</v>
      </c>
      <c r="C486" s="8">
        <v>121</v>
      </c>
      <c r="D486" s="8" t="s">
        <v>10</v>
      </c>
      <c r="E486" s="8" t="s">
        <v>601</v>
      </c>
    </row>
    <row r="487" spans="1:5" x14ac:dyDescent="0.2">
      <c r="A487" s="8" t="s">
        <v>429</v>
      </c>
      <c r="B487" s="8" t="s">
        <v>430</v>
      </c>
      <c r="C487" s="8">
        <v>142</v>
      </c>
      <c r="D487" s="8" t="s">
        <v>10</v>
      </c>
      <c r="E487" s="8" t="s">
        <v>601</v>
      </c>
    </row>
    <row r="488" spans="1:5" x14ac:dyDescent="0.2">
      <c r="A488" s="8" t="s">
        <v>431</v>
      </c>
      <c r="B488" s="8" t="s">
        <v>432</v>
      </c>
      <c r="C488" s="8">
        <v>4</v>
      </c>
      <c r="D488" s="8" t="s">
        <v>10</v>
      </c>
      <c r="E488" s="8" t="s">
        <v>601</v>
      </c>
    </row>
    <row r="489" spans="1:5" x14ac:dyDescent="0.2">
      <c r="A489" s="8" t="s">
        <v>433</v>
      </c>
      <c r="B489" s="8" t="s">
        <v>434</v>
      </c>
      <c r="C489" s="8">
        <v>39</v>
      </c>
      <c r="D489" s="8" t="s">
        <v>10</v>
      </c>
      <c r="E489" s="8" t="s">
        <v>601</v>
      </c>
    </row>
    <row r="490" spans="1:5" x14ac:dyDescent="0.2">
      <c r="A490" s="8" t="s">
        <v>435</v>
      </c>
      <c r="B490" s="8" t="s">
        <v>436</v>
      </c>
      <c r="C490" s="8">
        <v>129</v>
      </c>
      <c r="D490" s="8" t="s">
        <v>10</v>
      </c>
      <c r="E490" s="8" t="s">
        <v>601</v>
      </c>
    </row>
    <row r="491" spans="1:5" x14ac:dyDescent="0.2">
      <c r="A491" s="8" t="s">
        <v>437</v>
      </c>
      <c r="B491" s="8" t="s">
        <v>438</v>
      </c>
      <c r="C491" s="8">
        <v>103</v>
      </c>
      <c r="D491" s="8" t="s">
        <v>10</v>
      </c>
      <c r="E491" s="8" t="s">
        <v>601</v>
      </c>
    </row>
    <row r="492" spans="1:5" x14ac:dyDescent="0.2">
      <c r="A492" s="8" t="s">
        <v>439</v>
      </c>
      <c r="B492" s="8" t="s">
        <v>440</v>
      </c>
      <c r="C492" s="8">
        <v>164</v>
      </c>
      <c r="D492" s="8" t="s">
        <v>10</v>
      </c>
      <c r="E492" s="8" t="s">
        <v>601</v>
      </c>
    </row>
    <row r="493" spans="1:5" x14ac:dyDescent="0.2">
      <c r="A493" s="8" t="s">
        <v>441</v>
      </c>
      <c r="B493" s="8" t="s">
        <v>442</v>
      </c>
      <c r="C493" s="8">
        <v>158</v>
      </c>
      <c r="D493" s="8" t="s">
        <v>10</v>
      </c>
      <c r="E493" s="8" t="s">
        <v>601</v>
      </c>
    </row>
    <row r="494" spans="1:5" x14ac:dyDescent="0.2">
      <c r="A494" s="8" t="s">
        <v>443</v>
      </c>
      <c r="B494" s="8" t="s">
        <v>444</v>
      </c>
      <c r="C494" s="8">
        <v>93</v>
      </c>
      <c r="D494" s="8" t="s">
        <v>10</v>
      </c>
      <c r="E494" s="8" t="s">
        <v>601</v>
      </c>
    </row>
    <row r="495" spans="1:5" x14ac:dyDescent="0.2">
      <c r="A495" s="8" t="s">
        <v>445</v>
      </c>
      <c r="B495" s="8" t="s">
        <v>446</v>
      </c>
      <c r="C495" s="8">
        <v>125</v>
      </c>
      <c r="D495" s="8" t="s">
        <v>10</v>
      </c>
      <c r="E495" s="8" t="s">
        <v>601</v>
      </c>
    </row>
    <row r="496" spans="1:5" x14ac:dyDescent="0.2">
      <c r="A496" s="8" t="s">
        <v>447</v>
      </c>
      <c r="B496" s="8" t="s">
        <v>448</v>
      </c>
      <c r="C496" s="8">
        <v>1</v>
      </c>
      <c r="D496" s="8" t="s">
        <v>10</v>
      </c>
      <c r="E496" s="8" t="s">
        <v>601</v>
      </c>
    </row>
    <row r="497" spans="1:5" x14ac:dyDescent="0.2">
      <c r="A497" s="8" t="s">
        <v>449</v>
      </c>
      <c r="B497" s="8" t="s">
        <v>450</v>
      </c>
      <c r="C497" s="8">
        <v>198</v>
      </c>
      <c r="D497" s="8" t="s">
        <v>10</v>
      </c>
      <c r="E497" s="8" t="s">
        <v>601</v>
      </c>
    </row>
    <row r="498" spans="1:5" x14ac:dyDescent="0.2">
      <c r="A498" s="8" t="s">
        <v>451</v>
      </c>
      <c r="B498" s="8" t="s">
        <v>452</v>
      </c>
      <c r="C498" s="8">
        <v>157</v>
      </c>
      <c r="D498" s="8" t="s">
        <v>10</v>
      </c>
      <c r="E498" s="8" t="s">
        <v>601</v>
      </c>
    </row>
    <row r="499" spans="1:5" x14ac:dyDescent="0.2">
      <c r="A499" s="8" t="s">
        <v>453</v>
      </c>
      <c r="B499" s="8" t="s">
        <v>454</v>
      </c>
      <c r="C499" s="8">
        <v>46</v>
      </c>
      <c r="D499" s="8" t="s">
        <v>10</v>
      </c>
      <c r="E499" s="8" t="s">
        <v>601</v>
      </c>
    </row>
    <row r="500" spans="1:5" x14ac:dyDescent="0.2">
      <c r="A500" s="8" t="s">
        <v>455</v>
      </c>
      <c r="B500" s="8" t="s">
        <v>456</v>
      </c>
      <c r="C500" s="8">
        <v>45</v>
      </c>
      <c r="D500" s="8" t="s">
        <v>10</v>
      </c>
      <c r="E500" s="8" t="s">
        <v>601</v>
      </c>
    </row>
    <row r="501" spans="1:5" x14ac:dyDescent="0.2">
      <c r="A501" s="8" t="s">
        <v>457</v>
      </c>
      <c r="B501" s="8" t="s">
        <v>458</v>
      </c>
      <c r="C501" s="8">
        <v>102</v>
      </c>
      <c r="D501" s="8" t="s">
        <v>10</v>
      </c>
      <c r="E501" s="8" t="s">
        <v>601</v>
      </c>
    </row>
    <row r="502" spans="1:5" x14ac:dyDescent="0.2">
      <c r="A502" s="8" t="s">
        <v>459</v>
      </c>
      <c r="B502" s="8" t="s">
        <v>460</v>
      </c>
      <c r="C502" s="8">
        <v>25</v>
      </c>
      <c r="D502" s="8" t="s">
        <v>10</v>
      </c>
      <c r="E502" s="8" t="s">
        <v>601</v>
      </c>
    </row>
    <row r="503" spans="1:5" x14ac:dyDescent="0.2">
      <c r="A503" s="8" t="s">
        <v>461</v>
      </c>
      <c r="B503" s="8" t="s">
        <v>462</v>
      </c>
      <c r="C503" s="8">
        <v>75</v>
      </c>
      <c r="D503" s="8" t="s">
        <v>10</v>
      </c>
      <c r="E503" s="8" t="s">
        <v>601</v>
      </c>
    </row>
    <row r="504" spans="1:5" x14ac:dyDescent="0.2">
      <c r="A504" s="8" t="s">
        <v>463</v>
      </c>
      <c r="B504" s="8" t="s">
        <v>464</v>
      </c>
      <c r="C504" s="8">
        <v>181</v>
      </c>
      <c r="D504" s="8" t="s">
        <v>10</v>
      </c>
      <c r="E504" s="8" t="s">
        <v>601</v>
      </c>
    </row>
    <row r="505" spans="1:5" x14ac:dyDescent="0.2">
      <c r="A505" s="8" t="s">
        <v>465</v>
      </c>
      <c r="B505" s="8" t="s">
        <v>466</v>
      </c>
      <c r="C505" s="8">
        <v>135</v>
      </c>
      <c r="D505" s="8" t="s">
        <v>10</v>
      </c>
      <c r="E505" s="8" t="s">
        <v>601</v>
      </c>
    </row>
    <row r="506" spans="1:5" x14ac:dyDescent="0.2">
      <c r="A506" s="8" t="s">
        <v>467</v>
      </c>
      <c r="B506" s="8" t="s">
        <v>468</v>
      </c>
      <c r="C506" s="8">
        <v>194</v>
      </c>
      <c r="D506" s="8" t="s">
        <v>10</v>
      </c>
      <c r="E506" s="8" t="s">
        <v>601</v>
      </c>
    </row>
    <row r="507" spans="1:5" x14ac:dyDescent="0.2">
      <c r="A507" s="8" t="s">
        <v>469</v>
      </c>
      <c r="B507" s="8" t="s">
        <v>470</v>
      </c>
      <c r="C507" s="8">
        <v>33</v>
      </c>
      <c r="D507" s="8" t="s">
        <v>10</v>
      </c>
      <c r="E507" s="8" t="s">
        <v>601</v>
      </c>
    </row>
    <row r="508" spans="1:5" x14ac:dyDescent="0.2">
      <c r="A508" s="8" t="s">
        <v>471</v>
      </c>
      <c r="B508" s="8" t="s">
        <v>472</v>
      </c>
      <c r="C508" s="8">
        <v>184</v>
      </c>
      <c r="D508" s="8" t="s">
        <v>10</v>
      </c>
      <c r="E508" s="8" t="s">
        <v>601</v>
      </c>
    </row>
    <row r="509" spans="1:5" x14ac:dyDescent="0.2">
      <c r="A509" s="8" t="s">
        <v>473</v>
      </c>
      <c r="B509" s="8" t="s">
        <v>474</v>
      </c>
      <c r="C509" s="8">
        <v>166</v>
      </c>
      <c r="D509" s="8" t="s">
        <v>10</v>
      </c>
      <c r="E509" s="8" t="s">
        <v>601</v>
      </c>
    </row>
    <row r="510" spans="1:5" x14ac:dyDescent="0.2">
      <c r="A510" s="8" t="s">
        <v>475</v>
      </c>
      <c r="B510" s="8" t="s">
        <v>476</v>
      </c>
      <c r="C510" s="8">
        <v>54</v>
      </c>
      <c r="D510" s="8" t="s">
        <v>10</v>
      </c>
      <c r="E510" s="8" t="s">
        <v>601</v>
      </c>
    </row>
    <row r="511" spans="1:5" x14ac:dyDescent="0.2">
      <c r="A511" s="8" t="s">
        <v>477</v>
      </c>
      <c r="B511" s="8" t="s">
        <v>478</v>
      </c>
      <c r="C511" s="8">
        <v>117</v>
      </c>
      <c r="D511" s="8" t="s">
        <v>10</v>
      </c>
      <c r="E511" s="8" t="s">
        <v>601</v>
      </c>
    </row>
    <row r="512" spans="1:5" x14ac:dyDescent="0.2">
      <c r="A512" s="8" t="s">
        <v>479</v>
      </c>
      <c r="B512" s="8" t="s">
        <v>480</v>
      </c>
      <c r="C512" s="8">
        <v>75</v>
      </c>
      <c r="D512" s="8" t="s">
        <v>10</v>
      </c>
      <c r="E512" s="8" t="s">
        <v>601</v>
      </c>
    </row>
    <row r="513" spans="1:5" x14ac:dyDescent="0.2">
      <c r="A513" s="8" t="s">
        <v>481</v>
      </c>
      <c r="B513" s="8" t="s">
        <v>482</v>
      </c>
      <c r="C513" s="8">
        <v>25</v>
      </c>
      <c r="D513" s="8" t="s">
        <v>10</v>
      </c>
      <c r="E513" s="8" t="s">
        <v>601</v>
      </c>
    </row>
    <row r="514" spans="1:5" x14ac:dyDescent="0.2">
      <c r="A514" s="8" t="s">
        <v>483</v>
      </c>
      <c r="B514" s="8" t="s">
        <v>484</v>
      </c>
      <c r="C514" s="8">
        <v>75</v>
      </c>
      <c r="D514" s="8" t="s">
        <v>10</v>
      </c>
      <c r="E514" s="8" t="s">
        <v>601</v>
      </c>
    </row>
    <row r="515" spans="1:5" x14ac:dyDescent="0.2">
      <c r="A515" s="8" t="s">
        <v>485</v>
      </c>
      <c r="B515" s="8" t="s">
        <v>486</v>
      </c>
      <c r="C515" s="8">
        <v>3</v>
      </c>
      <c r="D515" s="8" t="s">
        <v>10</v>
      </c>
      <c r="E515" s="8" t="s">
        <v>601</v>
      </c>
    </row>
    <row r="516" spans="1:5" x14ac:dyDescent="0.2">
      <c r="A516" s="8" t="s">
        <v>487</v>
      </c>
      <c r="B516" s="8" t="s">
        <v>488</v>
      </c>
      <c r="C516" s="8">
        <v>104</v>
      </c>
      <c r="D516" s="8" t="s">
        <v>10</v>
      </c>
      <c r="E516" s="8" t="s">
        <v>601</v>
      </c>
    </row>
    <row r="517" spans="1:5" x14ac:dyDescent="0.2">
      <c r="A517" s="8" t="s">
        <v>489</v>
      </c>
      <c r="B517" s="8" t="s">
        <v>490</v>
      </c>
      <c r="C517" s="8">
        <v>66</v>
      </c>
      <c r="D517" s="8" t="s">
        <v>10</v>
      </c>
      <c r="E517" s="8" t="s">
        <v>601</v>
      </c>
    </row>
    <row r="518" spans="1:5" x14ac:dyDescent="0.2">
      <c r="A518" s="8" t="s">
        <v>491</v>
      </c>
      <c r="B518" s="8" t="s">
        <v>492</v>
      </c>
      <c r="C518" s="8">
        <v>44</v>
      </c>
      <c r="D518" s="8" t="s">
        <v>10</v>
      </c>
      <c r="E518" s="8" t="s">
        <v>601</v>
      </c>
    </row>
    <row r="519" spans="1:5" x14ac:dyDescent="0.2">
      <c r="A519" s="8" t="s">
        <v>493</v>
      </c>
      <c r="B519" s="8" t="s">
        <v>494</v>
      </c>
      <c r="C519" s="8">
        <v>85</v>
      </c>
      <c r="D519" s="8" t="s">
        <v>10</v>
      </c>
      <c r="E519" s="8" t="s">
        <v>601</v>
      </c>
    </row>
    <row r="520" spans="1:5" x14ac:dyDescent="0.2">
      <c r="A520" s="8" t="s">
        <v>495</v>
      </c>
      <c r="B520" s="8" t="s">
        <v>496</v>
      </c>
      <c r="C520" s="8">
        <v>4</v>
      </c>
      <c r="D520" s="8" t="s">
        <v>10</v>
      </c>
      <c r="E520" s="8" t="s">
        <v>601</v>
      </c>
    </row>
    <row r="521" spans="1:5" x14ac:dyDescent="0.2">
      <c r="A521" s="8" t="s">
        <v>497</v>
      </c>
      <c r="B521" s="8" t="s">
        <v>498</v>
      </c>
      <c r="C521" s="8">
        <v>188</v>
      </c>
      <c r="D521" s="8" t="s">
        <v>10</v>
      </c>
      <c r="E521" s="8" t="s">
        <v>601</v>
      </c>
    </row>
    <row r="522" spans="1:5" x14ac:dyDescent="0.2">
      <c r="A522" s="8" t="s">
        <v>38</v>
      </c>
      <c r="B522" s="8" t="s">
        <v>39</v>
      </c>
      <c r="C522" s="8">
        <v>65</v>
      </c>
      <c r="D522" s="8" t="s">
        <v>10</v>
      </c>
      <c r="E522" s="8" t="s">
        <v>601</v>
      </c>
    </row>
    <row r="523" spans="1:5" x14ac:dyDescent="0.2">
      <c r="A523" s="8" t="s">
        <v>499</v>
      </c>
      <c r="B523" s="8" t="s">
        <v>500</v>
      </c>
      <c r="C523" s="8">
        <v>170</v>
      </c>
      <c r="D523" s="8" t="s">
        <v>10</v>
      </c>
      <c r="E523" s="8" t="s">
        <v>601</v>
      </c>
    </row>
    <row r="524" spans="1:5" x14ac:dyDescent="0.2">
      <c r="A524" s="8" t="s">
        <v>501</v>
      </c>
      <c r="B524" s="8" t="s">
        <v>502</v>
      </c>
      <c r="C524" s="8">
        <v>170</v>
      </c>
      <c r="D524" s="8" t="s">
        <v>10</v>
      </c>
      <c r="E524" s="8" t="s">
        <v>601</v>
      </c>
    </row>
    <row r="525" spans="1:5" x14ac:dyDescent="0.2">
      <c r="A525" s="8" t="s">
        <v>503</v>
      </c>
      <c r="B525" s="8" t="s">
        <v>504</v>
      </c>
      <c r="C525" s="8">
        <v>85</v>
      </c>
      <c r="D525" s="8" t="s">
        <v>10</v>
      </c>
      <c r="E525" s="8" t="s">
        <v>601</v>
      </c>
    </row>
    <row r="526" spans="1:5" x14ac:dyDescent="0.2">
      <c r="A526" s="8" t="s">
        <v>505</v>
      </c>
      <c r="B526" s="8" t="s">
        <v>506</v>
      </c>
      <c r="C526" s="8">
        <v>76</v>
      </c>
      <c r="D526" s="8" t="s">
        <v>10</v>
      </c>
      <c r="E526" s="8" t="s">
        <v>601</v>
      </c>
    </row>
    <row r="527" spans="1:5" x14ac:dyDescent="0.2">
      <c r="A527" s="8" t="s">
        <v>507</v>
      </c>
      <c r="B527" s="8" t="s">
        <v>508</v>
      </c>
      <c r="C527" s="8">
        <v>58</v>
      </c>
      <c r="D527" s="8" t="s">
        <v>10</v>
      </c>
      <c r="E527" s="8" t="s">
        <v>601</v>
      </c>
    </row>
    <row r="528" spans="1:5" x14ac:dyDescent="0.2">
      <c r="A528" s="8" t="s">
        <v>509</v>
      </c>
      <c r="B528" s="8" t="s">
        <v>510</v>
      </c>
      <c r="C528" s="8">
        <v>11</v>
      </c>
      <c r="D528" s="8" t="s">
        <v>10</v>
      </c>
      <c r="E528" s="8" t="s">
        <v>601</v>
      </c>
    </row>
    <row r="529" spans="1:5" x14ac:dyDescent="0.2">
      <c r="A529" s="8" t="s">
        <v>511</v>
      </c>
      <c r="B529" s="8" t="s">
        <v>512</v>
      </c>
      <c r="C529" s="8">
        <v>158</v>
      </c>
      <c r="D529" s="8" t="s">
        <v>10</v>
      </c>
      <c r="E529" s="8" t="s">
        <v>601</v>
      </c>
    </row>
    <row r="530" spans="1:5" x14ac:dyDescent="0.2">
      <c r="A530" s="8" t="s">
        <v>513</v>
      </c>
      <c r="B530" s="8" t="s">
        <v>514</v>
      </c>
      <c r="C530" s="8">
        <v>26</v>
      </c>
      <c r="D530" s="8" t="s">
        <v>10</v>
      </c>
      <c r="E530" s="8" t="s">
        <v>601</v>
      </c>
    </row>
    <row r="531" spans="1:5" x14ac:dyDescent="0.2">
      <c r="A531" s="8" t="s">
        <v>515</v>
      </c>
      <c r="B531" s="8" t="s">
        <v>516</v>
      </c>
      <c r="C531" s="8">
        <v>173</v>
      </c>
      <c r="D531" s="8" t="s">
        <v>10</v>
      </c>
      <c r="E531" s="8" t="s">
        <v>601</v>
      </c>
    </row>
    <row r="532" spans="1:5" x14ac:dyDescent="0.2">
      <c r="A532" s="8" t="s">
        <v>517</v>
      </c>
      <c r="B532" s="8" t="s">
        <v>518</v>
      </c>
      <c r="C532" s="8">
        <v>75</v>
      </c>
      <c r="D532" s="8" t="s">
        <v>10</v>
      </c>
      <c r="E532" s="8" t="s">
        <v>601</v>
      </c>
    </row>
    <row r="533" spans="1:5" x14ac:dyDescent="0.2">
      <c r="A533" s="8" t="s">
        <v>36</v>
      </c>
      <c r="B533" s="8" t="s">
        <v>37</v>
      </c>
      <c r="C533" s="8">
        <v>184</v>
      </c>
      <c r="D533" s="8" t="s">
        <v>10</v>
      </c>
      <c r="E533" s="8" t="s">
        <v>601</v>
      </c>
    </row>
    <row r="534" spans="1:5" x14ac:dyDescent="0.2">
      <c r="A534" s="8" t="s">
        <v>13</v>
      </c>
      <c r="B534" s="8" t="s">
        <v>14</v>
      </c>
      <c r="C534" s="8">
        <v>169</v>
      </c>
      <c r="D534" s="8" t="s">
        <v>16</v>
      </c>
      <c r="E534" s="8" t="s">
        <v>601</v>
      </c>
    </row>
    <row r="535" spans="1:5" x14ac:dyDescent="0.2">
      <c r="A535" s="8" t="s">
        <v>17</v>
      </c>
      <c r="B535" s="8" t="s">
        <v>18</v>
      </c>
      <c r="C535" s="8">
        <v>12</v>
      </c>
      <c r="D535" s="8" t="s">
        <v>16</v>
      </c>
      <c r="E535" s="8" t="s">
        <v>601</v>
      </c>
    </row>
    <row r="536" spans="1:5" x14ac:dyDescent="0.2">
      <c r="A536" s="8" t="s">
        <v>519</v>
      </c>
      <c r="B536" s="8" t="s">
        <v>520</v>
      </c>
      <c r="C536" s="8">
        <v>165</v>
      </c>
      <c r="D536" s="8" t="s">
        <v>16</v>
      </c>
      <c r="E536" s="8" t="s">
        <v>601</v>
      </c>
    </row>
    <row r="537" spans="1:5" x14ac:dyDescent="0.2">
      <c r="A537" s="8" t="s">
        <v>521</v>
      </c>
      <c r="B537" s="8" t="s">
        <v>522</v>
      </c>
      <c r="C537" s="8">
        <v>115</v>
      </c>
      <c r="D537" s="8" t="s">
        <v>16</v>
      </c>
      <c r="E537" s="8" t="s">
        <v>601</v>
      </c>
    </row>
    <row r="538" spans="1:5" x14ac:dyDescent="0.2">
      <c r="A538" s="8" t="s">
        <v>523</v>
      </c>
      <c r="B538" s="8" t="s">
        <v>524</v>
      </c>
      <c r="C538" s="8">
        <v>161</v>
      </c>
      <c r="D538" s="8" t="s">
        <v>16</v>
      </c>
      <c r="E538" s="8" t="s">
        <v>601</v>
      </c>
    </row>
    <row r="539" spans="1:5" x14ac:dyDescent="0.2">
      <c r="A539" s="8" t="s">
        <v>525</v>
      </c>
      <c r="B539" s="8" t="s">
        <v>526</v>
      </c>
      <c r="C539" s="8">
        <v>145</v>
      </c>
      <c r="D539" s="8" t="s">
        <v>16</v>
      </c>
      <c r="E539" s="8" t="s">
        <v>601</v>
      </c>
    </row>
    <row r="540" spans="1:5" x14ac:dyDescent="0.2">
      <c r="A540" s="8" t="s">
        <v>527</v>
      </c>
      <c r="B540" s="8" t="s">
        <v>528</v>
      </c>
      <c r="C540" s="8">
        <v>74</v>
      </c>
      <c r="D540" s="8" t="s">
        <v>16</v>
      </c>
      <c r="E540" s="8" t="s">
        <v>601</v>
      </c>
    </row>
    <row r="541" spans="1:5" x14ac:dyDescent="0.2">
      <c r="A541" s="8" t="s">
        <v>529</v>
      </c>
      <c r="B541" s="38" t="s">
        <v>530</v>
      </c>
      <c r="C541" s="8">
        <v>146</v>
      </c>
      <c r="D541" s="8" t="s">
        <v>16</v>
      </c>
      <c r="E541" s="8" t="s">
        <v>601</v>
      </c>
    </row>
    <row r="542" spans="1:5" x14ac:dyDescent="0.2">
      <c r="A542" s="8" t="s">
        <v>531</v>
      </c>
      <c r="B542" s="8" t="s">
        <v>532</v>
      </c>
      <c r="C542" s="8">
        <v>73</v>
      </c>
      <c r="D542" s="8" t="s">
        <v>16</v>
      </c>
      <c r="E542" s="8" t="s">
        <v>601</v>
      </c>
    </row>
    <row r="543" spans="1:5" x14ac:dyDescent="0.2">
      <c r="A543" s="8" t="s">
        <v>533</v>
      </c>
      <c r="B543" s="8" t="s">
        <v>534</v>
      </c>
      <c r="C543" s="8">
        <v>32</v>
      </c>
      <c r="D543" s="8" t="s">
        <v>16</v>
      </c>
      <c r="E543" s="8" t="s">
        <v>601</v>
      </c>
    </row>
    <row r="544" spans="1:5" x14ac:dyDescent="0.2">
      <c r="A544" s="8" t="s">
        <v>535</v>
      </c>
      <c r="B544" s="8" t="s">
        <v>536</v>
      </c>
      <c r="C544" s="8">
        <v>110</v>
      </c>
      <c r="D544" s="8" t="s">
        <v>16</v>
      </c>
      <c r="E544" s="8" t="s">
        <v>601</v>
      </c>
    </row>
    <row r="545" spans="1:5" x14ac:dyDescent="0.2">
      <c r="A545" s="8" t="s">
        <v>537</v>
      </c>
      <c r="B545" s="38" t="s">
        <v>538</v>
      </c>
      <c r="C545" s="8">
        <v>71</v>
      </c>
      <c r="D545" s="8" t="s">
        <v>16</v>
      </c>
      <c r="E545" s="8" t="s">
        <v>601</v>
      </c>
    </row>
    <row r="546" spans="1:5" x14ac:dyDescent="0.2">
      <c r="A546" s="8" t="s">
        <v>539</v>
      </c>
      <c r="B546" s="8" t="s">
        <v>540</v>
      </c>
      <c r="C546" s="8">
        <v>71</v>
      </c>
      <c r="D546" s="8" t="s">
        <v>16</v>
      </c>
      <c r="E546" s="8" t="s">
        <v>601</v>
      </c>
    </row>
    <row r="547" spans="1:5" x14ac:dyDescent="0.2">
      <c r="A547" s="8" t="s">
        <v>541</v>
      </c>
      <c r="B547" s="38" t="s">
        <v>542</v>
      </c>
      <c r="C547" s="8">
        <v>41</v>
      </c>
      <c r="D547" s="8" t="s">
        <v>16</v>
      </c>
      <c r="E547" s="8" t="s">
        <v>601</v>
      </c>
    </row>
    <row r="548" spans="1:5" x14ac:dyDescent="0.2">
      <c r="A548" s="8" t="s">
        <v>543</v>
      </c>
      <c r="B548" s="38" t="s">
        <v>544</v>
      </c>
      <c r="C548" s="8">
        <v>141</v>
      </c>
      <c r="D548" s="8" t="s">
        <v>16</v>
      </c>
      <c r="E548" s="8" t="s">
        <v>601</v>
      </c>
    </row>
    <row r="549" spans="1:5" x14ac:dyDescent="0.2">
      <c r="A549" s="8" t="s">
        <v>545</v>
      </c>
      <c r="B549" s="38" t="s">
        <v>546</v>
      </c>
      <c r="C549" s="8">
        <v>65</v>
      </c>
      <c r="D549" s="8" t="s">
        <v>16</v>
      </c>
      <c r="E549" s="8" t="s">
        <v>601</v>
      </c>
    </row>
    <row r="550" spans="1:5" x14ac:dyDescent="0.2">
      <c r="A550" s="8" t="s">
        <v>547</v>
      </c>
      <c r="B550" s="38" t="s">
        <v>548</v>
      </c>
      <c r="C550" s="8">
        <v>14</v>
      </c>
      <c r="D550" s="8" t="s">
        <v>16</v>
      </c>
      <c r="E550" s="8" t="s">
        <v>601</v>
      </c>
    </row>
    <row r="551" spans="1:5" x14ac:dyDescent="0.2">
      <c r="A551" s="8" t="s">
        <v>549</v>
      </c>
      <c r="B551" s="8" t="s">
        <v>550</v>
      </c>
      <c r="C551" s="8">
        <v>171</v>
      </c>
      <c r="D551" s="8" t="s">
        <v>16</v>
      </c>
      <c r="E551" s="8" t="s">
        <v>601</v>
      </c>
    </row>
    <row r="552" spans="1:5" x14ac:dyDescent="0.2">
      <c r="A552" s="8" t="s">
        <v>42</v>
      </c>
      <c r="B552" s="8" t="s">
        <v>43</v>
      </c>
      <c r="C552" s="8">
        <v>12</v>
      </c>
      <c r="D552" s="8" t="s">
        <v>10</v>
      </c>
      <c r="E552" s="8" t="s">
        <v>601</v>
      </c>
    </row>
    <row r="553" spans="1:5" x14ac:dyDescent="0.2">
      <c r="A553" s="8" t="s">
        <v>551</v>
      </c>
      <c r="B553" s="8" t="s">
        <v>552</v>
      </c>
      <c r="C553" s="8">
        <v>56</v>
      </c>
      <c r="D553" s="8" t="s">
        <v>10</v>
      </c>
      <c r="E553" s="8" t="s">
        <v>601</v>
      </c>
    </row>
    <row r="554" spans="1:5" x14ac:dyDescent="0.2">
      <c r="A554" s="8" t="s">
        <v>553</v>
      </c>
      <c r="B554" s="8" t="s">
        <v>554</v>
      </c>
      <c r="C554" s="8">
        <v>163</v>
      </c>
      <c r="D554" s="8" t="s">
        <v>10</v>
      </c>
      <c r="E554" s="8" t="s">
        <v>601</v>
      </c>
    </row>
    <row r="555" spans="1:5" x14ac:dyDescent="0.2">
      <c r="A555" s="8" t="s">
        <v>555</v>
      </c>
      <c r="B555" s="8" t="s">
        <v>556</v>
      </c>
      <c r="C555" s="8">
        <v>50</v>
      </c>
      <c r="D555" s="8" t="s">
        <v>10</v>
      </c>
      <c r="E555" s="8" t="s">
        <v>601</v>
      </c>
    </row>
    <row r="556" spans="1:5" x14ac:dyDescent="0.2">
      <c r="A556" s="8" t="s">
        <v>557</v>
      </c>
      <c r="B556" s="8" t="s">
        <v>558</v>
      </c>
      <c r="C556" s="8">
        <v>143</v>
      </c>
      <c r="D556" s="8" t="s">
        <v>10</v>
      </c>
      <c r="E556" s="8" t="s">
        <v>601</v>
      </c>
    </row>
    <row r="557" spans="1:5" x14ac:dyDescent="0.2">
      <c r="A557" s="8" t="s">
        <v>559</v>
      </c>
      <c r="B557" s="8" t="s">
        <v>560</v>
      </c>
      <c r="C557" s="8">
        <v>157</v>
      </c>
      <c r="D557" s="8" t="s">
        <v>10</v>
      </c>
      <c r="E557" s="8" t="s">
        <v>601</v>
      </c>
    </row>
    <row r="558" spans="1:5" x14ac:dyDescent="0.2">
      <c r="A558" s="8" t="s">
        <v>561</v>
      </c>
      <c r="B558" s="8" t="s">
        <v>562</v>
      </c>
      <c r="C558" s="8">
        <v>103</v>
      </c>
      <c r="D558" s="8" t="s">
        <v>10</v>
      </c>
      <c r="E558" s="8" t="s">
        <v>601</v>
      </c>
    </row>
    <row r="559" spans="1:5" x14ac:dyDescent="0.2">
      <c r="A559" s="8" t="s">
        <v>563</v>
      </c>
      <c r="B559" s="8" t="s">
        <v>564</v>
      </c>
      <c r="C559" s="8">
        <v>73</v>
      </c>
      <c r="D559" s="8" t="s">
        <v>10</v>
      </c>
      <c r="E559" s="8" t="s">
        <v>601</v>
      </c>
    </row>
    <row r="560" spans="1:5" x14ac:dyDescent="0.2">
      <c r="A560" s="8" t="s">
        <v>565</v>
      </c>
      <c r="B560" s="8" t="s">
        <v>566</v>
      </c>
      <c r="C560" s="8">
        <v>88</v>
      </c>
      <c r="D560" s="8" t="s">
        <v>10</v>
      </c>
      <c r="E560" s="8" t="s">
        <v>601</v>
      </c>
    </row>
    <row r="561" spans="1:5" x14ac:dyDescent="0.2">
      <c r="A561" s="8" t="s">
        <v>567</v>
      </c>
      <c r="B561" s="39" t="s">
        <v>568</v>
      </c>
      <c r="C561" s="8">
        <v>2</v>
      </c>
      <c r="D561" s="8" t="s">
        <v>16</v>
      </c>
      <c r="E561" s="8" t="s">
        <v>601</v>
      </c>
    </row>
    <row r="562" spans="1:5" x14ac:dyDescent="0.2">
      <c r="A562" s="8" t="s">
        <v>569</v>
      </c>
      <c r="B562" s="39" t="s">
        <v>570</v>
      </c>
      <c r="C562" s="8">
        <v>15</v>
      </c>
      <c r="D562" s="8" t="s">
        <v>16</v>
      </c>
      <c r="E562" s="8" t="s">
        <v>601</v>
      </c>
    </row>
    <row r="563" spans="1:5" x14ac:dyDescent="0.2">
      <c r="A563" s="8" t="s">
        <v>571</v>
      </c>
      <c r="B563" s="39" t="s">
        <v>572</v>
      </c>
      <c r="C563" s="8">
        <v>143</v>
      </c>
      <c r="D563" s="8" t="s">
        <v>16</v>
      </c>
      <c r="E563" s="8" t="s">
        <v>601</v>
      </c>
    </row>
    <row r="564" spans="1:5" x14ac:dyDescent="0.2">
      <c r="A564" s="8" t="s">
        <v>573</v>
      </c>
      <c r="B564" s="39" t="s">
        <v>574</v>
      </c>
      <c r="C564" s="8">
        <v>133</v>
      </c>
      <c r="D564" s="8" t="s">
        <v>16</v>
      </c>
      <c r="E564" s="8" t="s">
        <v>601</v>
      </c>
    </row>
    <row r="565" spans="1:5" x14ac:dyDescent="0.2">
      <c r="A565" s="8" t="s">
        <v>575</v>
      </c>
      <c r="B565" s="39" t="s">
        <v>576</v>
      </c>
      <c r="C565" s="8">
        <v>108</v>
      </c>
      <c r="D565" s="8" t="s">
        <v>16</v>
      </c>
      <c r="E565" s="8" t="s">
        <v>601</v>
      </c>
    </row>
    <row r="566" spans="1:5" x14ac:dyDescent="0.2">
      <c r="A566" s="8" t="s">
        <v>577</v>
      </c>
      <c r="B566" s="39" t="s">
        <v>578</v>
      </c>
      <c r="C566" s="8">
        <v>1</v>
      </c>
      <c r="D566" s="8" t="s">
        <v>16</v>
      </c>
      <c r="E566" s="8" t="s">
        <v>601</v>
      </c>
    </row>
    <row r="567" spans="1:5" x14ac:dyDescent="0.2">
      <c r="A567" s="8" t="s">
        <v>579</v>
      </c>
      <c r="B567" s="39" t="s">
        <v>580</v>
      </c>
      <c r="C567" s="8">
        <v>178</v>
      </c>
      <c r="D567" s="8" t="s">
        <v>16</v>
      </c>
      <c r="E567" s="8" t="s">
        <v>601</v>
      </c>
    </row>
    <row r="568" spans="1:5" x14ac:dyDescent="0.2">
      <c r="A568" s="8" t="s">
        <v>581</v>
      </c>
      <c r="B568" s="39" t="s">
        <v>582</v>
      </c>
      <c r="C568" s="8">
        <v>151</v>
      </c>
      <c r="D568" s="8" t="s">
        <v>16</v>
      </c>
      <c r="E568" s="8" t="s">
        <v>601</v>
      </c>
    </row>
    <row r="569" spans="1:5" x14ac:dyDescent="0.2">
      <c r="A569" s="8" t="s">
        <v>583</v>
      </c>
      <c r="B569" s="39" t="s">
        <v>584</v>
      </c>
      <c r="C569" s="8">
        <v>87</v>
      </c>
      <c r="D569" s="8" t="s">
        <v>16</v>
      </c>
      <c r="E569" s="8" t="s">
        <v>601</v>
      </c>
    </row>
    <row r="570" spans="1:5" x14ac:dyDescent="0.2">
      <c r="A570" s="8" t="s">
        <v>585</v>
      </c>
      <c r="B570" s="39" t="s">
        <v>586</v>
      </c>
      <c r="C570" s="8">
        <v>48</v>
      </c>
      <c r="D570" s="8" t="s">
        <v>16</v>
      </c>
      <c r="E570" s="8" t="s">
        <v>601</v>
      </c>
    </row>
    <row r="571" spans="1:5" x14ac:dyDescent="0.2">
      <c r="A571" s="8" t="s">
        <v>587</v>
      </c>
      <c r="B571" s="39" t="s">
        <v>588</v>
      </c>
      <c r="C571" s="8">
        <v>74</v>
      </c>
      <c r="D571" s="8" t="s">
        <v>16</v>
      </c>
      <c r="E571" s="8" t="s">
        <v>601</v>
      </c>
    </row>
    <row r="572" spans="1:5" x14ac:dyDescent="0.2">
      <c r="A572" s="8" t="s">
        <v>589</v>
      </c>
      <c r="B572" s="39" t="s">
        <v>590</v>
      </c>
      <c r="C572" s="8">
        <v>137</v>
      </c>
      <c r="D572" s="8" t="s">
        <v>16</v>
      </c>
      <c r="E572" s="8" t="s">
        <v>601</v>
      </c>
    </row>
    <row r="573" spans="1:5" x14ac:dyDescent="0.2">
      <c r="A573" s="8" t="s">
        <v>591</v>
      </c>
      <c r="B573" s="39" t="s">
        <v>592</v>
      </c>
      <c r="C573" s="8">
        <v>47</v>
      </c>
      <c r="D573" s="8" t="s">
        <v>16</v>
      </c>
      <c r="E573" s="8" t="s">
        <v>601</v>
      </c>
    </row>
    <row r="574" spans="1:5" x14ac:dyDescent="0.2">
      <c r="A574" s="8" t="s">
        <v>593</v>
      </c>
      <c r="B574" s="8" t="s">
        <v>594</v>
      </c>
      <c r="C574" s="8">
        <v>77</v>
      </c>
      <c r="D574" s="8" t="s">
        <v>16</v>
      </c>
      <c r="E574" s="8" t="s">
        <v>601</v>
      </c>
    </row>
    <row r="575" spans="1:5" x14ac:dyDescent="0.2">
      <c r="A575" s="8" t="s">
        <v>595</v>
      </c>
      <c r="B575" s="39" t="s">
        <v>596</v>
      </c>
      <c r="C575" s="8">
        <v>104</v>
      </c>
      <c r="D575" s="8" t="s">
        <v>16</v>
      </c>
      <c r="E575" s="8" t="s">
        <v>601</v>
      </c>
    </row>
    <row r="576" spans="1:5" x14ac:dyDescent="0.2">
      <c r="A576" s="8" t="s">
        <v>597</v>
      </c>
      <c r="B576" s="39" t="s">
        <v>598</v>
      </c>
      <c r="C576" s="8">
        <v>83</v>
      </c>
      <c r="D576" s="8" t="s">
        <v>16</v>
      </c>
      <c r="E576" s="8" t="s">
        <v>601</v>
      </c>
    </row>
    <row r="577" spans="1:5" x14ac:dyDescent="0.2">
      <c r="A577" s="8" t="s">
        <v>599</v>
      </c>
      <c r="B577" s="39" t="s">
        <v>600</v>
      </c>
      <c r="C577" s="8">
        <v>106</v>
      </c>
      <c r="D577" s="8" t="s">
        <v>16</v>
      </c>
      <c r="E577" s="8" t="s">
        <v>601</v>
      </c>
    </row>
    <row r="578" spans="1:5" x14ac:dyDescent="0.2">
      <c r="A578" s="8" t="s">
        <v>44</v>
      </c>
      <c r="B578" s="8" t="s">
        <v>45</v>
      </c>
      <c r="C578" s="8">
        <v>31</v>
      </c>
      <c r="D578" s="8" t="s">
        <v>16</v>
      </c>
      <c r="E578" s="8" t="s">
        <v>601</v>
      </c>
    </row>
    <row r="579" spans="1:5" x14ac:dyDescent="0.2">
      <c r="A579" s="8" t="s">
        <v>47</v>
      </c>
      <c r="B579" s="8" t="s">
        <v>48</v>
      </c>
      <c r="C579" s="8">
        <v>186</v>
      </c>
      <c r="D579" s="8" t="s">
        <v>16</v>
      </c>
      <c r="E579" s="8" t="s">
        <v>601</v>
      </c>
    </row>
    <row r="580" spans="1:5" x14ac:dyDescent="0.2">
      <c r="A580" s="8" t="s">
        <v>49</v>
      </c>
      <c r="B580" s="8" t="s">
        <v>50</v>
      </c>
      <c r="C580" s="8">
        <v>38</v>
      </c>
      <c r="D580" s="8" t="s">
        <v>16</v>
      </c>
      <c r="E580" s="8" t="s">
        <v>601</v>
      </c>
    </row>
    <row r="581" spans="1:5" x14ac:dyDescent="0.2">
      <c r="A581" s="8" t="s">
        <v>51</v>
      </c>
      <c r="B581" s="8" t="s">
        <v>52</v>
      </c>
      <c r="C581" s="8">
        <v>50</v>
      </c>
      <c r="D581" s="8" t="s">
        <v>10</v>
      </c>
      <c r="E581" s="8" t="s">
        <v>601</v>
      </c>
    </row>
    <row r="582" spans="1:5" x14ac:dyDescent="0.2">
      <c r="A582" s="8" t="s">
        <v>55</v>
      </c>
      <c r="B582" s="8" t="s">
        <v>56</v>
      </c>
      <c r="C582" s="8">
        <v>114</v>
      </c>
      <c r="D582" s="8" t="s">
        <v>16</v>
      </c>
      <c r="E582" s="8" t="s">
        <v>601</v>
      </c>
    </row>
    <row r="583" spans="1:5" x14ac:dyDescent="0.2">
      <c r="A583" s="8" t="s">
        <v>53</v>
      </c>
      <c r="B583" s="8" t="s">
        <v>54</v>
      </c>
      <c r="C583" s="8">
        <v>132</v>
      </c>
      <c r="D583" s="8" t="s">
        <v>16</v>
      </c>
      <c r="E583" s="8" t="s">
        <v>601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J39" sqref="J39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301"/>
  <sheetViews>
    <sheetView zoomScaleNormal="100" workbookViewId="0">
      <selection activeCell="B17" sqref="B17"/>
    </sheetView>
  </sheetViews>
  <sheetFormatPr defaultRowHeight="12.75" x14ac:dyDescent="0.2"/>
  <cols>
    <col min="1" max="1" width="14.85546875" bestFit="1" customWidth="1"/>
    <col min="2" max="2" width="45.7109375" bestFit="1" customWidth="1"/>
    <col min="3" max="3" width="12.140625" bestFit="1" customWidth="1"/>
    <col min="4" max="4" width="12.5703125" bestFit="1" customWidth="1"/>
    <col min="5" max="5" width="15.85546875" bestFit="1" customWidth="1"/>
    <col min="6" max="6" width="11.28515625" bestFit="1" customWidth="1"/>
  </cols>
  <sheetData>
    <row r="1" spans="1:5" x14ac:dyDescent="0.2">
      <c r="A1" t="s">
        <v>621</v>
      </c>
      <c r="B1" t="s">
        <v>619</v>
      </c>
      <c r="C1" t="s">
        <v>623</v>
      </c>
      <c r="D1" t="s">
        <v>636</v>
      </c>
      <c r="E1" t="s">
        <v>637</v>
      </c>
    </row>
    <row r="2" spans="1:5" x14ac:dyDescent="0.2">
      <c r="A2" s="45" t="s">
        <v>44</v>
      </c>
      <c r="B2" s="45" t="s">
        <v>45</v>
      </c>
      <c r="C2" s="45" t="s">
        <v>16</v>
      </c>
      <c r="D2" s="45" t="s">
        <v>624</v>
      </c>
      <c r="E2" s="45" t="s">
        <v>639</v>
      </c>
    </row>
    <row r="3" spans="1:5" x14ac:dyDescent="0.2">
      <c r="A3" s="45" t="s">
        <v>47</v>
      </c>
      <c r="B3" s="45" t="s">
        <v>48</v>
      </c>
      <c r="C3" s="45" t="s">
        <v>16</v>
      </c>
      <c r="D3" s="45" t="s">
        <v>624</v>
      </c>
      <c r="E3" s="45" t="s">
        <v>639</v>
      </c>
    </row>
    <row r="4" spans="1:5" x14ac:dyDescent="0.2">
      <c r="A4" s="45" t="s">
        <v>49</v>
      </c>
      <c r="B4" s="45" t="s">
        <v>50</v>
      </c>
      <c r="C4" s="45" t="s">
        <v>16</v>
      </c>
      <c r="D4" s="45" t="s">
        <v>624</v>
      </c>
      <c r="E4" s="45" t="s">
        <v>639</v>
      </c>
    </row>
    <row r="5" spans="1:5" x14ac:dyDescent="0.2">
      <c r="A5" s="45" t="s">
        <v>51</v>
      </c>
      <c r="B5" s="45" t="s">
        <v>52</v>
      </c>
      <c r="C5" s="45" t="s">
        <v>10</v>
      </c>
      <c r="D5" s="45" t="s">
        <v>624</v>
      </c>
      <c r="E5" s="45" t="s">
        <v>639</v>
      </c>
    </row>
    <row r="6" spans="1:5" x14ac:dyDescent="0.2">
      <c r="A6" s="45" t="s">
        <v>55</v>
      </c>
      <c r="B6" s="45" t="s">
        <v>56</v>
      </c>
      <c r="C6" s="45" t="s">
        <v>16</v>
      </c>
      <c r="D6" s="45" t="s">
        <v>624</v>
      </c>
      <c r="E6" s="45" t="s">
        <v>639</v>
      </c>
    </row>
    <row r="7" spans="1:5" x14ac:dyDescent="0.2">
      <c r="A7" s="45" t="s">
        <v>53</v>
      </c>
      <c r="B7" s="45" t="s">
        <v>54</v>
      </c>
      <c r="C7" s="45" t="s">
        <v>16</v>
      </c>
      <c r="D7" s="45" t="s">
        <v>624</v>
      </c>
      <c r="E7" s="45" t="s">
        <v>639</v>
      </c>
    </row>
    <row r="8" spans="1:5" x14ac:dyDescent="0.2">
      <c r="A8" s="45" t="s">
        <v>13</v>
      </c>
      <c r="B8" s="45" t="s">
        <v>640</v>
      </c>
      <c r="C8" s="45" t="s">
        <v>16</v>
      </c>
      <c r="D8" s="45" t="s">
        <v>625</v>
      </c>
      <c r="E8" s="45" t="s">
        <v>639</v>
      </c>
    </row>
    <row r="9" spans="1:5" x14ac:dyDescent="0.2">
      <c r="A9" s="45" t="s">
        <v>17</v>
      </c>
      <c r="B9" s="45" t="s">
        <v>18</v>
      </c>
      <c r="C9" s="45" t="s">
        <v>16</v>
      </c>
      <c r="D9" s="45" t="s">
        <v>625</v>
      </c>
      <c r="E9" s="45" t="s">
        <v>639</v>
      </c>
    </row>
    <row r="10" spans="1:5" x14ac:dyDescent="0.2">
      <c r="A10" s="45" t="s">
        <v>519</v>
      </c>
      <c r="B10" s="45" t="s">
        <v>520</v>
      </c>
      <c r="C10" s="45" t="s">
        <v>16</v>
      </c>
      <c r="D10" s="45" t="s">
        <v>625</v>
      </c>
      <c r="E10" s="45" t="s">
        <v>639</v>
      </c>
    </row>
    <row r="11" spans="1:5" x14ac:dyDescent="0.2">
      <c r="A11" s="45" t="s">
        <v>521</v>
      </c>
      <c r="B11" s="45" t="s">
        <v>522</v>
      </c>
      <c r="C11" s="45" t="s">
        <v>16</v>
      </c>
      <c r="D11" s="45" t="s">
        <v>625</v>
      </c>
      <c r="E11" s="45" t="s">
        <v>639</v>
      </c>
    </row>
    <row r="12" spans="1:5" x14ac:dyDescent="0.2">
      <c r="A12" s="45" t="s">
        <v>523</v>
      </c>
      <c r="B12" s="45" t="s">
        <v>524</v>
      </c>
      <c r="C12" s="45" t="s">
        <v>16</v>
      </c>
      <c r="D12" s="45" t="s">
        <v>625</v>
      </c>
      <c r="E12" s="45" t="s">
        <v>639</v>
      </c>
    </row>
    <row r="13" spans="1:5" x14ac:dyDescent="0.2">
      <c r="A13" s="45" t="s">
        <v>525</v>
      </c>
      <c r="B13" s="45" t="s">
        <v>526</v>
      </c>
      <c r="C13" s="45" t="s">
        <v>16</v>
      </c>
      <c r="D13" s="45" t="s">
        <v>625</v>
      </c>
      <c r="E13" s="45" t="s">
        <v>639</v>
      </c>
    </row>
    <row r="14" spans="1:5" x14ac:dyDescent="0.2">
      <c r="A14" s="45" t="s">
        <v>527</v>
      </c>
      <c r="B14" s="45" t="s">
        <v>528</v>
      </c>
      <c r="C14" s="45" t="s">
        <v>16</v>
      </c>
      <c r="D14" s="45" t="s">
        <v>625</v>
      </c>
      <c r="E14" s="45" t="s">
        <v>639</v>
      </c>
    </row>
    <row r="15" spans="1:5" x14ac:dyDescent="0.2">
      <c r="A15" s="45" t="s">
        <v>529</v>
      </c>
      <c r="B15" s="45" t="s">
        <v>530</v>
      </c>
      <c r="C15" s="45" t="s">
        <v>16</v>
      </c>
      <c r="D15" s="45" t="s">
        <v>625</v>
      </c>
      <c r="E15" s="45" t="s">
        <v>639</v>
      </c>
    </row>
    <row r="16" spans="1:5" x14ac:dyDescent="0.2">
      <c r="A16" s="45" t="s">
        <v>531</v>
      </c>
      <c r="B16" s="45" t="s">
        <v>532</v>
      </c>
      <c r="C16" s="45" t="s">
        <v>16</v>
      </c>
      <c r="D16" s="45" t="s">
        <v>625</v>
      </c>
      <c r="E16" s="45" t="s">
        <v>639</v>
      </c>
    </row>
    <row r="17" spans="1:5" x14ac:dyDescent="0.2">
      <c r="A17" s="45" t="s">
        <v>533</v>
      </c>
      <c r="B17" s="45" t="s">
        <v>534</v>
      </c>
      <c r="C17" s="45" t="s">
        <v>16</v>
      </c>
      <c r="D17" s="45" t="s">
        <v>625</v>
      </c>
      <c r="E17" s="45" t="s">
        <v>639</v>
      </c>
    </row>
    <row r="18" spans="1:5" x14ac:dyDescent="0.2">
      <c r="A18" s="45" t="s">
        <v>535</v>
      </c>
      <c r="B18" s="45" t="s">
        <v>536</v>
      </c>
      <c r="C18" s="45" t="s">
        <v>16</v>
      </c>
      <c r="D18" s="45" t="s">
        <v>625</v>
      </c>
      <c r="E18" s="45" t="s">
        <v>639</v>
      </c>
    </row>
    <row r="19" spans="1:5" x14ac:dyDescent="0.2">
      <c r="A19" s="45" t="s">
        <v>537</v>
      </c>
      <c r="B19" s="45" t="s">
        <v>538</v>
      </c>
      <c r="C19" s="45" t="s">
        <v>16</v>
      </c>
      <c r="D19" s="45" t="s">
        <v>625</v>
      </c>
      <c r="E19" s="45" t="s">
        <v>639</v>
      </c>
    </row>
    <row r="20" spans="1:5" x14ac:dyDescent="0.2">
      <c r="A20" s="45" t="s">
        <v>539</v>
      </c>
      <c r="B20" s="45" t="s">
        <v>540</v>
      </c>
      <c r="C20" s="45" t="s">
        <v>16</v>
      </c>
      <c r="D20" s="45" t="s">
        <v>625</v>
      </c>
      <c r="E20" s="45" t="s">
        <v>639</v>
      </c>
    </row>
    <row r="21" spans="1:5" x14ac:dyDescent="0.2">
      <c r="A21" s="45" t="s">
        <v>541</v>
      </c>
      <c r="B21" s="45" t="s">
        <v>542</v>
      </c>
      <c r="C21" s="45" t="s">
        <v>16</v>
      </c>
      <c r="D21" s="45" t="s">
        <v>625</v>
      </c>
      <c r="E21" s="45" t="s">
        <v>639</v>
      </c>
    </row>
    <row r="22" spans="1:5" x14ac:dyDescent="0.2">
      <c r="A22" s="45" t="s">
        <v>543</v>
      </c>
      <c r="B22" s="45" t="s">
        <v>544</v>
      </c>
      <c r="C22" s="45" t="s">
        <v>16</v>
      </c>
      <c r="D22" s="45" t="s">
        <v>625</v>
      </c>
      <c r="E22" s="45" t="s">
        <v>639</v>
      </c>
    </row>
    <row r="23" spans="1:5" x14ac:dyDescent="0.2">
      <c r="A23" s="45" t="s">
        <v>545</v>
      </c>
      <c r="B23" s="45" t="s">
        <v>546</v>
      </c>
      <c r="C23" s="45" t="s">
        <v>16</v>
      </c>
      <c r="D23" s="45" t="s">
        <v>625</v>
      </c>
      <c r="E23" s="45" t="s">
        <v>639</v>
      </c>
    </row>
    <row r="24" spans="1:5" x14ac:dyDescent="0.2">
      <c r="A24" s="45" t="s">
        <v>547</v>
      </c>
      <c r="B24" s="45" t="s">
        <v>548</v>
      </c>
      <c r="C24" s="45" t="s">
        <v>16</v>
      </c>
      <c r="D24" s="45" t="s">
        <v>625</v>
      </c>
      <c r="E24" s="45" t="s">
        <v>639</v>
      </c>
    </row>
    <row r="25" spans="1:5" x14ac:dyDescent="0.2">
      <c r="A25" s="45" t="s">
        <v>549</v>
      </c>
      <c r="B25" s="45" t="s">
        <v>550</v>
      </c>
      <c r="C25" s="45" t="s">
        <v>16</v>
      </c>
      <c r="D25" s="45" t="s">
        <v>625</v>
      </c>
      <c r="E25" s="45" t="s">
        <v>639</v>
      </c>
    </row>
    <row r="26" spans="1:5" x14ac:dyDescent="0.2">
      <c r="A26" s="45" t="s">
        <v>167</v>
      </c>
      <c r="B26" s="45" t="s">
        <v>168</v>
      </c>
      <c r="C26" s="45" t="s">
        <v>16</v>
      </c>
      <c r="D26" s="45" t="s">
        <v>626</v>
      </c>
      <c r="E26" s="45" t="s">
        <v>639</v>
      </c>
    </row>
    <row r="27" spans="1:5" x14ac:dyDescent="0.2">
      <c r="A27" s="45" t="s">
        <v>169</v>
      </c>
      <c r="B27" s="45" t="s">
        <v>170</v>
      </c>
      <c r="C27" s="45" t="s">
        <v>16</v>
      </c>
      <c r="D27" s="45" t="s">
        <v>626</v>
      </c>
      <c r="E27" s="45" t="s">
        <v>639</v>
      </c>
    </row>
    <row r="28" spans="1:5" x14ac:dyDescent="0.2">
      <c r="A28" s="45" t="s">
        <v>171</v>
      </c>
      <c r="B28" s="45" t="s">
        <v>172</v>
      </c>
      <c r="C28" s="45" t="s">
        <v>16</v>
      </c>
      <c r="D28" s="45" t="s">
        <v>626</v>
      </c>
      <c r="E28" s="45" t="s">
        <v>639</v>
      </c>
    </row>
    <row r="29" spans="1:5" x14ac:dyDescent="0.2">
      <c r="A29" s="45" t="s">
        <v>173</v>
      </c>
      <c r="B29" s="45" t="s">
        <v>174</v>
      </c>
      <c r="C29" s="45" t="s">
        <v>16</v>
      </c>
      <c r="D29" s="45" t="s">
        <v>626</v>
      </c>
      <c r="E29" s="45" t="s">
        <v>639</v>
      </c>
    </row>
    <row r="30" spans="1:5" x14ac:dyDescent="0.2">
      <c r="A30" s="45" t="s">
        <v>19</v>
      </c>
      <c r="B30" s="45" t="s">
        <v>20</v>
      </c>
      <c r="C30" s="45" t="s">
        <v>16</v>
      </c>
      <c r="D30" s="45" t="s">
        <v>626</v>
      </c>
      <c r="E30" s="45" t="s">
        <v>639</v>
      </c>
    </row>
    <row r="31" spans="1:5" x14ac:dyDescent="0.2">
      <c r="A31" s="45" t="s">
        <v>22</v>
      </c>
      <c r="B31" s="45" t="s">
        <v>23</v>
      </c>
      <c r="C31" s="45" t="s">
        <v>16</v>
      </c>
      <c r="D31" s="45" t="s">
        <v>626</v>
      </c>
      <c r="E31" s="45" t="s">
        <v>639</v>
      </c>
    </row>
    <row r="32" spans="1:5" x14ac:dyDescent="0.2">
      <c r="A32" s="45" t="s">
        <v>175</v>
      </c>
      <c r="B32" s="45" t="s">
        <v>176</v>
      </c>
      <c r="C32" s="45" t="s">
        <v>16</v>
      </c>
      <c r="D32" s="45" t="s">
        <v>626</v>
      </c>
      <c r="E32" s="45" t="s">
        <v>639</v>
      </c>
    </row>
    <row r="33" spans="1:5" x14ac:dyDescent="0.2">
      <c r="A33" s="45" t="s">
        <v>177</v>
      </c>
      <c r="B33" s="45" t="s">
        <v>178</v>
      </c>
      <c r="C33" s="45" t="s">
        <v>16</v>
      </c>
      <c r="D33" s="45" t="s">
        <v>626</v>
      </c>
      <c r="E33" s="45" t="s">
        <v>639</v>
      </c>
    </row>
    <row r="34" spans="1:5" x14ac:dyDescent="0.2">
      <c r="A34" s="45" t="s">
        <v>179</v>
      </c>
      <c r="B34" s="45" t="s">
        <v>180</v>
      </c>
      <c r="C34" s="45" t="s">
        <v>16</v>
      </c>
      <c r="D34" s="45" t="s">
        <v>626</v>
      </c>
      <c r="E34" s="45" t="s">
        <v>639</v>
      </c>
    </row>
    <row r="35" spans="1:5" x14ac:dyDescent="0.2">
      <c r="A35" s="45" t="s">
        <v>24</v>
      </c>
      <c r="B35" s="45" t="s">
        <v>25</v>
      </c>
      <c r="C35" s="45" t="s">
        <v>16</v>
      </c>
      <c r="D35" s="45" t="s">
        <v>626</v>
      </c>
      <c r="E35" s="45" t="s">
        <v>639</v>
      </c>
    </row>
    <row r="36" spans="1:5" x14ac:dyDescent="0.2">
      <c r="A36" s="45" t="s">
        <v>181</v>
      </c>
      <c r="B36" s="45" t="s">
        <v>182</v>
      </c>
      <c r="C36" s="45" t="s">
        <v>16</v>
      </c>
      <c r="D36" s="45" t="s">
        <v>626</v>
      </c>
      <c r="E36" s="45" t="s">
        <v>639</v>
      </c>
    </row>
    <row r="37" spans="1:5" x14ac:dyDescent="0.2">
      <c r="A37" s="45" t="s">
        <v>183</v>
      </c>
      <c r="B37" s="45" t="s">
        <v>184</v>
      </c>
      <c r="C37" s="45" t="s">
        <v>16</v>
      </c>
      <c r="D37" s="45" t="s">
        <v>626</v>
      </c>
      <c r="E37" s="45" t="s">
        <v>639</v>
      </c>
    </row>
    <row r="38" spans="1:5" x14ac:dyDescent="0.2">
      <c r="A38" s="45" t="s">
        <v>185</v>
      </c>
      <c r="B38" s="45" t="s">
        <v>186</v>
      </c>
      <c r="C38" s="45" t="s">
        <v>16</v>
      </c>
      <c r="D38" s="45" t="s">
        <v>626</v>
      </c>
      <c r="E38" s="45" t="s">
        <v>639</v>
      </c>
    </row>
    <row r="39" spans="1:5" x14ac:dyDescent="0.2">
      <c r="A39" s="45" t="s">
        <v>187</v>
      </c>
      <c r="B39" s="45" t="s">
        <v>188</v>
      </c>
      <c r="C39" s="45" t="s">
        <v>16</v>
      </c>
      <c r="D39" s="45" t="s">
        <v>626</v>
      </c>
      <c r="E39" s="45" t="s">
        <v>639</v>
      </c>
    </row>
    <row r="40" spans="1:5" x14ac:dyDescent="0.2">
      <c r="A40" s="45" t="s">
        <v>189</v>
      </c>
      <c r="B40" s="45" t="s">
        <v>190</v>
      </c>
      <c r="C40" s="45" t="s">
        <v>16</v>
      </c>
      <c r="D40" s="45" t="s">
        <v>626</v>
      </c>
      <c r="E40" s="45" t="s">
        <v>639</v>
      </c>
    </row>
    <row r="41" spans="1:5" x14ac:dyDescent="0.2">
      <c r="A41" s="45" t="s">
        <v>191</v>
      </c>
      <c r="B41" s="45" t="s">
        <v>192</v>
      </c>
      <c r="C41" s="45" t="s">
        <v>16</v>
      </c>
      <c r="D41" s="45" t="s">
        <v>626</v>
      </c>
      <c r="E41" s="45" t="s">
        <v>639</v>
      </c>
    </row>
    <row r="42" spans="1:5" x14ac:dyDescent="0.2">
      <c r="A42" s="45" t="s">
        <v>193</v>
      </c>
      <c r="B42" s="45" t="s">
        <v>194</v>
      </c>
      <c r="C42" s="45" t="s">
        <v>16</v>
      </c>
      <c r="D42" s="45" t="s">
        <v>626</v>
      </c>
      <c r="E42" s="45" t="s">
        <v>639</v>
      </c>
    </row>
    <row r="43" spans="1:5" x14ac:dyDescent="0.2">
      <c r="A43" s="45" t="s">
        <v>26</v>
      </c>
      <c r="B43" s="45" t="s">
        <v>27</v>
      </c>
      <c r="C43" s="45" t="s">
        <v>16</v>
      </c>
      <c r="D43" s="45" t="s">
        <v>626</v>
      </c>
      <c r="E43" s="45" t="s">
        <v>639</v>
      </c>
    </row>
    <row r="44" spans="1:5" x14ac:dyDescent="0.2">
      <c r="A44" s="45" t="s">
        <v>28</v>
      </c>
      <c r="B44" s="45" t="s">
        <v>29</v>
      </c>
      <c r="C44" s="45" t="s">
        <v>16</v>
      </c>
      <c r="D44" s="45" t="s">
        <v>626</v>
      </c>
      <c r="E44" s="45" t="s">
        <v>639</v>
      </c>
    </row>
    <row r="45" spans="1:5" x14ac:dyDescent="0.2">
      <c r="A45" s="45" t="s">
        <v>195</v>
      </c>
      <c r="B45" s="45" t="s">
        <v>196</v>
      </c>
      <c r="C45" s="45" t="s">
        <v>16</v>
      </c>
      <c r="D45" s="45" t="s">
        <v>626</v>
      </c>
      <c r="E45" s="45" t="s">
        <v>639</v>
      </c>
    </row>
    <row r="46" spans="1:5" x14ac:dyDescent="0.2">
      <c r="A46" s="45" t="s">
        <v>197</v>
      </c>
      <c r="B46" s="45" t="s">
        <v>198</v>
      </c>
      <c r="C46" s="45" t="s">
        <v>16</v>
      </c>
      <c r="D46" s="45" t="s">
        <v>626</v>
      </c>
      <c r="E46" s="45" t="s">
        <v>639</v>
      </c>
    </row>
    <row r="47" spans="1:5" x14ac:dyDescent="0.2">
      <c r="A47" s="45" t="s">
        <v>199</v>
      </c>
      <c r="B47" s="45" t="s">
        <v>200</v>
      </c>
      <c r="C47" s="45" t="s">
        <v>16</v>
      </c>
      <c r="D47" s="45" t="s">
        <v>626</v>
      </c>
      <c r="E47" s="45" t="s">
        <v>639</v>
      </c>
    </row>
    <row r="48" spans="1:5" x14ac:dyDescent="0.2">
      <c r="A48" s="45" t="s">
        <v>201</v>
      </c>
      <c r="B48" s="45" t="s">
        <v>202</v>
      </c>
      <c r="C48" s="45" t="s">
        <v>16</v>
      </c>
      <c r="D48" s="45" t="s">
        <v>626</v>
      </c>
      <c r="E48" s="45" t="s">
        <v>639</v>
      </c>
    </row>
    <row r="49" spans="1:5" x14ac:dyDescent="0.2">
      <c r="A49" s="45" t="s">
        <v>203</v>
      </c>
      <c r="B49" s="45" t="s">
        <v>204</v>
      </c>
      <c r="C49" s="45" t="s">
        <v>16</v>
      </c>
      <c r="D49" s="45" t="s">
        <v>626</v>
      </c>
      <c r="E49" s="45" t="s">
        <v>639</v>
      </c>
    </row>
    <row r="50" spans="1:5" x14ac:dyDescent="0.2">
      <c r="A50" s="45" t="s">
        <v>205</v>
      </c>
      <c r="B50" s="45" t="s">
        <v>206</v>
      </c>
      <c r="C50" s="45" t="s">
        <v>16</v>
      </c>
      <c r="D50" s="45" t="s">
        <v>626</v>
      </c>
      <c r="E50" s="45" t="s">
        <v>639</v>
      </c>
    </row>
    <row r="51" spans="1:5" x14ac:dyDescent="0.2">
      <c r="A51" s="45" t="s">
        <v>207</v>
      </c>
      <c r="B51" s="45" t="s">
        <v>208</v>
      </c>
      <c r="C51" s="45" t="s">
        <v>16</v>
      </c>
      <c r="D51" s="45" t="s">
        <v>626</v>
      </c>
      <c r="E51" s="45" t="s">
        <v>639</v>
      </c>
    </row>
    <row r="52" spans="1:5" x14ac:dyDescent="0.2">
      <c r="A52" s="45" t="s">
        <v>209</v>
      </c>
      <c r="B52" s="45" t="s">
        <v>210</v>
      </c>
      <c r="C52" s="45" t="s">
        <v>16</v>
      </c>
      <c r="D52" s="45" t="s">
        <v>626</v>
      </c>
      <c r="E52" s="45" t="s">
        <v>639</v>
      </c>
    </row>
    <row r="53" spans="1:5" x14ac:dyDescent="0.2">
      <c r="A53" s="45" t="s">
        <v>211</v>
      </c>
      <c r="B53" s="45" t="s">
        <v>212</v>
      </c>
      <c r="C53" s="45" t="s">
        <v>16</v>
      </c>
      <c r="D53" s="45" t="s">
        <v>626</v>
      </c>
      <c r="E53" s="45" t="s">
        <v>639</v>
      </c>
    </row>
    <row r="54" spans="1:5" x14ac:dyDescent="0.2">
      <c r="A54" s="45" t="s">
        <v>213</v>
      </c>
      <c r="B54" s="45" t="s">
        <v>214</v>
      </c>
      <c r="C54" s="45" t="s">
        <v>16</v>
      </c>
      <c r="D54" s="45" t="s">
        <v>626</v>
      </c>
      <c r="E54" s="45" t="s">
        <v>639</v>
      </c>
    </row>
    <row r="55" spans="1:5" x14ac:dyDescent="0.2">
      <c r="A55" s="45" t="s">
        <v>215</v>
      </c>
      <c r="B55" s="45" t="s">
        <v>216</v>
      </c>
      <c r="C55" s="45" t="s">
        <v>16</v>
      </c>
      <c r="D55" s="45" t="s">
        <v>626</v>
      </c>
      <c r="E55" s="45" t="s">
        <v>639</v>
      </c>
    </row>
    <row r="56" spans="1:5" x14ac:dyDescent="0.2">
      <c r="A56" s="45" t="s">
        <v>217</v>
      </c>
      <c r="B56" s="45" t="s">
        <v>218</v>
      </c>
      <c r="C56" s="45" t="s">
        <v>16</v>
      </c>
      <c r="D56" s="45" t="s">
        <v>626</v>
      </c>
      <c r="E56" s="45" t="s">
        <v>639</v>
      </c>
    </row>
    <row r="57" spans="1:5" x14ac:dyDescent="0.2">
      <c r="A57" s="45" t="s">
        <v>219</v>
      </c>
      <c r="B57" s="45" t="s">
        <v>220</v>
      </c>
      <c r="C57" s="45" t="s">
        <v>16</v>
      </c>
      <c r="D57" s="45" t="s">
        <v>626</v>
      </c>
      <c r="E57" s="45" t="s">
        <v>639</v>
      </c>
    </row>
    <row r="58" spans="1:5" x14ac:dyDescent="0.2">
      <c r="A58" s="45" t="s">
        <v>221</v>
      </c>
      <c r="B58" s="45" t="s">
        <v>222</v>
      </c>
      <c r="C58" s="45" t="s">
        <v>16</v>
      </c>
      <c r="D58" s="45" t="s">
        <v>626</v>
      </c>
      <c r="E58" s="45" t="s">
        <v>639</v>
      </c>
    </row>
    <row r="59" spans="1:5" x14ac:dyDescent="0.2">
      <c r="A59" s="45" t="s">
        <v>223</v>
      </c>
      <c r="B59" s="45" t="s">
        <v>224</v>
      </c>
      <c r="C59" s="45" t="s">
        <v>16</v>
      </c>
      <c r="D59" s="45" t="s">
        <v>626</v>
      </c>
      <c r="E59" s="45" t="s">
        <v>639</v>
      </c>
    </row>
    <row r="60" spans="1:5" x14ac:dyDescent="0.2">
      <c r="A60" s="45" t="s">
        <v>225</v>
      </c>
      <c r="B60" s="45" t="s">
        <v>226</v>
      </c>
      <c r="C60" s="45" t="s">
        <v>16</v>
      </c>
      <c r="D60" s="45" t="s">
        <v>626</v>
      </c>
      <c r="E60" s="45" t="s">
        <v>639</v>
      </c>
    </row>
    <row r="61" spans="1:5" x14ac:dyDescent="0.2">
      <c r="A61" s="45" t="s">
        <v>227</v>
      </c>
      <c r="B61" s="45" t="s">
        <v>228</v>
      </c>
      <c r="C61" s="45" t="s">
        <v>16</v>
      </c>
      <c r="D61" s="45" t="s">
        <v>626</v>
      </c>
      <c r="E61" s="45" t="s">
        <v>639</v>
      </c>
    </row>
    <row r="62" spans="1:5" x14ac:dyDescent="0.2">
      <c r="A62" s="45" t="s">
        <v>229</v>
      </c>
      <c r="B62" s="45" t="s">
        <v>230</v>
      </c>
      <c r="C62" s="45" t="s">
        <v>16</v>
      </c>
      <c r="D62" s="45" t="s">
        <v>626</v>
      </c>
      <c r="E62" s="45" t="s">
        <v>639</v>
      </c>
    </row>
    <row r="63" spans="1:5" x14ac:dyDescent="0.2">
      <c r="A63" s="45" t="s">
        <v>231</v>
      </c>
      <c r="B63" s="45" t="s">
        <v>232</v>
      </c>
      <c r="C63" s="45" t="s">
        <v>16</v>
      </c>
      <c r="D63" s="45" t="s">
        <v>626</v>
      </c>
      <c r="E63" s="45" t="s">
        <v>639</v>
      </c>
    </row>
    <row r="64" spans="1:5" x14ac:dyDescent="0.2">
      <c r="A64" s="45" t="s">
        <v>233</v>
      </c>
      <c r="B64" s="45" t="s">
        <v>234</v>
      </c>
      <c r="C64" s="45" t="s">
        <v>16</v>
      </c>
      <c r="D64" s="45" t="s">
        <v>626</v>
      </c>
      <c r="E64" s="45" t="s">
        <v>639</v>
      </c>
    </row>
    <row r="65" spans="1:5" x14ac:dyDescent="0.2">
      <c r="A65" s="45" t="s">
        <v>235</v>
      </c>
      <c r="B65" s="45" t="s">
        <v>236</v>
      </c>
      <c r="C65" s="45" t="s">
        <v>16</v>
      </c>
      <c r="D65" s="45" t="s">
        <v>626</v>
      </c>
      <c r="E65" s="45" t="s">
        <v>639</v>
      </c>
    </row>
    <row r="66" spans="1:5" x14ac:dyDescent="0.2">
      <c r="A66" s="45" t="s">
        <v>237</v>
      </c>
      <c r="B66" s="45" t="s">
        <v>238</v>
      </c>
      <c r="C66" s="45" t="s">
        <v>16</v>
      </c>
      <c r="D66" s="45" t="s">
        <v>626</v>
      </c>
      <c r="E66" s="45" t="s">
        <v>639</v>
      </c>
    </row>
    <row r="67" spans="1:5" x14ac:dyDescent="0.2">
      <c r="A67" s="45" t="s">
        <v>239</v>
      </c>
      <c r="B67" s="45" t="s">
        <v>240</v>
      </c>
      <c r="C67" s="45" t="s">
        <v>16</v>
      </c>
      <c r="D67" s="45" t="s">
        <v>626</v>
      </c>
      <c r="E67" s="45" t="s">
        <v>639</v>
      </c>
    </row>
    <row r="68" spans="1:5" x14ac:dyDescent="0.2">
      <c r="A68" s="45" t="s">
        <v>241</v>
      </c>
      <c r="B68" s="45" t="s">
        <v>242</v>
      </c>
      <c r="C68" s="45" t="s">
        <v>16</v>
      </c>
      <c r="D68" s="45" t="s">
        <v>626</v>
      </c>
      <c r="E68" s="45" t="s">
        <v>639</v>
      </c>
    </row>
    <row r="69" spans="1:5" x14ac:dyDescent="0.2">
      <c r="A69" s="45" t="s">
        <v>243</v>
      </c>
      <c r="B69" s="45" t="s">
        <v>244</v>
      </c>
      <c r="C69" s="45" t="s">
        <v>16</v>
      </c>
      <c r="D69" s="45" t="s">
        <v>626</v>
      </c>
      <c r="E69" s="45" t="s">
        <v>639</v>
      </c>
    </row>
    <row r="70" spans="1:5" x14ac:dyDescent="0.2">
      <c r="A70" s="45" t="s">
        <v>245</v>
      </c>
      <c r="B70" s="45" t="s">
        <v>246</v>
      </c>
      <c r="C70" s="45" t="s">
        <v>16</v>
      </c>
      <c r="D70" s="45" t="s">
        <v>626</v>
      </c>
      <c r="E70" s="45" t="s">
        <v>639</v>
      </c>
    </row>
    <row r="71" spans="1:5" x14ac:dyDescent="0.2">
      <c r="A71" s="45" t="s">
        <v>247</v>
      </c>
      <c r="B71" s="45" t="s">
        <v>248</v>
      </c>
      <c r="C71" s="45" t="s">
        <v>16</v>
      </c>
      <c r="D71" s="45" t="s">
        <v>626</v>
      </c>
      <c r="E71" s="45" t="s">
        <v>639</v>
      </c>
    </row>
    <row r="72" spans="1:5" x14ac:dyDescent="0.2">
      <c r="A72" s="45" t="s">
        <v>249</v>
      </c>
      <c r="B72" s="45" t="s">
        <v>250</v>
      </c>
      <c r="C72" s="45" t="s">
        <v>16</v>
      </c>
      <c r="D72" s="45" t="s">
        <v>626</v>
      </c>
      <c r="E72" s="45" t="s">
        <v>639</v>
      </c>
    </row>
    <row r="73" spans="1:5" x14ac:dyDescent="0.2">
      <c r="A73" s="45" t="s">
        <v>251</v>
      </c>
      <c r="B73" s="45" t="s">
        <v>252</v>
      </c>
      <c r="C73" s="45" t="s">
        <v>16</v>
      </c>
      <c r="D73" s="45" t="s">
        <v>626</v>
      </c>
      <c r="E73" s="45" t="s">
        <v>639</v>
      </c>
    </row>
    <row r="74" spans="1:5" x14ac:dyDescent="0.2">
      <c r="A74" s="45" t="s">
        <v>253</v>
      </c>
      <c r="B74" s="45" t="s">
        <v>254</v>
      </c>
      <c r="C74" s="45" t="s">
        <v>16</v>
      </c>
      <c r="D74" s="45" t="s">
        <v>626</v>
      </c>
      <c r="E74" s="45" t="s">
        <v>639</v>
      </c>
    </row>
    <row r="75" spans="1:5" x14ac:dyDescent="0.2">
      <c r="A75" s="45" t="s">
        <v>255</v>
      </c>
      <c r="B75" s="45" t="s">
        <v>256</v>
      </c>
      <c r="C75" s="45" t="s">
        <v>16</v>
      </c>
      <c r="D75" s="45" t="s">
        <v>626</v>
      </c>
      <c r="E75" s="45" t="s">
        <v>639</v>
      </c>
    </row>
    <row r="76" spans="1:5" x14ac:dyDescent="0.2">
      <c r="A76" s="45" t="s">
        <v>257</v>
      </c>
      <c r="B76" s="45" t="s">
        <v>258</v>
      </c>
      <c r="C76" s="45" t="s">
        <v>16</v>
      </c>
      <c r="D76" s="45" t="s">
        <v>626</v>
      </c>
      <c r="E76" s="45" t="s">
        <v>639</v>
      </c>
    </row>
    <row r="77" spans="1:5" x14ac:dyDescent="0.2">
      <c r="A77" s="45" t="s">
        <v>259</v>
      </c>
      <c r="B77" s="45" t="s">
        <v>260</v>
      </c>
      <c r="C77" s="45" t="s">
        <v>16</v>
      </c>
      <c r="D77" s="45" t="s">
        <v>626</v>
      </c>
      <c r="E77" s="45" t="s">
        <v>639</v>
      </c>
    </row>
    <row r="78" spans="1:5" x14ac:dyDescent="0.2">
      <c r="A78" s="45" t="s">
        <v>261</v>
      </c>
      <c r="B78" s="45" t="s">
        <v>262</v>
      </c>
      <c r="C78" s="45" t="s">
        <v>16</v>
      </c>
      <c r="D78" s="45" t="s">
        <v>626</v>
      </c>
      <c r="E78" s="45" t="s">
        <v>639</v>
      </c>
    </row>
    <row r="79" spans="1:5" x14ac:dyDescent="0.2">
      <c r="A79" s="45" t="s">
        <v>263</v>
      </c>
      <c r="B79" s="45" t="s">
        <v>264</v>
      </c>
      <c r="C79" s="45" t="s">
        <v>16</v>
      </c>
      <c r="D79" s="45" t="s">
        <v>626</v>
      </c>
      <c r="E79" s="45" t="s">
        <v>639</v>
      </c>
    </row>
    <row r="80" spans="1:5" x14ac:dyDescent="0.2">
      <c r="A80" s="45" t="s">
        <v>265</v>
      </c>
      <c r="B80" s="45" t="s">
        <v>266</v>
      </c>
      <c r="C80" s="45" t="s">
        <v>16</v>
      </c>
      <c r="D80" s="45" t="s">
        <v>626</v>
      </c>
      <c r="E80" s="45" t="s">
        <v>639</v>
      </c>
    </row>
    <row r="81" spans="1:5" x14ac:dyDescent="0.2">
      <c r="A81" s="45" t="s">
        <v>267</v>
      </c>
      <c r="B81" s="45" t="s">
        <v>268</v>
      </c>
      <c r="C81" s="45" t="s">
        <v>16</v>
      </c>
      <c r="D81" s="45" t="s">
        <v>626</v>
      </c>
      <c r="E81" s="45" t="s">
        <v>639</v>
      </c>
    </row>
    <row r="82" spans="1:5" x14ac:dyDescent="0.2">
      <c r="A82" s="45" t="s">
        <v>269</v>
      </c>
      <c r="B82" s="45" t="s">
        <v>270</v>
      </c>
      <c r="C82" s="45" t="s">
        <v>16</v>
      </c>
      <c r="D82" s="45" t="s">
        <v>626</v>
      </c>
      <c r="E82" s="45" t="s">
        <v>639</v>
      </c>
    </row>
    <row r="83" spans="1:5" x14ac:dyDescent="0.2">
      <c r="A83" s="45" t="s">
        <v>271</v>
      </c>
      <c r="B83" s="45" t="s">
        <v>272</v>
      </c>
      <c r="C83" s="45" t="s">
        <v>16</v>
      </c>
      <c r="D83" s="45" t="s">
        <v>626</v>
      </c>
      <c r="E83" s="45" t="s">
        <v>639</v>
      </c>
    </row>
    <row r="84" spans="1:5" x14ac:dyDescent="0.2">
      <c r="A84" s="45" t="s">
        <v>273</v>
      </c>
      <c r="B84" s="45" t="s">
        <v>274</v>
      </c>
      <c r="C84" s="45" t="s">
        <v>16</v>
      </c>
      <c r="D84" s="45" t="s">
        <v>626</v>
      </c>
      <c r="E84" s="45" t="s">
        <v>639</v>
      </c>
    </row>
    <row r="85" spans="1:5" x14ac:dyDescent="0.2">
      <c r="A85" s="45" t="s">
        <v>275</v>
      </c>
      <c r="B85" s="45" t="s">
        <v>276</v>
      </c>
      <c r="C85" s="45" t="s">
        <v>16</v>
      </c>
      <c r="D85" s="45" t="s">
        <v>626</v>
      </c>
      <c r="E85" s="45" t="s">
        <v>639</v>
      </c>
    </row>
    <row r="86" spans="1:5" x14ac:dyDescent="0.2">
      <c r="A86" s="45" t="s">
        <v>277</v>
      </c>
      <c r="B86" s="45" t="s">
        <v>278</v>
      </c>
      <c r="C86" s="45" t="s">
        <v>16</v>
      </c>
      <c r="D86" s="45" t="s">
        <v>626</v>
      </c>
      <c r="E86" s="45" t="s">
        <v>639</v>
      </c>
    </row>
    <row r="87" spans="1:5" x14ac:dyDescent="0.2">
      <c r="A87" s="45" t="s">
        <v>279</v>
      </c>
      <c r="B87" s="45" t="s">
        <v>280</v>
      </c>
      <c r="C87" s="45" t="s">
        <v>16</v>
      </c>
      <c r="D87" s="45" t="s">
        <v>626</v>
      </c>
      <c r="E87" s="45" t="s">
        <v>639</v>
      </c>
    </row>
    <row r="88" spans="1:5" x14ac:dyDescent="0.2">
      <c r="A88" s="45" t="s">
        <v>281</v>
      </c>
      <c r="B88" s="45" t="s">
        <v>282</v>
      </c>
      <c r="C88" s="45" t="s">
        <v>16</v>
      </c>
      <c r="D88" s="45" t="s">
        <v>626</v>
      </c>
      <c r="E88" s="45" t="s">
        <v>639</v>
      </c>
    </row>
    <row r="89" spans="1:5" x14ac:dyDescent="0.2">
      <c r="A89" s="45" t="s">
        <v>283</v>
      </c>
      <c r="B89" s="45" t="s">
        <v>284</v>
      </c>
      <c r="C89" s="45" t="s">
        <v>16</v>
      </c>
      <c r="D89" s="45" t="s">
        <v>626</v>
      </c>
      <c r="E89" s="45" t="s">
        <v>639</v>
      </c>
    </row>
    <row r="90" spans="1:5" x14ac:dyDescent="0.2">
      <c r="A90" s="45" t="s">
        <v>285</v>
      </c>
      <c r="B90" s="45" t="s">
        <v>286</v>
      </c>
      <c r="C90" s="45" t="s">
        <v>16</v>
      </c>
      <c r="D90" s="45" t="s">
        <v>626</v>
      </c>
      <c r="E90" s="45" t="s">
        <v>639</v>
      </c>
    </row>
    <row r="91" spans="1:5" x14ac:dyDescent="0.2">
      <c r="A91" s="45" t="s">
        <v>287</v>
      </c>
      <c r="B91" s="45" t="s">
        <v>288</v>
      </c>
      <c r="C91" s="45" t="s">
        <v>16</v>
      </c>
      <c r="D91" s="45" t="s">
        <v>626</v>
      </c>
      <c r="E91" s="45" t="s">
        <v>639</v>
      </c>
    </row>
    <row r="92" spans="1:5" x14ac:dyDescent="0.2">
      <c r="A92" s="45" t="s">
        <v>289</v>
      </c>
      <c r="B92" s="45" t="s">
        <v>290</v>
      </c>
      <c r="C92" s="45" t="s">
        <v>16</v>
      </c>
      <c r="D92" s="45" t="s">
        <v>626</v>
      </c>
      <c r="E92" s="45" t="s">
        <v>639</v>
      </c>
    </row>
    <row r="93" spans="1:5" x14ac:dyDescent="0.2">
      <c r="A93" s="45" t="s">
        <v>291</v>
      </c>
      <c r="B93" s="45" t="s">
        <v>292</v>
      </c>
      <c r="C93" s="45" t="s">
        <v>16</v>
      </c>
      <c r="D93" s="45" t="s">
        <v>626</v>
      </c>
      <c r="E93" s="45" t="s">
        <v>639</v>
      </c>
    </row>
    <row r="94" spans="1:5" x14ac:dyDescent="0.2">
      <c r="A94" s="45" t="s">
        <v>293</v>
      </c>
      <c r="B94" s="45" t="s">
        <v>294</v>
      </c>
      <c r="C94" s="45" t="s">
        <v>16</v>
      </c>
      <c r="D94" s="45" t="s">
        <v>626</v>
      </c>
      <c r="E94" s="45" t="s">
        <v>639</v>
      </c>
    </row>
    <row r="95" spans="1:5" x14ac:dyDescent="0.2">
      <c r="A95" s="45" t="s">
        <v>295</v>
      </c>
      <c r="B95" s="45" t="s">
        <v>296</v>
      </c>
      <c r="C95" s="45" t="s">
        <v>16</v>
      </c>
      <c r="D95" s="45" t="s">
        <v>626</v>
      </c>
      <c r="E95" s="45" t="s">
        <v>639</v>
      </c>
    </row>
    <row r="96" spans="1:5" x14ac:dyDescent="0.2">
      <c r="A96" s="45" t="s">
        <v>297</v>
      </c>
      <c r="B96" s="45" t="s">
        <v>298</v>
      </c>
      <c r="C96" s="45" t="s">
        <v>16</v>
      </c>
      <c r="D96" s="45" t="s">
        <v>626</v>
      </c>
      <c r="E96" s="45" t="s">
        <v>639</v>
      </c>
    </row>
    <row r="97" spans="1:5" x14ac:dyDescent="0.2">
      <c r="A97" s="45" t="s">
        <v>299</v>
      </c>
      <c r="B97" s="45" t="s">
        <v>300</v>
      </c>
      <c r="C97" s="45" t="s">
        <v>16</v>
      </c>
      <c r="D97" s="45" t="s">
        <v>626</v>
      </c>
      <c r="E97" s="45" t="s">
        <v>639</v>
      </c>
    </row>
    <row r="98" spans="1:5" x14ac:dyDescent="0.2">
      <c r="A98" s="45" t="s">
        <v>301</v>
      </c>
      <c r="B98" s="45" t="s">
        <v>302</v>
      </c>
      <c r="C98" s="45" t="s">
        <v>16</v>
      </c>
      <c r="D98" s="45" t="s">
        <v>626</v>
      </c>
      <c r="E98" s="45" t="s">
        <v>639</v>
      </c>
    </row>
    <row r="99" spans="1:5" x14ac:dyDescent="0.2">
      <c r="A99" s="45" t="s">
        <v>303</v>
      </c>
      <c r="B99" s="45" t="s">
        <v>304</v>
      </c>
      <c r="C99" s="45" t="s">
        <v>16</v>
      </c>
      <c r="D99" s="45" t="s">
        <v>626</v>
      </c>
      <c r="E99" s="45" t="s">
        <v>639</v>
      </c>
    </row>
    <row r="100" spans="1:5" x14ac:dyDescent="0.2">
      <c r="A100" s="45" t="s">
        <v>305</v>
      </c>
      <c r="B100" s="45" t="s">
        <v>306</v>
      </c>
      <c r="C100" s="45" t="s">
        <v>16</v>
      </c>
      <c r="D100" s="45" t="s">
        <v>626</v>
      </c>
      <c r="E100" s="45" t="s">
        <v>639</v>
      </c>
    </row>
    <row r="101" spans="1:5" x14ac:dyDescent="0.2">
      <c r="A101" s="45" t="s">
        <v>307</v>
      </c>
      <c r="B101" s="45" t="s">
        <v>308</v>
      </c>
      <c r="C101" s="45" t="s">
        <v>16</v>
      </c>
      <c r="D101" s="45" t="s">
        <v>626</v>
      </c>
      <c r="E101" s="45" t="s">
        <v>639</v>
      </c>
    </row>
    <row r="102" spans="1:5" x14ac:dyDescent="0.2">
      <c r="A102" s="45" t="s">
        <v>309</v>
      </c>
      <c r="B102" s="45" t="s">
        <v>310</v>
      </c>
      <c r="C102" s="45" t="s">
        <v>16</v>
      </c>
      <c r="D102" s="45" t="s">
        <v>626</v>
      </c>
      <c r="E102" s="45" t="s">
        <v>639</v>
      </c>
    </row>
    <row r="103" spans="1:5" x14ac:dyDescent="0.2">
      <c r="A103" s="45" t="s">
        <v>311</v>
      </c>
      <c r="B103" s="45" t="s">
        <v>312</v>
      </c>
      <c r="C103" s="45" t="s">
        <v>16</v>
      </c>
      <c r="D103" s="45" t="s">
        <v>626</v>
      </c>
      <c r="E103" s="45" t="s">
        <v>639</v>
      </c>
    </row>
    <row r="104" spans="1:5" x14ac:dyDescent="0.2">
      <c r="A104" s="45" t="s">
        <v>313</v>
      </c>
      <c r="B104" s="45" t="s">
        <v>314</v>
      </c>
      <c r="C104" s="45" t="s">
        <v>16</v>
      </c>
      <c r="D104" s="45" t="s">
        <v>626</v>
      </c>
      <c r="E104" s="45" t="s">
        <v>639</v>
      </c>
    </row>
    <row r="105" spans="1:5" x14ac:dyDescent="0.2">
      <c r="A105" s="45" t="s">
        <v>315</v>
      </c>
      <c r="B105" s="45" t="s">
        <v>316</v>
      </c>
      <c r="C105" s="45" t="s">
        <v>16</v>
      </c>
      <c r="D105" s="45" t="s">
        <v>626</v>
      </c>
      <c r="E105" s="45" t="s">
        <v>639</v>
      </c>
    </row>
    <row r="106" spans="1:5" x14ac:dyDescent="0.2">
      <c r="A106" s="45" t="s">
        <v>317</v>
      </c>
      <c r="B106" s="45" t="s">
        <v>318</v>
      </c>
      <c r="C106" s="45" t="s">
        <v>16</v>
      </c>
      <c r="D106" s="45" t="s">
        <v>626</v>
      </c>
      <c r="E106" s="45" t="s">
        <v>639</v>
      </c>
    </row>
    <row r="107" spans="1:5" x14ac:dyDescent="0.2">
      <c r="A107" s="45" t="s">
        <v>319</v>
      </c>
      <c r="B107" s="45" t="s">
        <v>320</v>
      </c>
      <c r="C107" s="45" t="s">
        <v>10</v>
      </c>
      <c r="D107" s="45" t="s">
        <v>627</v>
      </c>
      <c r="E107" s="45" t="s">
        <v>638</v>
      </c>
    </row>
    <row r="108" spans="1:5" x14ac:dyDescent="0.2">
      <c r="A108" s="45" t="s">
        <v>321</v>
      </c>
      <c r="B108" s="45" t="s">
        <v>322</v>
      </c>
      <c r="C108" s="45" t="s">
        <v>10</v>
      </c>
      <c r="D108" s="45" t="s">
        <v>627</v>
      </c>
      <c r="E108" s="45" t="s">
        <v>638</v>
      </c>
    </row>
    <row r="109" spans="1:5" x14ac:dyDescent="0.2">
      <c r="A109" s="45" t="s">
        <v>323</v>
      </c>
      <c r="B109" s="45" t="s">
        <v>324</v>
      </c>
      <c r="C109" s="45" t="s">
        <v>10</v>
      </c>
      <c r="D109" s="45" t="s">
        <v>627</v>
      </c>
      <c r="E109" s="45" t="s">
        <v>638</v>
      </c>
    </row>
    <row r="110" spans="1:5" x14ac:dyDescent="0.2">
      <c r="A110" s="45" t="s">
        <v>325</v>
      </c>
      <c r="B110" s="45" t="s">
        <v>326</v>
      </c>
      <c r="C110" s="45" t="s">
        <v>10</v>
      </c>
      <c r="D110" s="45" t="s">
        <v>627</v>
      </c>
      <c r="E110" s="45" t="s">
        <v>638</v>
      </c>
    </row>
    <row r="111" spans="1:5" x14ac:dyDescent="0.2">
      <c r="A111" s="45" t="s">
        <v>327</v>
      </c>
      <c r="B111" s="45" t="s">
        <v>328</v>
      </c>
      <c r="C111" s="45" t="s">
        <v>10</v>
      </c>
      <c r="D111" s="45" t="s">
        <v>627</v>
      </c>
      <c r="E111" s="45" t="s">
        <v>638</v>
      </c>
    </row>
    <row r="112" spans="1:5" x14ac:dyDescent="0.2">
      <c r="A112" s="45" t="s">
        <v>329</v>
      </c>
      <c r="B112" s="45" t="s">
        <v>330</v>
      </c>
      <c r="C112" s="45" t="s">
        <v>10</v>
      </c>
      <c r="D112" s="45" t="s">
        <v>627</v>
      </c>
      <c r="E112" s="45" t="s">
        <v>638</v>
      </c>
    </row>
    <row r="113" spans="1:5" x14ac:dyDescent="0.2">
      <c r="A113" s="45" t="s">
        <v>331</v>
      </c>
      <c r="B113" s="45" t="s">
        <v>332</v>
      </c>
      <c r="C113" s="45" t="s">
        <v>10</v>
      </c>
      <c r="D113" s="45" t="s">
        <v>627</v>
      </c>
      <c r="E113" s="45" t="s">
        <v>638</v>
      </c>
    </row>
    <row r="114" spans="1:5" x14ac:dyDescent="0.2">
      <c r="A114" s="45" t="s">
        <v>30</v>
      </c>
      <c r="B114" s="45" t="s">
        <v>31</v>
      </c>
      <c r="C114" s="45" t="s">
        <v>10</v>
      </c>
      <c r="D114" s="45" t="s">
        <v>627</v>
      </c>
      <c r="E114" s="45" t="s">
        <v>638</v>
      </c>
    </row>
    <row r="115" spans="1:5" x14ac:dyDescent="0.2">
      <c r="A115" s="45" t="s">
        <v>333</v>
      </c>
      <c r="B115" s="45" t="s">
        <v>334</v>
      </c>
      <c r="C115" s="45" t="s">
        <v>10</v>
      </c>
      <c r="D115" s="45" t="s">
        <v>627</v>
      </c>
      <c r="E115" s="45" t="s">
        <v>638</v>
      </c>
    </row>
    <row r="116" spans="1:5" x14ac:dyDescent="0.2">
      <c r="A116" s="45" t="s">
        <v>341</v>
      </c>
      <c r="B116" s="45" t="s">
        <v>342</v>
      </c>
      <c r="C116" s="45" t="s">
        <v>10</v>
      </c>
      <c r="D116" s="45" t="s">
        <v>627</v>
      </c>
      <c r="E116" s="45" t="s">
        <v>639</v>
      </c>
    </row>
    <row r="117" spans="1:5" x14ac:dyDescent="0.2">
      <c r="A117" s="45" t="s">
        <v>343</v>
      </c>
      <c r="B117" s="45" t="s">
        <v>344</v>
      </c>
      <c r="C117" s="45" t="s">
        <v>10</v>
      </c>
      <c r="D117" s="45" t="s">
        <v>627</v>
      </c>
      <c r="E117" s="45" t="s">
        <v>641</v>
      </c>
    </row>
    <row r="118" spans="1:5" x14ac:dyDescent="0.2">
      <c r="A118" s="45" t="s">
        <v>345</v>
      </c>
      <c r="B118" s="45" t="s">
        <v>346</v>
      </c>
      <c r="C118" s="45" t="s">
        <v>10</v>
      </c>
      <c r="D118" s="45" t="s">
        <v>627</v>
      </c>
      <c r="E118" s="45" t="s">
        <v>642</v>
      </c>
    </row>
    <row r="119" spans="1:5" x14ac:dyDescent="0.2">
      <c r="A119" s="45" t="s">
        <v>347</v>
      </c>
      <c r="B119" s="45" t="s">
        <v>348</v>
      </c>
      <c r="C119" s="45" t="s">
        <v>10</v>
      </c>
      <c r="D119" s="45" t="s">
        <v>627</v>
      </c>
      <c r="E119" s="45" t="s">
        <v>642</v>
      </c>
    </row>
    <row r="120" spans="1:5" x14ac:dyDescent="0.2">
      <c r="A120" s="45" t="s">
        <v>349</v>
      </c>
      <c r="B120" s="45" t="s">
        <v>350</v>
      </c>
      <c r="C120" s="45" t="s">
        <v>10</v>
      </c>
      <c r="D120" s="45" t="s">
        <v>627</v>
      </c>
      <c r="E120" s="45" t="s">
        <v>642</v>
      </c>
    </row>
    <row r="121" spans="1:5" x14ac:dyDescent="0.2">
      <c r="A121" s="45" t="s">
        <v>40</v>
      </c>
      <c r="B121" s="45" t="s">
        <v>41</v>
      </c>
      <c r="C121" s="45" t="s">
        <v>10</v>
      </c>
      <c r="D121" s="45" t="s">
        <v>627</v>
      </c>
      <c r="E121" s="45" t="s">
        <v>642</v>
      </c>
    </row>
    <row r="122" spans="1:5" x14ac:dyDescent="0.2">
      <c r="A122" s="45" t="s">
        <v>351</v>
      </c>
      <c r="B122" s="45" t="s">
        <v>352</v>
      </c>
      <c r="C122" s="45" t="s">
        <v>10</v>
      </c>
      <c r="D122" s="45" t="s">
        <v>627</v>
      </c>
      <c r="E122" s="45" t="s">
        <v>642</v>
      </c>
    </row>
    <row r="123" spans="1:5" x14ac:dyDescent="0.2">
      <c r="A123" s="45" t="s">
        <v>353</v>
      </c>
      <c r="B123" s="45" t="s">
        <v>354</v>
      </c>
      <c r="C123" s="45" t="s">
        <v>10</v>
      </c>
      <c r="D123" s="45" t="s">
        <v>627</v>
      </c>
      <c r="E123" s="45" t="s">
        <v>642</v>
      </c>
    </row>
    <row r="124" spans="1:5" x14ac:dyDescent="0.2">
      <c r="A124" s="45" t="s">
        <v>355</v>
      </c>
      <c r="B124" s="45" t="s">
        <v>356</v>
      </c>
      <c r="C124" s="45" t="s">
        <v>10</v>
      </c>
      <c r="D124" s="45" t="s">
        <v>627</v>
      </c>
      <c r="E124" s="45" t="s">
        <v>642</v>
      </c>
    </row>
    <row r="125" spans="1:5" x14ac:dyDescent="0.2">
      <c r="A125" s="45" t="s">
        <v>357</v>
      </c>
      <c r="B125" s="45" t="s">
        <v>358</v>
      </c>
      <c r="C125" s="45" t="s">
        <v>10</v>
      </c>
      <c r="D125" s="45" t="s">
        <v>627</v>
      </c>
      <c r="E125" s="45" t="s">
        <v>642</v>
      </c>
    </row>
    <row r="126" spans="1:5" x14ac:dyDescent="0.2">
      <c r="A126" s="45" t="s">
        <v>359</v>
      </c>
      <c r="B126" s="45" t="s">
        <v>360</v>
      </c>
      <c r="C126" s="45" t="s">
        <v>10</v>
      </c>
      <c r="D126" s="45" t="s">
        <v>627</v>
      </c>
      <c r="E126" s="45" t="s">
        <v>642</v>
      </c>
    </row>
    <row r="127" spans="1:5" x14ac:dyDescent="0.2">
      <c r="A127" s="45" t="s">
        <v>361</v>
      </c>
      <c r="B127" s="45" t="s">
        <v>362</v>
      </c>
      <c r="C127" s="45" t="s">
        <v>10</v>
      </c>
      <c r="D127" s="45" t="s">
        <v>627</v>
      </c>
      <c r="E127" s="45" t="s">
        <v>642</v>
      </c>
    </row>
    <row r="128" spans="1:5" x14ac:dyDescent="0.2">
      <c r="A128" s="45" t="s">
        <v>363</v>
      </c>
      <c r="B128" s="45" t="s">
        <v>364</v>
      </c>
      <c r="C128" s="45" t="s">
        <v>10</v>
      </c>
      <c r="D128" s="45" t="s">
        <v>627</v>
      </c>
      <c r="E128" s="45" t="s">
        <v>642</v>
      </c>
    </row>
    <row r="129" spans="1:5" x14ac:dyDescent="0.2">
      <c r="A129" s="45" t="s">
        <v>365</v>
      </c>
      <c r="B129" s="45" t="s">
        <v>366</v>
      </c>
      <c r="C129" s="45" t="s">
        <v>10</v>
      </c>
      <c r="D129" s="45" t="s">
        <v>627</v>
      </c>
      <c r="E129" s="45" t="s">
        <v>642</v>
      </c>
    </row>
    <row r="130" spans="1:5" x14ac:dyDescent="0.2">
      <c r="A130" s="45" t="s">
        <v>367</v>
      </c>
      <c r="B130" s="45" t="s">
        <v>368</v>
      </c>
      <c r="C130" s="45" t="s">
        <v>10</v>
      </c>
      <c r="D130" s="45" t="s">
        <v>627</v>
      </c>
      <c r="E130" s="45" t="s">
        <v>642</v>
      </c>
    </row>
    <row r="131" spans="1:5" x14ac:dyDescent="0.2">
      <c r="A131" s="45" t="s">
        <v>369</v>
      </c>
      <c r="B131" s="45" t="s">
        <v>370</v>
      </c>
      <c r="C131" s="45" t="s">
        <v>10</v>
      </c>
      <c r="D131" s="45" t="s">
        <v>627</v>
      </c>
      <c r="E131" s="45" t="s">
        <v>642</v>
      </c>
    </row>
    <row r="132" spans="1:5" x14ac:dyDescent="0.2">
      <c r="A132" s="45" t="s">
        <v>371</v>
      </c>
      <c r="B132" s="45" t="s">
        <v>372</v>
      </c>
      <c r="C132" s="45" t="s">
        <v>10</v>
      </c>
      <c r="D132" s="45" t="s">
        <v>627</v>
      </c>
      <c r="E132" s="45" t="s">
        <v>642</v>
      </c>
    </row>
    <row r="133" spans="1:5" x14ac:dyDescent="0.2">
      <c r="A133" s="45" t="s">
        <v>373</v>
      </c>
      <c r="B133" s="45" t="s">
        <v>374</v>
      </c>
      <c r="C133" s="45" t="s">
        <v>10</v>
      </c>
      <c r="D133" s="45" t="s">
        <v>627</v>
      </c>
      <c r="E133" s="45" t="s">
        <v>642</v>
      </c>
    </row>
    <row r="134" spans="1:5" x14ac:dyDescent="0.2">
      <c r="A134" s="45" t="s">
        <v>375</v>
      </c>
      <c r="B134" s="45" t="s">
        <v>376</v>
      </c>
      <c r="C134" s="45" t="s">
        <v>10</v>
      </c>
      <c r="D134" s="45" t="s">
        <v>627</v>
      </c>
      <c r="E134" s="45" t="s">
        <v>642</v>
      </c>
    </row>
    <row r="135" spans="1:5" x14ac:dyDescent="0.2">
      <c r="A135" s="45" t="s">
        <v>377</v>
      </c>
      <c r="B135" s="45" t="s">
        <v>378</v>
      </c>
      <c r="C135" s="45" t="s">
        <v>10</v>
      </c>
      <c r="D135" s="45" t="s">
        <v>627</v>
      </c>
      <c r="E135" s="45" t="s">
        <v>642</v>
      </c>
    </row>
    <row r="136" spans="1:5" x14ac:dyDescent="0.2">
      <c r="A136" s="45" t="s">
        <v>379</v>
      </c>
      <c r="B136" s="45" t="s">
        <v>380</v>
      </c>
      <c r="C136" s="45" t="s">
        <v>10</v>
      </c>
      <c r="D136" s="45" t="s">
        <v>627</v>
      </c>
      <c r="E136" s="45" t="s">
        <v>643</v>
      </c>
    </row>
    <row r="137" spans="1:5" x14ac:dyDescent="0.2">
      <c r="A137" s="45" t="s">
        <v>381</v>
      </c>
      <c r="B137" s="45" t="s">
        <v>382</v>
      </c>
      <c r="C137" s="45" t="s">
        <v>10</v>
      </c>
      <c r="D137" s="45" t="s">
        <v>627</v>
      </c>
      <c r="E137" s="45" t="s">
        <v>643</v>
      </c>
    </row>
    <row r="138" spans="1:5" x14ac:dyDescent="0.2">
      <c r="A138" s="45" t="s">
        <v>383</v>
      </c>
      <c r="B138" s="45" t="s">
        <v>384</v>
      </c>
      <c r="C138" s="45" t="s">
        <v>10</v>
      </c>
      <c r="D138" s="45" t="s">
        <v>627</v>
      </c>
      <c r="E138" s="45" t="s">
        <v>643</v>
      </c>
    </row>
    <row r="139" spans="1:5" x14ac:dyDescent="0.2">
      <c r="A139" s="45" t="s">
        <v>385</v>
      </c>
      <c r="B139" s="45" t="s">
        <v>386</v>
      </c>
      <c r="C139" s="45" t="s">
        <v>10</v>
      </c>
      <c r="D139" s="45" t="s">
        <v>627</v>
      </c>
      <c r="E139" s="45" t="s">
        <v>643</v>
      </c>
    </row>
    <row r="140" spans="1:5" x14ac:dyDescent="0.2">
      <c r="A140" s="45" t="s">
        <v>387</v>
      </c>
      <c r="B140" s="45" t="s">
        <v>388</v>
      </c>
      <c r="C140" s="45" t="s">
        <v>10</v>
      </c>
      <c r="D140" s="45" t="s">
        <v>627</v>
      </c>
      <c r="E140" s="45" t="s">
        <v>644</v>
      </c>
    </row>
    <row r="141" spans="1:5" x14ac:dyDescent="0.2">
      <c r="A141" s="45" t="s">
        <v>389</v>
      </c>
      <c r="B141" s="45" t="s">
        <v>390</v>
      </c>
      <c r="C141" s="45" t="s">
        <v>10</v>
      </c>
      <c r="D141" s="45" t="s">
        <v>627</v>
      </c>
      <c r="E141" s="45" t="s">
        <v>644</v>
      </c>
    </row>
    <row r="142" spans="1:5" x14ac:dyDescent="0.2">
      <c r="A142" s="45" t="s">
        <v>391</v>
      </c>
      <c r="B142" s="45" t="s">
        <v>392</v>
      </c>
      <c r="C142" s="45" t="s">
        <v>10</v>
      </c>
      <c r="D142" s="45" t="s">
        <v>627</v>
      </c>
      <c r="E142" s="45" t="s">
        <v>644</v>
      </c>
    </row>
    <row r="143" spans="1:5" x14ac:dyDescent="0.2">
      <c r="A143" s="45" t="s">
        <v>393</v>
      </c>
      <c r="B143" s="45" t="s">
        <v>394</v>
      </c>
      <c r="C143" s="45" t="s">
        <v>10</v>
      </c>
      <c r="D143" s="45" t="s">
        <v>627</v>
      </c>
      <c r="E143" s="45" t="s">
        <v>644</v>
      </c>
    </row>
    <row r="144" spans="1:5" x14ac:dyDescent="0.2">
      <c r="A144" s="45" t="s">
        <v>395</v>
      </c>
      <c r="B144" s="45" t="s">
        <v>396</v>
      </c>
      <c r="C144" s="45" t="s">
        <v>10</v>
      </c>
      <c r="D144" s="45" t="s">
        <v>627</v>
      </c>
      <c r="E144" s="45" t="s">
        <v>644</v>
      </c>
    </row>
    <row r="145" spans="1:5" x14ac:dyDescent="0.2">
      <c r="A145" s="45" t="s">
        <v>397</v>
      </c>
      <c r="B145" s="45" t="s">
        <v>398</v>
      </c>
      <c r="C145" s="45" t="s">
        <v>10</v>
      </c>
      <c r="D145" s="45" t="s">
        <v>627</v>
      </c>
      <c r="E145" s="45" t="s">
        <v>644</v>
      </c>
    </row>
    <row r="146" spans="1:5" x14ac:dyDescent="0.2">
      <c r="A146" s="45" t="s">
        <v>399</v>
      </c>
      <c r="B146" s="45" t="s">
        <v>400</v>
      </c>
      <c r="C146" s="45" t="s">
        <v>10</v>
      </c>
      <c r="D146" s="45" t="s">
        <v>627</v>
      </c>
      <c r="E146" s="45" t="s">
        <v>644</v>
      </c>
    </row>
    <row r="147" spans="1:5" x14ac:dyDescent="0.2">
      <c r="A147" s="45" t="s">
        <v>401</v>
      </c>
      <c r="B147" s="45" t="s">
        <v>402</v>
      </c>
      <c r="C147" s="45" t="s">
        <v>10</v>
      </c>
      <c r="D147" s="45" t="s">
        <v>627</v>
      </c>
      <c r="E147" s="45" t="s">
        <v>644</v>
      </c>
    </row>
    <row r="148" spans="1:5" x14ac:dyDescent="0.2">
      <c r="A148" s="45" t="s">
        <v>403</v>
      </c>
      <c r="B148" s="45" t="s">
        <v>404</v>
      </c>
      <c r="C148" s="45" t="s">
        <v>10</v>
      </c>
      <c r="D148" s="45" t="s">
        <v>627</v>
      </c>
      <c r="E148" s="45" t="s">
        <v>644</v>
      </c>
    </row>
    <row r="149" spans="1:5" x14ac:dyDescent="0.2">
      <c r="A149" s="45" t="s">
        <v>405</v>
      </c>
      <c r="B149" s="45" t="s">
        <v>406</v>
      </c>
      <c r="C149" s="45" t="s">
        <v>10</v>
      </c>
      <c r="D149" s="45" t="s">
        <v>627</v>
      </c>
      <c r="E149" s="45" t="s">
        <v>644</v>
      </c>
    </row>
    <row r="150" spans="1:5" x14ac:dyDescent="0.2">
      <c r="A150" s="45" t="s">
        <v>407</v>
      </c>
      <c r="B150" s="45" t="s">
        <v>408</v>
      </c>
      <c r="C150" s="45" t="s">
        <v>10</v>
      </c>
      <c r="D150" s="45" t="s">
        <v>627</v>
      </c>
      <c r="E150" s="45" t="s">
        <v>644</v>
      </c>
    </row>
    <row r="151" spans="1:5" x14ac:dyDescent="0.2">
      <c r="A151" s="45" t="s">
        <v>409</v>
      </c>
      <c r="B151" s="45" t="s">
        <v>410</v>
      </c>
      <c r="C151" s="45" t="s">
        <v>10</v>
      </c>
      <c r="D151" s="45" t="s">
        <v>627</v>
      </c>
      <c r="E151" s="45" t="s">
        <v>644</v>
      </c>
    </row>
    <row r="152" spans="1:5" x14ac:dyDescent="0.2">
      <c r="A152" s="45" t="s">
        <v>411</v>
      </c>
      <c r="B152" s="45" t="s">
        <v>412</v>
      </c>
      <c r="C152" s="45" t="s">
        <v>10</v>
      </c>
      <c r="D152" s="45" t="s">
        <v>627</v>
      </c>
      <c r="E152" s="45" t="s">
        <v>644</v>
      </c>
    </row>
    <row r="153" spans="1:5" x14ac:dyDescent="0.2">
      <c r="A153" s="45" t="s">
        <v>413</v>
      </c>
      <c r="B153" s="45" t="s">
        <v>414</v>
      </c>
      <c r="C153" s="45" t="s">
        <v>10</v>
      </c>
      <c r="D153" s="45" t="s">
        <v>627</v>
      </c>
      <c r="E153" s="45" t="s">
        <v>644</v>
      </c>
    </row>
    <row r="154" spans="1:5" x14ac:dyDescent="0.2">
      <c r="A154" s="45" t="s">
        <v>415</v>
      </c>
      <c r="B154" s="45" t="s">
        <v>416</v>
      </c>
      <c r="C154" s="45" t="s">
        <v>10</v>
      </c>
      <c r="D154" s="45" t="s">
        <v>627</v>
      </c>
      <c r="E154" s="45" t="s">
        <v>644</v>
      </c>
    </row>
    <row r="155" spans="1:5" x14ac:dyDescent="0.2">
      <c r="A155" s="45" t="s">
        <v>417</v>
      </c>
      <c r="B155" s="45" t="s">
        <v>418</v>
      </c>
      <c r="C155" s="45" t="s">
        <v>10</v>
      </c>
      <c r="D155" s="45" t="s">
        <v>627</v>
      </c>
      <c r="E155" s="45" t="s">
        <v>644</v>
      </c>
    </row>
    <row r="156" spans="1:5" x14ac:dyDescent="0.2">
      <c r="A156" s="45" t="s">
        <v>419</v>
      </c>
      <c r="B156" s="45" t="s">
        <v>420</v>
      </c>
      <c r="C156" s="45" t="s">
        <v>10</v>
      </c>
      <c r="D156" s="45" t="s">
        <v>627</v>
      </c>
      <c r="E156" s="45" t="s">
        <v>644</v>
      </c>
    </row>
    <row r="157" spans="1:5" x14ac:dyDescent="0.2">
      <c r="A157" s="45" t="s">
        <v>421</v>
      </c>
      <c r="B157" s="45" t="s">
        <v>422</v>
      </c>
      <c r="C157" s="45" t="s">
        <v>10</v>
      </c>
      <c r="D157" s="45" t="s">
        <v>627</v>
      </c>
      <c r="E157" s="45" t="s">
        <v>644</v>
      </c>
    </row>
    <row r="158" spans="1:5" x14ac:dyDescent="0.2">
      <c r="A158" s="45" t="s">
        <v>423</v>
      </c>
      <c r="B158" s="45" t="s">
        <v>424</v>
      </c>
      <c r="C158" s="45" t="s">
        <v>10</v>
      </c>
      <c r="D158" s="45" t="s">
        <v>627</v>
      </c>
      <c r="E158" s="45" t="s">
        <v>644</v>
      </c>
    </row>
    <row r="159" spans="1:5" x14ac:dyDescent="0.2">
      <c r="A159" s="45" t="s">
        <v>425</v>
      </c>
      <c r="B159" s="45" t="s">
        <v>426</v>
      </c>
      <c r="C159" s="45" t="s">
        <v>10</v>
      </c>
      <c r="D159" s="45" t="s">
        <v>627</v>
      </c>
      <c r="E159" s="45" t="s">
        <v>644</v>
      </c>
    </row>
    <row r="160" spans="1:5" x14ac:dyDescent="0.2">
      <c r="A160" s="45" t="s">
        <v>427</v>
      </c>
      <c r="B160" s="45" t="s">
        <v>428</v>
      </c>
      <c r="C160" s="45" t="s">
        <v>10</v>
      </c>
      <c r="D160" s="45" t="s">
        <v>627</v>
      </c>
      <c r="E160" s="45" t="s">
        <v>644</v>
      </c>
    </row>
    <row r="161" spans="1:5" x14ac:dyDescent="0.2">
      <c r="A161" s="45" t="s">
        <v>429</v>
      </c>
      <c r="B161" s="45" t="s">
        <v>430</v>
      </c>
      <c r="C161" s="45" t="s">
        <v>10</v>
      </c>
      <c r="D161" s="45" t="s">
        <v>627</v>
      </c>
      <c r="E161" s="45" t="s">
        <v>644</v>
      </c>
    </row>
    <row r="162" spans="1:5" x14ac:dyDescent="0.2">
      <c r="A162" s="45" t="s">
        <v>431</v>
      </c>
      <c r="B162" s="45" t="s">
        <v>432</v>
      </c>
      <c r="C162" s="45" t="s">
        <v>10</v>
      </c>
      <c r="D162" s="45" t="s">
        <v>627</v>
      </c>
      <c r="E162" s="45" t="s">
        <v>644</v>
      </c>
    </row>
    <row r="163" spans="1:5" x14ac:dyDescent="0.2">
      <c r="A163" s="45" t="s">
        <v>433</v>
      </c>
      <c r="B163" s="45" t="s">
        <v>434</v>
      </c>
      <c r="C163" s="45" t="s">
        <v>10</v>
      </c>
      <c r="D163" s="45" t="s">
        <v>627</v>
      </c>
      <c r="E163" s="45" t="s">
        <v>644</v>
      </c>
    </row>
    <row r="164" spans="1:5" x14ac:dyDescent="0.2">
      <c r="A164" s="45" t="s">
        <v>435</v>
      </c>
      <c r="B164" s="45" t="s">
        <v>436</v>
      </c>
      <c r="C164" s="45" t="s">
        <v>10</v>
      </c>
      <c r="D164" s="45" t="s">
        <v>627</v>
      </c>
      <c r="E164" s="45" t="s">
        <v>644</v>
      </c>
    </row>
    <row r="165" spans="1:5" x14ac:dyDescent="0.2">
      <c r="A165" s="45" t="s">
        <v>437</v>
      </c>
      <c r="B165" s="45" t="s">
        <v>438</v>
      </c>
      <c r="C165" s="45" t="s">
        <v>10</v>
      </c>
      <c r="D165" s="45" t="s">
        <v>627</v>
      </c>
      <c r="E165" s="45" t="s">
        <v>644</v>
      </c>
    </row>
    <row r="166" spans="1:5" x14ac:dyDescent="0.2">
      <c r="A166" s="45" t="s">
        <v>439</v>
      </c>
      <c r="B166" s="45" t="s">
        <v>440</v>
      </c>
      <c r="C166" s="45" t="s">
        <v>10</v>
      </c>
      <c r="D166" s="45" t="s">
        <v>627</v>
      </c>
      <c r="E166" s="45" t="s">
        <v>644</v>
      </c>
    </row>
    <row r="167" spans="1:5" x14ac:dyDescent="0.2">
      <c r="A167" s="45" t="s">
        <v>441</v>
      </c>
      <c r="B167" s="45" t="s">
        <v>442</v>
      </c>
      <c r="C167" s="45" t="s">
        <v>10</v>
      </c>
      <c r="D167" s="45" t="s">
        <v>627</v>
      </c>
      <c r="E167" s="45" t="s">
        <v>644</v>
      </c>
    </row>
    <row r="168" spans="1:5" x14ac:dyDescent="0.2">
      <c r="A168" s="45" t="s">
        <v>443</v>
      </c>
      <c r="B168" s="45" t="s">
        <v>444</v>
      </c>
      <c r="C168" s="45" t="s">
        <v>10</v>
      </c>
      <c r="D168" s="45" t="s">
        <v>627</v>
      </c>
      <c r="E168" s="45" t="s">
        <v>644</v>
      </c>
    </row>
    <row r="169" spans="1:5" x14ac:dyDescent="0.2">
      <c r="A169" s="45" t="s">
        <v>445</v>
      </c>
      <c r="B169" s="45" t="s">
        <v>446</v>
      </c>
      <c r="C169" s="45" t="s">
        <v>10</v>
      </c>
      <c r="D169" s="45" t="s">
        <v>627</v>
      </c>
      <c r="E169" s="45" t="s">
        <v>644</v>
      </c>
    </row>
    <row r="170" spans="1:5" x14ac:dyDescent="0.2">
      <c r="A170" s="45" t="s">
        <v>447</v>
      </c>
      <c r="B170" s="45" t="s">
        <v>448</v>
      </c>
      <c r="C170" s="45" t="s">
        <v>10</v>
      </c>
      <c r="D170" s="45" t="s">
        <v>627</v>
      </c>
      <c r="E170" s="45" t="s">
        <v>644</v>
      </c>
    </row>
    <row r="171" spans="1:5" x14ac:dyDescent="0.2">
      <c r="A171" s="45" t="s">
        <v>449</v>
      </c>
      <c r="B171" s="45" t="s">
        <v>450</v>
      </c>
      <c r="C171" s="45" t="s">
        <v>10</v>
      </c>
      <c r="D171" s="45" t="s">
        <v>627</v>
      </c>
      <c r="E171" s="45" t="s">
        <v>644</v>
      </c>
    </row>
    <row r="172" spans="1:5" x14ac:dyDescent="0.2">
      <c r="A172" s="45" t="s">
        <v>451</v>
      </c>
      <c r="B172" s="45" t="s">
        <v>452</v>
      </c>
      <c r="C172" s="45" t="s">
        <v>10</v>
      </c>
      <c r="D172" s="45" t="s">
        <v>627</v>
      </c>
      <c r="E172" s="45" t="s">
        <v>644</v>
      </c>
    </row>
    <row r="173" spans="1:5" x14ac:dyDescent="0.2">
      <c r="A173" s="45" t="s">
        <v>453</v>
      </c>
      <c r="B173" s="45" t="s">
        <v>454</v>
      </c>
      <c r="C173" s="45" t="s">
        <v>10</v>
      </c>
      <c r="D173" s="45" t="s">
        <v>627</v>
      </c>
      <c r="E173" s="45" t="s">
        <v>644</v>
      </c>
    </row>
    <row r="174" spans="1:5" x14ac:dyDescent="0.2">
      <c r="A174" s="45" t="s">
        <v>455</v>
      </c>
      <c r="B174" s="45" t="s">
        <v>456</v>
      </c>
      <c r="C174" s="45" t="s">
        <v>10</v>
      </c>
      <c r="D174" s="45" t="s">
        <v>627</v>
      </c>
      <c r="E174" s="45" t="s">
        <v>644</v>
      </c>
    </row>
    <row r="175" spans="1:5" x14ac:dyDescent="0.2">
      <c r="A175" s="45" t="s">
        <v>457</v>
      </c>
      <c r="B175" s="45" t="s">
        <v>458</v>
      </c>
      <c r="C175" s="45" t="s">
        <v>10</v>
      </c>
      <c r="D175" s="45" t="s">
        <v>627</v>
      </c>
      <c r="E175" s="45" t="s">
        <v>644</v>
      </c>
    </row>
    <row r="176" spans="1:5" x14ac:dyDescent="0.2">
      <c r="A176" s="45" t="s">
        <v>459</v>
      </c>
      <c r="B176" s="45" t="s">
        <v>460</v>
      </c>
      <c r="C176" s="45" t="s">
        <v>10</v>
      </c>
      <c r="D176" s="45" t="s">
        <v>627</v>
      </c>
      <c r="E176" s="45" t="s">
        <v>644</v>
      </c>
    </row>
    <row r="177" spans="1:5" x14ac:dyDescent="0.2">
      <c r="A177" s="45" t="s">
        <v>461</v>
      </c>
      <c r="B177" s="45" t="s">
        <v>462</v>
      </c>
      <c r="C177" s="45" t="s">
        <v>10</v>
      </c>
      <c r="D177" s="45" t="s">
        <v>627</v>
      </c>
      <c r="E177" s="45" t="s">
        <v>644</v>
      </c>
    </row>
    <row r="178" spans="1:5" x14ac:dyDescent="0.2">
      <c r="A178" s="45" t="s">
        <v>463</v>
      </c>
      <c r="B178" s="45" t="s">
        <v>464</v>
      </c>
      <c r="C178" s="45" t="s">
        <v>10</v>
      </c>
      <c r="D178" s="45" t="s">
        <v>627</v>
      </c>
      <c r="E178" s="45" t="s">
        <v>644</v>
      </c>
    </row>
    <row r="179" spans="1:5" x14ac:dyDescent="0.2">
      <c r="A179" s="45" t="s">
        <v>465</v>
      </c>
      <c r="B179" s="45" t="s">
        <v>466</v>
      </c>
      <c r="C179" s="45" t="s">
        <v>10</v>
      </c>
      <c r="D179" s="45" t="s">
        <v>627</v>
      </c>
      <c r="E179" s="45" t="s">
        <v>644</v>
      </c>
    </row>
    <row r="180" spans="1:5" x14ac:dyDescent="0.2">
      <c r="A180" s="45" t="s">
        <v>467</v>
      </c>
      <c r="B180" s="45" t="s">
        <v>468</v>
      </c>
      <c r="C180" s="45" t="s">
        <v>10</v>
      </c>
      <c r="D180" s="45" t="s">
        <v>627</v>
      </c>
      <c r="E180" s="45" t="s">
        <v>644</v>
      </c>
    </row>
    <row r="181" spans="1:5" x14ac:dyDescent="0.2">
      <c r="A181" s="45" t="s">
        <v>469</v>
      </c>
      <c r="B181" s="45" t="s">
        <v>470</v>
      </c>
      <c r="C181" s="45" t="s">
        <v>10</v>
      </c>
      <c r="D181" s="45" t="s">
        <v>627</v>
      </c>
      <c r="E181" s="45" t="s">
        <v>644</v>
      </c>
    </row>
    <row r="182" spans="1:5" x14ac:dyDescent="0.2">
      <c r="A182" s="45" t="s">
        <v>471</v>
      </c>
      <c r="B182" s="45" t="s">
        <v>472</v>
      </c>
      <c r="C182" s="45" t="s">
        <v>10</v>
      </c>
      <c r="D182" s="45" t="s">
        <v>627</v>
      </c>
      <c r="E182" s="45" t="s">
        <v>644</v>
      </c>
    </row>
    <row r="183" spans="1:5" x14ac:dyDescent="0.2">
      <c r="A183" s="45" t="s">
        <v>473</v>
      </c>
      <c r="B183" s="45" t="s">
        <v>474</v>
      </c>
      <c r="C183" s="45" t="s">
        <v>10</v>
      </c>
      <c r="D183" s="45" t="s">
        <v>627</v>
      </c>
      <c r="E183" s="45" t="s">
        <v>644</v>
      </c>
    </row>
    <row r="184" spans="1:5" x14ac:dyDescent="0.2">
      <c r="A184" s="45" t="s">
        <v>475</v>
      </c>
      <c r="B184" s="45" t="s">
        <v>476</v>
      </c>
      <c r="C184" s="45" t="s">
        <v>10</v>
      </c>
      <c r="D184" s="45" t="s">
        <v>627</v>
      </c>
      <c r="E184" s="45" t="s">
        <v>645</v>
      </c>
    </row>
    <row r="185" spans="1:5" x14ac:dyDescent="0.2">
      <c r="A185" s="45" t="s">
        <v>477</v>
      </c>
      <c r="B185" s="45" t="s">
        <v>478</v>
      </c>
      <c r="C185" s="45" t="s">
        <v>10</v>
      </c>
      <c r="D185" s="45" t="s">
        <v>627</v>
      </c>
      <c r="E185" s="45" t="s">
        <v>645</v>
      </c>
    </row>
    <row r="186" spans="1:5" x14ac:dyDescent="0.2">
      <c r="A186" s="45" t="s">
        <v>479</v>
      </c>
      <c r="B186" s="45" t="s">
        <v>480</v>
      </c>
      <c r="C186" s="45" t="s">
        <v>10</v>
      </c>
      <c r="D186" s="45" t="s">
        <v>627</v>
      </c>
      <c r="E186" s="45" t="s">
        <v>645</v>
      </c>
    </row>
    <row r="187" spans="1:5" x14ac:dyDescent="0.2">
      <c r="A187" s="45" t="s">
        <v>481</v>
      </c>
      <c r="B187" s="45" t="s">
        <v>482</v>
      </c>
      <c r="C187" s="45" t="s">
        <v>10</v>
      </c>
      <c r="D187" s="45" t="s">
        <v>627</v>
      </c>
      <c r="E187" s="45" t="s">
        <v>645</v>
      </c>
    </row>
    <row r="188" spans="1:5" x14ac:dyDescent="0.2">
      <c r="A188" s="45" t="s">
        <v>483</v>
      </c>
      <c r="B188" s="45" t="s">
        <v>484</v>
      </c>
      <c r="C188" s="45" t="s">
        <v>10</v>
      </c>
      <c r="D188" s="45" t="s">
        <v>627</v>
      </c>
      <c r="E188" s="45" t="s">
        <v>645</v>
      </c>
    </row>
    <row r="189" spans="1:5" x14ac:dyDescent="0.2">
      <c r="A189" s="45" t="s">
        <v>485</v>
      </c>
      <c r="B189" s="45" t="s">
        <v>486</v>
      </c>
      <c r="C189" s="45" t="s">
        <v>10</v>
      </c>
      <c r="D189" s="45" t="s">
        <v>627</v>
      </c>
      <c r="E189" s="45" t="s">
        <v>645</v>
      </c>
    </row>
    <row r="190" spans="1:5" x14ac:dyDescent="0.2">
      <c r="A190" s="45" t="s">
        <v>487</v>
      </c>
      <c r="B190" s="45" t="s">
        <v>488</v>
      </c>
      <c r="C190" s="45" t="s">
        <v>10</v>
      </c>
      <c r="D190" s="45" t="s">
        <v>627</v>
      </c>
      <c r="E190" s="45" t="s">
        <v>645</v>
      </c>
    </row>
    <row r="191" spans="1:5" x14ac:dyDescent="0.2">
      <c r="A191" s="45" t="s">
        <v>489</v>
      </c>
      <c r="B191" s="45" t="s">
        <v>490</v>
      </c>
      <c r="C191" s="45" t="s">
        <v>10</v>
      </c>
      <c r="D191" s="45" t="s">
        <v>627</v>
      </c>
      <c r="E191" s="45" t="s">
        <v>645</v>
      </c>
    </row>
    <row r="192" spans="1:5" x14ac:dyDescent="0.2">
      <c r="A192" s="45" t="s">
        <v>491</v>
      </c>
      <c r="B192" s="45" t="s">
        <v>492</v>
      </c>
      <c r="C192" s="45" t="s">
        <v>10</v>
      </c>
      <c r="D192" s="45" t="s">
        <v>627</v>
      </c>
      <c r="E192" s="45" t="s">
        <v>645</v>
      </c>
    </row>
    <row r="193" spans="1:5" x14ac:dyDescent="0.2">
      <c r="A193" s="45" t="s">
        <v>493</v>
      </c>
      <c r="B193" s="45" t="s">
        <v>494</v>
      </c>
      <c r="C193" s="45" t="s">
        <v>10</v>
      </c>
      <c r="D193" s="45" t="s">
        <v>627</v>
      </c>
      <c r="E193" s="45" t="s">
        <v>646</v>
      </c>
    </row>
    <row r="194" spans="1:5" x14ac:dyDescent="0.2">
      <c r="A194" s="45" t="s">
        <v>495</v>
      </c>
      <c r="B194" s="45" t="s">
        <v>496</v>
      </c>
      <c r="C194" s="45" t="s">
        <v>10</v>
      </c>
      <c r="D194" s="45" t="s">
        <v>627</v>
      </c>
      <c r="E194" s="45" t="s">
        <v>646</v>
      </c>
    </row>
    <row r="195" spans="1:5" x14ac:dyDescent="0.2">
      <c r="A195" s="45" t="s">
        <v>497</v>
      </c>
      <c r="B195" s="45" t="s">
        <v>498</v>
      </c>
      <c r="C195" s="45" t="s">
        <v>10</v>
      </c>
      <c r="D195" s="45" t="s">
        <v>627</v>
      </c>
      <c r="E195" s="45" t="s">
        <v>647</v>
      </c>
    </row>
    <row r="196" spans="1:5" x14ac:dyDescent="0.2">
      <c r="A196" s="45" t="s">
        <v>38</v>
      </c>
      <c r="B196" s="45" t="s">
        <v>39</v>
      </c>
      <c r="C196" s="45" t="s">
        <v>10</v>
      </c>
      <c r="D196" s="45" t="s">
        <v>627</v>
      </c>
      <c r="E196" s="45" t="s">
        <v>647</v>
      </c>
    </row>
    <row r="197" spans="1:5" x14ac:dyDescent="0.2">
      <c r="A197" s="45" t="s">
        <v>499</v>
      </c>
      <c r="B197" s="45" t="s">
        <v>500</v>
      </c>
      <c r="C197" s="45" t="s">
        <v>10</v>
      </c>
      <c r="D197" s="45" t="s">
        <v>627</v>
      </c>
      <c r="E197" s="45" t="s">
        <v>647</v>
      </c>
    </row>
    <row r="198" spans="1:5" x14ac:dyDescent="0.2">
      <c r="A198" s="45" t="s">
        <v>501</v>
      </c>
      <c r="B198" s="45" t="s">
        <v>502</v>
      </c>
      <c r="C198" s="45" t="s">
        <v>10</v>
      </c>
      <c r="D198" s="45" t="s">
        <v>627</v>
      </c>
      <c r="E198" s="45" t="s">
        <v>647</v>
      </c>
    </row>
    <row r="199" spans="1:5" x14ac:dyDescent="0.2">
      <c r="A199" s="45" t="s">
        <v>503</v>
      </c>
      <c r="B199" s="45" t="s">
        <v>504</v>
      </c>
      <c r="C199" s="45" t="s">
        <v>10</v>
      </c>
      <c r="D199" s="45" t="s">
        <v>627</v>
      </c>
      <c r="E199" s="45" t="s">
        <v>647</v>
      </c>
    </row>
    <row r="200" spans="1:5" x14ac:dyDescent="0.2">
      <c r="A200" s="45" t="s">
        <v>505</v>
      </c>
      <c r="B200" s="45" t="s">
        <v>506</v>
      </c>
      <c r="C200" s="45" t="s">
        <v>10</v>
      </c>
      <c r="D200" s="45" t="s">
        <v>627</v>
      </c>
      <c r="E200" s="45" t="s">
        <v>647</v>
      </c>
    </row>
    <row r="201" spans="1:5" x14ac:dyDescent="0.2">
      <c r="A201" s="45" t="s">
        <v>507</v>
      </c>
      <c r="B201" s="45" t="s">
        <v>508</v>
      </c>
      <c r="C201" s="45" t="s">
        <v>10</v>
      </c>
      <c r="D201" s="45" t="s">
        <v>627</v>
      </c>
      <c r="E201" s="45" t="s">
        <v>647</v>
      </c>
    </row>
    <row r="202" spans="1:5" x14ac:dyDescent="0.2">
      <c r="A202" s="45" t="s">
        <v>509</v>
      </c>
      <c r="B202" s="45" t="s">
        <v>510</v>
      </c>
      <c r="C202" s="45" t="s">
        <v>10</v>
      </c>
      <c r="D202" s="45" t="s">
        <v>627</v>
      </c>
      <c r="E202" s="45" t="s">
        <v>647</v>
      </c>
    </row>
    <row r="203" spans="1:5" x14ac:dyDescent="0.2">
      <c r="A203" s="45" t="s">
        <v>511</v>
      </c>
      <c r="B203" s="45" t="s">
        <v>512</v>
      </c>
      <c r="C203" s="45" t="s">
        <v>10</v>
      </c>
      <c r="D203" s="45" t="s">
        <v>627</v>
      </c>
      <c r="E203" s="45" t="s">
        <v>647</v>
      </c>
    </row>
    <row r="204" spans="1:5" x14ac:dyDescent="0.2">
      <c r="A204" s="45" t="s">
        <v>513</v>
      </c>
      <c r="B204" s="45" t="s">
        <v>514</v>
      </c>
      <c r="C204" s="45" t="s">
        <v>10</v>
      </c>
      <c r="D204" s="45" t="s">
        <v>627</v>
      </c>
      <c r="E204" s="45" t="s">
        <v>647</v>
      </c>
    </row>
    <row r="205" spans="1:5" x14ac:dyDescent="0.2">
      <c r="A205" s="45" t="s">
        <v>515</v>
      </c>
      <c r="B205" s="45" t="s">
        <v>516</v>
      </c>
      <c r="C205" s="45" t="s">
        <v>10</v>
      </c>
      <c r="D205" s="45" t="s">
        <v>627</v>
      </c>
      <c r="E205" s="45" t="s">
        <v>647</v>
      </c>
    </row>
    <row r="206" spans="1:5" x14ac:dyDescent="0.2">
      <c r="A206" s="45" t="s">
        <v>517</v>
      </c>
      <c r="B206" s="45" t="s">
        <v>518</v>
      </c>
      <c r="C206" s="45" t="s">
        <v>10</v>
      </c>
      <c r="D206" s="45" t="s">
        <v>627</v>
      </c>
      <c r="E206" s="45" t="s">
        <v>647</v>
      </c>
    </row>
    <row r="207" spans="1:5" x14ac:dyDescent="0.2">
      <c r="A207" s="45" t="s">
        <v>36</v>
      </c>
      <c r="B207" s="45" t="s">
        <v>37</v>
      </c>
      <c r="C207" s="45" t="s">
        <v>10</v>
      </c>
      <c r="D207" s="45" t="s">
        <v>627</v>
      </c>
      <c r="E207" s="45" t="s">
        <v>648</v>
      </c>
    </row>
    <row r="208" spans="1:5" x14ac:dyDescent="0.2">
      <c r="A208" s="45" t="s">
        <v>42</v>
      </c>
      <c r="B208" s="45" t="s">
        <v>43</v>
      </c>
      <c r="C208" s="45" t="s">
        <v>10</v>
      </c>
      <c r="D208" s="45" t="s">
        <v>627</v>
      </c>
      <c r="E208" s="45" t="s">
        <v>649</v>
      </c>
    </row>
    <row r="209" spans="1:5" x14ac:dyDescent="0.2">
      <c r="A209" s="45" t="s">
        <v>551</v>
      </c>
      <c r="B209" s="45" t="s">
        <v>552</v>
      </c>
      <c r="C209" s="45" t="s">
        <v>10</v>
      </c>
      <c r="D209" s="45" t="s">
        <v>627</v>
      </c>
      <c r="E209" s="45" t="s">
        <v>649</v>
      </c>
    </row>
    <row r="210" spans="1:5" x14ac:dyDescent="0.2">
      <c r="A210" s="45" t="s">
        <v>553</v>
      </c>
      <c r="B210" s="45" t="s">
        <v>554</v>
      </c>
      <c r="C210" s="45" t="s">
        <v>10</v>
      </c>
      <c r="D210" s="45" t="s">
        <v>627</v>
      </c>
      <c r="E210" s="45" t="s">
        <v>649</v>
      </c>
    </row>
    <row r="211" spans="1:5" x14ac:dyDescent="0.2">
      <c r="A211" s="45" t="s">
        <v>555</v>
      </c>
      <c r="B211" s="45" t="s">
        <v>556</v>
      </c>
      <c r="C211" s="45" t="s">
        <v>10</v>
      </c>
      <c r="D211" s="45" t="s">
        <v>627</v>
      </c>
      <c r="E211" s="45" t="s">
        <v>649</v>
      </c>
    </row>
    <row r="212" spans="1:5" x14ac:dyDescent="0.2">
      <c r="A212" s="45" t="s">
        <v>557</v>
      </c>
      <c r="B212" s="45" t="s">
        <v>558</v>
      </c>
      <c r="C212" s="45" t="s">
        <v>10</v>
      </c>
      <c r="D212" s="45" t="s">
        <v>627</v>
      </c>
      <c r="E212" s="45" t="s">
        <v>649</v>
      </c>
    </row>
    <row r="213" spans="1:5" x14ac:dyDescent="0.2">
      <c r="A213" s="45" t="s">
        <v>559</v>
      </c>
      <c r="B213" s="45" t="s">
        <v>560</v>
      </c>
      <c r="C213" s="45" t="s">
        <v>10</v>
      </c>
      <c r="D213" s="45" t="s">
        <v>627</v>
      </c>
      <c r="E213" s="45" t="s">
        <v>649</v>
      </c>
    </row>
    <row r="214" spans="1:5" x14ac:dyDescent="0.2">
      <c r="A214" s="45" t="s">
        <v>561</v>
      </c>
      <c r="B214" s="45" t="s">
        <v>562</v>
      </c>
      <c r="C214" s="45" t="s">
        <v>10</v>
      </c>
      <c r="D214" s="45" t="s">
        <v>627</v>
      </c>
      <c r="E214" s="45" t="s">
        <v>639</v>
      </c>
    </row>
    <row r="215" spans="1:5" x14ac:dyDescent="0.2">
      <c r="A215" s="45" t="s">
        <v>563</v>
      </c>
      <c r="B215" s="45" t="s">
        <v>564</v>
      </c>
      <c r="C215" s="45" t="s">
        <v>10</v>
      </c>
      <c r="D215" s="45" t="s">
        <v>627</v>
      </c>
      <c r="E215" s="45" t="s">
        <v>639</v>
      </c>
    </row>
    <row r="216" spans="1:5" x14ac:dyDescent="0.2">
      <c r="A216" s="45" t="s">
        <v>565</v>
      </c>
      <c r="B216" s="45" t="s">
        <v>566</v>
      </c>
      <c r="C216" s="45" t="s">
        <v>10</v>
      </c>
      <c r="D216" s="45" t="s">
        <v>627</v>
      </c>
      <c r="E216" s="45" t="s">
        <v>649</v>
      </c>
    </row>
    <row r="217" spans="1:5" x14ac:dyDescent="0.2">
      <c r="A217" s="45" t="s">
        <v>567</v>
      </c>
      <c r="B217" s="45" t="s">
        <v>568</v>
      </c>
      <c r="C217" s="45" t="s">
        <v>16</v>
      </c>
      <c r="D217" s="45" t="s">
        <v>628</v>
      </c>
      <c r="E217" s="45" t="s">
        <v>639</v>
      </c>
    </row>
    <row r="218" spans="1:5" x14ac:dyDescent="0.2">
      <c r="A218" s="45" t="s">
        <v>569</v>
      </c>
      <c r="B218" s="45" t="s">
        <v>570</v>
      </c>
      <c r="C218" s="45" t="s">
        <v>16</v>
      </c>
      <c r="D218" s="45" t="s">
        <v>628</v>
      </c>
      <c r="E218" s="45" t="s">
        <v>639</v>
      </c>
    </row>
    <row r="219" spans="1:5" x14ac:dyDescent="0.2">
      <c r="A219" s="45" t="s">
        <v>571</v>
      </c>
      <c r="B219" s="45" t="s">
        <v>572</v>
      </c>
      <c r="C219" s="45" t="s">
        <v>16</v>
      </c>
      <c r="D219" s="45" t="s">
        <v>628</v>
      </c>
      <c r="E219" s="45" t="s">
        <v>639</v>
      </c>
    </row>
    <row r="220" spans="1:5" x14ac:dyDescent="0.2">
      <c r="A220" s="45" t="s">
        <v>573</v>
      </c>
      <c r="B220" s="45" t="s">
        <v>574</v>
      </c>
      <c r="C220" s="45" t="s">
        <v>16</v>
      </c>
      <c r="D220" s="45" t="s">
        <v>628</v>
      </c>
      <c r="E220" s="45" t="s">
        <v>639</v>
      </c>
    </row>
    <row r="221" spans="1:5" x14ac:dyDescent="0.2">
      <c r="A221" s="45" t="s">
        <v>575</v>
      </c>
      <c r="B221" s="45" t="s">
        <v>576</v>
      </c>
      <c r="C221" s="45" t="s">
        <v>16</v>
      </c>
      <c r="D221" s="45" t="s">
        <v>628</v>
      </c>
      <c r="E221" s="45" t="s">
        <v>639</v>
      </c>
    </row>
    <row r="222" spans="1:5" x14ac:dyDescent="0.2">
      <c r="A222" s="45" t="s">
        <v>577</v>
      </c>
      <c r="B222" s="45" t="s">
        <v>578</v>
      </c>
      <c r="C222" s="45" t="s">
        <v>16</v>
      </c>
      <c r="D222" s="45" t="s">
        <v>628</v>
      </c>
      <c r="E222" s="45" t="s">
        <v>639</v>
      </c>
    </row>
    <row r="223" spans="1:5" x14ac:dyDescent="0.2">
      <c r="A223" s="45" t="s">
        <v>579</v>
      </c>
      <c r="B223" s="45" t="s">
        <v>580</v>
      </c>
      <c r="C223" s="45" t="s">
        <v>16</v>
      </c>
      <c r="D223" s="45" t="s">
        <v>628</v>
      </c>
      <c r="E223" s="45" t="s">
        <v>639</v>
      </c>
    </row>
    <row r="224" spans="1:5" x14ac:dyDescent="0.2">
      <c r="A224" s="45" t="s">
        <v>581</v>
      </c>
      <c r="B224" s="45" t="s">
        <v>582</v>
      </c>
      <c r="C224" s="45" t="s">
        <v>16</v>
      </c>
      <c r="D224" s="45" t="s">
        <v>628</v>
      </c>
      <c r="E224" s="45" t="s">
        <v>639</v>
      </c>
    </row>
    <row r="225" spans="1:5" x14ac:dyDescent="0.2">
      <c r="A225" s="45" t="s">
        <v>583</v>
      </c>
      <c r="B225" s="45" t="s">
        <v>584</v>
      </c>
      <c r="C225" s="45" t="s">
        <v>16</v>
      </c>
      <c r="D225" s="45" t="s">
        <v>628</v>
      </c>
      <c r="E225" s="45" t="s">
        <v>639</v>
      </c>
    </row>
    <row r="226" spans="1:5" x14ac:dyDescent="0.2">
      <c r="A226" s="45" t="s">
        <v>585</v>
      </c>
      <c r="B226" s="45" t="s">
        <v>586</v>
      </c>
      <c r="C226" s="45" t="s">
        <v>16</v>
      </c>
      <c r="D226" s="45" t="s">
        <v>628</v>
      </c>
      <c r="E226" s="45" t="s">
        <v>639</v>
      </c>
    </row>
    <row r="227" spans="1:5" x14ac:dyDescent="0.2">
      <c r="A227" s="45" t="s">
        <v>587</v>
      </c>
      <c r="B227" s="45" t="s">
        <v>588</v>
      </c>
      <c r="C227" s="45" t="s">
        <v>16</v>
      </c>
      <c r="D227" s="45" t="s">
        <v>628</v>
      </c>
      <c r="E227" s="45" t="s">
        <v>639</v>
      </c>
    </row>
    <row r="228" spans="1:5" x14ac:dyDescent="0.2">
      <c r="A228" s="45" t="s">
        <v>589</v>
      </c>
      <c r="B228" s="45" t="s">
        <v>590</v>
      </c>
      <c r="C228" s="45" t="s">
        <v>16</v>
      </c>
      <c r="D228" s="45" t="s">
        <v>628</v>
      </c>
      <c r="E228" s="45" t="s">
        <v>639</v>
      </c>
    </row>
    <row r="229" spans="1:5" x14ac:dyDescent="0.2">
      <c r="A229" s="45" t="s">
        <v>591</v>
      </c>
      <c r="B229" s="45" t="s">
        <v>592</v>
      </c>
      <c r="C229" s="45" t="s">
        <v>16</v>
      </c>
      <c r="D229" s="45" t="s">
        <v>628</v>
      </c>
      <c r="E229" s="45" t="s">
        <v>639</v>
      </c>
    </row>
    <row r="230" spans="1:5" x14ac:dyDescent="0.2">
      <c r="A230" s="45" t="s">
        <v>593</v>
      </c>
      <c r="B230" s="45" t="s">
        <v>594</v>
      </c>
      <c r="C230" s="45" t="s">
        <v>16</v>
      </c>
      <c r="D230" s="45" t="s">
        <v>628</v>
      </c>
      <c r="E230" s="45" t="s">
        <v>639</v>
      </c>
    </row>
    <row r="231" spans="1:5" x14ac:dyDescent="0.2">
      <c r="A231" s="45" t="s">
        <v>595</v>
      </c>
      <c r="B231" s="45" t="s">
        <v>596</v>
      </c>
      <c r="C231" s="45" t="s">
        <v>16</v>
      </c>
      <c r="D231" s="45" t="s">
        <v>628</v>
      </c>
      <c r="E231" s="45" t="s">
        <v>639</v>
      </c>
    </row>
    <row r="232" spans="1:5" x14ac:dyDescent="0.2">
      <c r="A232" s="45" t="s">
        <v>597</v>
      </c>
      <c r="B232" s="45" t="s">
        <v>598</v>
      </c>
      <c r="C232" s="45" t="s">
        <v>16</v>
      </c>
      <c r="D232" s="45" t="s">
        <v>628</v>
      </c>
      <c r="E232" s="45" t="s">
        <v>639</v>
      </c>
    </row>
    <row r="233" spans="1:5" x14ac:dyDescent="0.2">
      <c r="A233" s="45" t="s">
        <v>599</v>
      </c>
      <c r="B233" s="45" t="s">
        <v>600</v>
      </c>
      <c r="C233" s="45" t="s">
        <v>16</v>
      </c>
      <c r="D233" s="45" t="s">
        <v>628</v>
      </c>
      <c r="E233" s="45" t="s">
        <v>639</v>
      </c>
    </row>
    <row r="234" spans="1:5" x14ac:dyDescent="0.2">
      <c r="A234" s="45" t="s">
        <v>58</v>
      </c>
      <c r="B234" s="45" t="s">
        <v>59</v>
      </c>
      <c r="C234" s="45" t="s">
        <v>10</v>
      </c>
      <c r="D234" s="45" t="s">
        <v>629</v>
      </c>
      <c r="E234" s="45" t="s">
        <v>639</v>
      </c>
    </row>
    <row r="235" spans="1:5" x14ac:dyDescent="0.2">
      <c r="A235" s="45" t="s">
        <v>61</v>
      </c>
      <c r="B235" s="45" t="s">
        <v>62</v>
      </c>
      <c r="C235" s="45" t="s">
        <v>10</v>
      </c>
      <c r="D235" s="45" t="s">
        <v>629</v>
      </c>
      <c r="E235" s="45" t="s">
        <v>639</v>
      </c>
    </row>
    <row r="236" spans="1:5" x14ac:dyDescent="0.2">
      <c r="A236" s="45" t="s">
        <v>7</v>
      </c>
      <c r="B236" s="45" t="s">
        <v>8</v>
      </c>
      <c r="C236" s="45" t="s">
        <v>10</v>
      </c>
      <c r="D236" s="45" t="s">
        <v>629</v>
      </c>
      <c r="E236" s="45" t="s">
        <v>639</v>
      </c>
    </row>
    <row r="237" spans="1:5" x14ac:dyDescent="0.2">
      <c r="A237" s="45" t="s">
        <v>63</v>
      </c>
      <c r="B237" s="45" t="s">
        <v>64</v>
      </c>
      <c r="C237" s="45" t="s">
        <v>10</v>
      </c>
      <c r="D237" s="45" t="s">
        <v>629</v>
      </c>
      <c r="E237" s="45" t="s">
        <v>639</v>
      </c>
    </row>
    <row r="238" spans="1:5" x14ac:dyDescent="0.2">
      <c r="A238" s="45" t="s">
        <v>65</v>
      </c>
      <c r="B238" s="45" t="s">
        <v>66</v>
      </c>
      <c r="C238" s="45" t="s">
        <v>10</v>
      </c>
      <c r="D238" s="45" t="s">
        <v>629</v>
      </c>
      <c r="E238" s="45" t="s">
        <v>639</v>
      </c>
    </row>
    <row r="239" spans="1:5" x14ac:dyDescent="0.2">
      <c r="A239" s="45" t="s">
        <v>67</v>
      </c>
      <c r="B239" s="45" t="s">
        <v>68</v>
      </c>
      <c r="C239" s="45" t="s">
        <v>10</v>
      </c>
      <c r="D239" s="45" t="s">
        <v>629</v>
      </c>
      <c r="E239" s="45" t="s">
        <v>639</v>
      </c>
    </row>
    <row r="240" spans="1:5" x14ac:dyDescent="0.2">
      <c r="A240" s="45" t="s">
        <v>69</v>
      </c>
      <c r="B240" s="45" t="s">
        <v>70</v>
      </c>
      <c r="C240" s="45" t="s">
        <v>10</v>
      </c>
      <c r="D240" s="45" t="s">
        <v>629</v>
      </c>
      <c r="E240" s="45" t="s">
        <v>639</v>
      </c>
    </row>
    <row r="241" spans="1:5" x14ac:dyDescent="0.2">
      <c r="A241" s="45" t="s">
        <v>71</v>
      </c>
      <c r="B241" s="45" t="s">
        <v>72</v>
      </c>
      <c r="C241" s="45" t="s">
        <v>10</v>
      </c>
      <c r="D241" s="45" t="s">
        <v>629</v>
      </c>
      <c r="E241" s="45" t="s">
        <v>639</v>
      </c>
    </row>
    <row r="242" spans="1:5" x14ac:dyDescent="0.2">
      <c r="A242" s="45" t="s">
        <v>73</v>
      </c>
      <c r="B242" s="45" t="s">
        <v>74</v>
      </c>
      <c r="C242" s="45" t="s">
        <v>10</v>
      </c>
      <c r="D242" s="45" t="s">
        <v>629</v>
      </c>
      <c r="E242" s="45" t="s">
        <v>639</v>
      </c>
    </row>
    <row r="243" spans="1:5" x14ac:dyDescent="0.2">
      <c r="A243" s="45" t="s">
        <v>75</v>
      </c>
      <c r="B243" s="45" t="s">
        <v>76</v>
      </c>
      <c r="C243" s="45" t="s">
        <v>10</v>
      </c>
      <c r="D243" s="45" t="s">
        <v>629</v>
      </c>
      <c r="E243" s="45" t="s">
        <v>639</v>
      </c>
    </row>
    <row r="244" spans="1:5" x14ac:dyDescent="0.2">
      <c r="A244" s="45" t="s">
        <v>77</v>
      </c>
      <c r="B244" s="45" t="s">
        <v>78</v>
      </c>
      <c r="C244" s="45" t="s">
        <v>10</v>
      </c>
      <c r="D244" s="45" t="s">
        <v>629</v>
      </c>
      <c r="E244" s="45" t="s">
        <v>639</v>
      </c>
    </row>
    <row r="245" spans="1:5" x14ac:dyDescent="0.2">
      <c r="A245" s="45" t="s">
        <v>79</v>
      </c>
      <c r="B245" s="45" t="s">
        <v>80</v>
      </c>
      <c r="C245" s="45" t="s">
        <v>10</v>
      </c>
      <c r="D245" s="45" t="s">
        <v>629</v>
      </c>
      <c r="E245" s="45" t="s">
        <v>639</v>
      </c>
    </row>
    <row r="246" spans="1:5" x14ac:dyDescent="0.2">
      <c r="A246" s="45" t="s">
        <v>81</v>
      </c>
      <c r="B246" s="45" t="s">
        <v>82</v>
      </c>
      <c r="C246" s="45" t="s">
        <v>10</v>
      </c>
      <c r="D246" s="45" t="s">
        <v>629</v>
      </c>
      <c r="E246" s="45" t="s">
        <v>639</v>
      </c>
    </row>
    <row r="247" spans="1:5" x14ac:dyDescent="0.2">
      <c r="A247" s="45" t="s">
        <v>83</v>
      </c>
      <c r="B247" s="45" t="s">
        <v>84</v>
      </c>
      <c r="C247" s="45" t="s">
        <v>10</v>
      </c>
      <c r="D247" s="45" t="s">
        <v>629</v>
      </c>
      <c r="E247" s="45" t="s">
        <v>639</v>
      </c>
    </row>
    <row r="248" spans="1:5" x14ac:dyDescent="0.2">
      <c r="A248" s="45" t="s">
        <v>85</v>
      </c>
      <c r="B248" s="45" t="s">
        <v>86</v>
      </c>
      <c r="C248" s="45" t="s">
        <v>10</v>
      </c>
      <c r="D248" s="45" t="s">
        <v>629</v>
      </c>
      <c r="E248" s="45" t="s">
        <v>639</v>
      </c>
    </row>
    <row r="249" spans="1:5" x14ac:dyDescent="0.2">
      <c r="A249" s="45" t="s">
        <v>87</v>
      </c>
      <c r="B249" s="45" t="s">
        <v>88</v>
      </c>
      <c r="C249" s="45" t="s">
        <v>10</v>
      </c>
      <c r="D249" s="45" t="s">
        <v>629</v>
      </c>
      <c r="E249" s="45" t="s">
        <v>639</v>
      </c>
    </row>
    <row r="250" spans="1:5" x14ac:dyDescent="0.2">
      <c r="A250" s="45" t="s">
        <v>89</v>
      </c>
      <c r="B250" s="45" t="s">
        <v>90</v>
      </c>
      <c r="C250" s="45" t="s">
        <v>10</v>
      </c>
      <c r="D250" s="45" t="s">
        <v>629</v>
      </c>
      <c r="E250" s="45" t="s">
        <v>639</v>
      </c>
    </row>
    <row r="251" spans="1:5" x14ac:dyDescent="0.2">
      <c r="A251" s="45" t="s">
        <v>91</v>
      </c>
      <c r="B251" s="45" t="s">
        <v>92</v>
      </c>
      <c r="C251" s="45" t="s">
        <v>10</v>
      </c>
      <c r="D251" s="45" t="s">
        <v>629</v>
      </c>
      <c r="E251" s="45" t="s">
        <v>639</v>
      </c>
    </row>
    <row r="252" spans="1:5" x14ac:dyDescent="0.2">
      <c r="A252" s="45" t="s">
        <v>93</v>
      </c>
      <c r="B252" s="45" t="s">
        <v>94</v>
      </c>
      <c r="C252" s="45" t="s">
        <v>10</v>
      </c>
      <c r="D252" s="45" t="s">
        <v>629</v>
      </c>
      <c r="E252" s="45" t="s">
        <v>639</v>
      </c>
    </row>
    <row r="253" spans="1:5" x14ac:dyDescent="0.2">
      <c r="A253" s="45" t="s">
        <v>95</v>
      </c>
      <c r="B253" s="45" t="s">
        <v>96</v>
      </c>
      <c r="C253" s="45" t="s">
        <v>10</v>
      </c>
      <c r="D253" s="45" t="s">
        <v>629</v>
      </c>
      <c r="E253" s="45" t="s">
        <v>639</v>
      </c>
    </row>
    <row r="254" spans="1:5" x14ac:dyDescent="0.2">
      <c r="A254" s="45" t="s">
        <v>97</v>
      </c>
      <c r="B254" s="45" t="s">
        <v>98</v>
      </c>
      <c r="C254" s="45" t="s">
        <v>10</v>
      </c>
      <c r="D254" s="45" t="s">
        <v>629</v>
      </c>
      <c r="E254" s="45" t="s">
        <v>639</v>
      </c>
    </row>
    <row r="255" spans="1:5" x14ac:dyDescent="0.2">
      <c r="A255" s="45" t="s">
        <v>99</v>
      </c>
      <c r="B255" s="45" t="s">
        <v>100</v>
      </c>
      <c r="C255" s="45" t="s">
        <v>10</v>
      </c>
      <c r="D255" s="45" t="s">
        <v>629</v>
      </c>
      <c r="E255" s="45" t="s">
        <v>639</v>
      </c>
    </row>
    <row r="256" spans="1:5" x14ac:dyDescent="0.2">
      <c r="A256" s="45" t="s">
        <v>101</v>
      </c>
      <c r="B256" s="45" t="s">
        <v>102</v>
      </c>
      <c r="C256" s="45" t="s">
        <v>10</v>
      </c>
      <c r="D256" s="45" t="s">
        <v>629</v>
      </c>
      <c r="E256" s="45" t="s">
        <v>639</v>
      </c>
    </row>
    <row r="257" spans="1:5" x14ac:dyDescent="0.2">
      <c r="A257" s="45" t="s">
        <v>103</v>
      </c>
      <c r="B257" s="45" t="s">
        <v>104</v>
      </c>
      <c r="C257" s="45" t="s">
        <v>10</v>
      </c>
      <c r="D257" s="45" t="s">
        <v>629</v>
      </c>
      <c r="E257" s="45" t="s">
        <v>639</v>
      </c>
    </row>
    <row r="258" spans="1:5" x14ac:dyDescent="0.2">
      <c r="A258" s="45" t="s">
        <v>105</v>
      </c>
      <c r="B258" s="45" t="s">
        <v>106</v>
      </c>
      <c r="C258" s="45" t="s">
        <v>10</v>
      </c>
      <c r="D258" s="45" t="s">
        <v>629</v>
      </c>
      <c r="E258" s="45" t="s">
        <v>639</v>
      </c>
    </row>
    <row r="259" spans="1:5" x14ac:dyDescent="0.2">
      <c r="A259" s="45" t="s">
        <v>107</v>
      </c>
      <c r="B259" s="45" t="s">
        <v>108</v>
      </c>
      <c r="C259" s="45" t="s">
        <v>10</v>
      </c>
      <c r="D259" s="45" t="s">
        <v>629</v>
      </c>
      <c r="E259" s="45" t="s">
        <v>639</v>
      </c>
    </row>
    <row r="260" spans="1:5" x14ac:dyDescent="0.2">
      <c r="A260" s="45" t="s">
        <v>109</v>
      </c>
      <c r="B260" s="45" t="s">
        <v>110</v>
      </c>
      <c r="C260" s="45" t="s">
        <v>10</v>
      </c>
      <c r="D260" s="45" t="s">
        <v>629</v>
      </c>
      <c r="E260" s="45" t="s">
        <v>639</v>
      </c>
    </row>
    <row r="261" spans="1:5" x14ac:dyDescent="0.2">
      <c r="A261" s="45" t="s">
        <v>111</v>
      </c>
      <c r="B261" s="45" t="s">
        <v>112</v>
      </c>
      <c r="C261" s="45" t="s">
        <v>10</v>
      </c>
      <c r="D261" s="45" t="s">
        <v>629</v>
      </c>
      <c r="E261" s="45" t="s">
        <v>639</v>
      </c>
    </row>
    <row r="262" spans="1:5" x14ac:dyDescent="0.2">
      <c r="A262" s="45" t="s">
        <v>113</v>
      </c>
      <c r="B262" s="45" t="s">
        <v>114</v>
      </c>
      <c r="C262" s="45" t="s">
        <v>10</v>
      </c>
      <c r="D262" s="45" t="s">
        <v>629</v>
      </c>
      <c r="E262" s="45" t="s">
        <v>639</v>
      </c>
    </row>
    <row r="263" spans="1:5" x14ac:dyDescent="0.2">
      <c r="A263" s="45" t="s">
        <v>115</v>
      </c>
      <c r="B263" s="45" t="s">
        <v>116</v>
      </c>
      <c r="C263" s="45" t="s">
        <v>10</v>
      </c>
      <c r="D263" s="45" t="s">
        <v>629</v>
      </c>
      <c r="E263" s="45" t="s">
        <v>639</v>
      </c>
    </row>
    <row r="264" spans="1:5" x14ac:dyDescent="0.2">
      <c r="A264" s="45" t="s">
        <v>117</v>
      </c>
      <c r="B264" s="45" t="s">
        <v>118</v>
      </c>
      <c r="C264" s="45" t="s">
        <v>10</v>
      </c>
      <c r="D264" s="45" t="s">
        <v>629</v>
      </c>
      <c r="E264" s="45" t="s">
        <v>639</v>
      </c>
    </row>
    <row r="265" spans="1:5" x14ac:dyDescent="0.2">
      <c r="A265" s="45" t="s">
        <v>119</v>
      </c>
      <c r="B265" s="45" t="s">
        <v>120</v>
      </c>
      <c r="C265" s="45" t="s">
        <v>10</v>
      </c>
      <c r="D265" s="45" t="s">
        <v>629</v>
      </c>
      <c r="E265" s="45" t="s">
        <v>639</v>
      </c>
    </row>
    <row r="266" spans="1:5" x14ac:dyDescent="0.2">
      <c r="A266" s="45" t="s">
        <v>121</v>
      </c>
      <c r="B266" s="45" t="s">
        <v>122</v>
      </c>
      <c r="C266" s="45" t="s">
        <v>10</v>
      </c>
      <c r="D266" s="45" t="s">
        <v>629</v>
      </c>
      <c r="E266" s="45" t="s">
        <v>639</v>
      </c>
    </row>
    <row r="267" spans="1:5" x14ac:dyDescent="0.2">
      <c r="A267" s="45" t="s">
        <v>123</v>
      </c>
      <c r="B267" s="45" t="s">
        <v>124</v>
      </c>
      <c r="C267" s="45" t="s">
        <v>10</v>
      </c>
      <c r="D267" s="45" t="s">
        <v>629</v>
      </c>
      <c r="E267" s="45" t="s">
        <v>639</v>
      </c>
    </row>
    <row r="268" spans="1:5" x14ac:dyDescent="0.2">
      <c r="A268" s="45" t="s">
        <v>125</v>
      </c>
      <c r="B268" s="45" t="s">
        <v>126</v>
      </c>
      <c r="C268" s="45" t="s">
        <v>10</v>
      </c>
      <c r="D268" s="45" t="s">
        <v>629</v>
      </c>
      <c r="E268" s="45" t="s">
        <v>639</v>
      </c>
    </row>
    <row r="269" spans="1:5" x14ac:dyDescent="0.2">
      <c r="A269" s="45" t="s">
        <v>127</v>
      </c>
      <c r="B269" s="45" t="s">
        <v>128</v>
      </c>
      <c r="C269" s="45" t="s">
        <v>10</v>
      </c>
      <c r="D269" s="45" t="s">
        <v>629</v>
      </c>
      <c r="E269" s="45" t="s">
        <v>639</v>
      </c>
    </row>
    <row r="270" spans="1:5" x14ac:dyDescent="0.2">
      <c r="A270" s="45" t="s">
        <v>129</v>
      </c>
      <c r="B270" s="45" t="s">
        <v>130</v>
      </c>
      <c r="C270" s="45" t="s">
        <v>10</v>
      </c>
      <c r="D270" s="45" t="s">
        <v>629</v>
      </c>
      <c r="E270" s="45" t="s">
        <v>639</v>
      </c>
    </row>
    <row r="271" spans="1:5" x14ac:dyDescent="0.2">
      <c r="A271" s="45" t="s">
        <v>131</v>
      </c>
      <c r="B271" s="45" t="s">
        <v>132</v>
      </c>
      <c r="C271" s="45" t="s">
        <v>10</v>
      </c>
      <c r="D271" s="45" t="s">
        <v>629</v>
      </c>
      <c r="E271" s="45" t="s">
        <v>639</v>
      </c>
    </row>
    <row r="272" spans="1:5" x14ac:dyDescent="0.2">
      <c r="A272" s="45" t="s">
        <v>133</v>
      </c>
      <c r="B272" s="45" t="s">
        <v>134</v>
      </c>
      <c r="C272" s="45" t="s">
        <v>10</v>
      </c>
      <c r="D272" s="45" t="s">
        <v>629</v>
      </c>
      <c r="E272" s="45" t="s">
        <v>639</v>
      </c>
    </row>
    <row r="273" spans="1:5" x14ac:dyDescent="0.2">
      <c r="A273" s="45" t="s">
        <v>135</v>
      </c>
      <c r="B273" s="45" t="s">
        <v>136</v>
      </c>
      <c r="C273" s="45" t="s">
        <v>10</v>
      </c>
      <c r="D273" s="45" t="s">
        <v>629</v>
      </c>
      <c r="E273" s="45" t="s">
        <v>639</v>
      </c>
    </row>
    <row r="274" spans="1:5" x14ac:dyDescent="0.2">
      <c r="A274" s="45" t="s">
        <v>137</v>
      </c>
      <c r="B274" s="45" t="s">
        <v>138</v>
      </c>
      <c r="C274" s="45" t="s">
        <v>10</v>
      </c>
      <c r="D274" s="45" t="s">
        <v>629</v>
      </c>
      <c r="E274" s="45" t="s">
        <v>639</v>
      </c>
    </row>
    <row r="275" spans="1:5" x14ac:dyDescent="0.2">
      <c r="A275" s="45" t="s">
        <v>139</v>
      </c>
      <c r="B275" s="45" t="s">
        <v>140</v>
      </c>
      <c r="C275" s="45" t="s">
        <v>10</v>
      </c>
      <c r="D275" s="45" t="s">
        <v>629</v>
      </c>
      <c r="E275" s="45" t="s">
        <v>639</v>
      </c>
    </row>
    <row r="276" spans="1:5" x14ac:dyDescent="0.2">
      <c r="A276" s="45" t="s">
        <v>141</v>
      </c>
      <c r="B276" s="45" t="s">
        <v>142</v>
      </c>
      <c r="C276" s="45" t="s">
        <v>10</v>
      </c>
      <c r="D276" s="45" t="s">
        <v>629</v>
      </c>
      <c r="E276" s="45" t="s">
        <v>639</v>
      </c>
    </row>
    <row r="277" spans="1:5" x14ac:dyDescent="0.2">
      <c r="A277" s="45" t="s">
        <v>143</v>
      </c>
      <c r="B277" s="45" t="s">
        <v>144</v>
      </c>
      <c r="C277" s="45" t="s">
        <v>10</v>
      </c>
      <c r="D277" s="45" t="s">
        <v>629</v>
      </c>
      <c r="E277" s="45" t="s">
        <v>639</v>
      </c>
    </row>
    <row r="278" spans="1:5" x14ac:dyDescent="0.2">
      <c r="A278" s="45" t="s">
        <v>145</v>
      </c>
      <c r="B278" s="45" t="s">
        <v>146</v>
      </c>
      <c r="C278" s="45" t="s">
        <v>10</v>
      </c>
      <c r="D278" s="45" t="s">
        <v>629</v>
      </c>
      <c r="E278" s="45" t="s">
        <v>639</v>
      </c>
    </row>
    <row r="279" spans="1:5" x14ac:dyDescent="0.2">
      <c r="A279" s="45" t="s">
        <v>147</v>
      </c>
      <c r="B279" s="45" t="s">
        <v>148</v>
      </c>
      <c r="C279" s="45" t="s">
        <v>10</v>
      </c>
      <c r="D279" s="45" t="s">
        <v>629</v>
      </c>
      <c r="E279" s="45" t="s">
        <v>639</v>
      </c>
    </row>
    <row r="280" spans="1:5" x14ac:dyDescent="0.2">
      <c r="A280" s="45" t="s">
        <v>149</v>
      </c>
      <c r="B280" s="45" t="s">
        <v>150</v>
      </c>
      <c r="C280" s="45" t="s">
        <v>10</v>
      </c>
      <c r="D280" s="45" t="s">
        <v>629</v>
      </c>
      <c r="E280" s="45" t="s">
        <v>639</v>
      </c>
    </row>
    <row r="281" spans="1:5" x14ac:dyDescent="0.2">
      <c r="A281" s="45" t="s">
        <v>151</v>
      </c>
      <c r="B281" s="45" t="s">
        <v>152</v>
      </c>
      <c r="C281" s="45" t="s">
        <v>10</v>
      </c>
      <c r="D281" s="45" t="s">
        <v>629</v>
      </c>
      <c r="E281" s="45" t="s">
        <v>639</v>
      </c>
    </row>
    <row r="282" spans="1:5" x14ac:dyDescent="0.2">
      <c r="A282" s="45" t="s">
        <v>153</v>
      </c>
      <c r="B282" s="45" t="s">
        <v>154</v>
      </c>
      <c r="C282" s="45" t="s">
        <v>10</v>
      </c>
      <c r="D282" s="45" t="s">
        <v>629</v>
      </c>
      <c r="E282" s="45" t="s">
        <v>639</v>
      </c>
    </row>
    <row r="283" spans="1:5" x14ac:dyDescent="0.2">
      <c r="A283" s="45" t="s">
        <v>155</v>
      </c>
      <c r="B283" s="45" t="s">
        <v>156</v>
      </c>
      <c r="C283" s="45" t="s">
        <v>10</v>
      </c>
      <c r="D283" s="45" t="s">
        <v>629</v>
      </c>
      <c r="E283" s="45" t="s">
        <v>639</v>
      </c>
    </row>
    <row r="284" spans="1:5" x14ac:dyDescent="0.2">
      <c r="A284" s="45" t="s">
        <v>157</v>
      </c>
      <c r="B284" s="45" t="s">
        <v>158</v>
      </c>
      <c r="C284" s="45" t="s">
        <v>10</v>
      </c>
      <c r="D284" s="45" t="s">
        <v>629</v>
      </c>
      <c r="E284" s="45" t="s">
        <v>639</v>
      </c>
    </row>
    <row r="285" spans="1:5" x14ac:dyDescent="0.2">
      <c r="A285" s="45" t="s">
        <v>159</v>
      </c>
      <c r="B285" s="45" t="s">
        <v>160</v>
      </c>
      <c r="C285" s="45" t="s">
        <v>10</v>
      </c>
      <c r="D285" s="45" t="s">
        <v>629</v>
      </c>
      <c r="E285" s="45" t="s">
        <v>639</v>
      </c>
    </row>
    <row r="286" spans="1:5" x14ac:dyDescent="0.2">
      <c r="A286" s="45" t="s">
        <v>161</v>
      </c>
      <c r="B286" s="45" t="s">
        <v>162</v>
      </c>
      <c r="C286" s="45" t="s">
        <v>16</v>
      </c>
      <c r="D286" s="45" t="s">
        <v>629</v>
      </c>
      <c r="E286" s="45" t="s">
        <v>639</v>
      </c>
    </row>
    <row r="287" spans="1:5" x14ac:dyDescent="0.2">
      <c r="A287" s="45" t="s">
        <v>163</v>
      </c>
      <c r="B287" s="45" t="s">
        <v>164</v>
      </c>
      <c r="C287" s="45" t="s">
        <v>16</v>
      </c>
      <c r="D287" s="45" t="s">
        <v>629</v>
      </c>
      <c r="E287" s="45" t="s">
        <v>639</v>
      </c>
    </row>
    <row r="288" spans="1:5" x14ac:dyDescent="0.2">
      <c r="A288" s="45" t="s">
        <v>165</v>
      </c>
      <c r="B288" s="45" t="s">
        <v>166</v>
      </c>
      <c r="C288" s="45" t="s">
        <v>16</v>
      </c>
      <c r="D288" s="45" t="s">
        <v>629</v>
      </c>
      <c r="E288" s="45" t="s">
        <v>639</v>
      </c>
    </row>
    <row r="289" spans="1:5" x14ac:dyDescent="0.2">
      <c r="A289" s="45" t="s">
        <v>666</v>
      </c>
      <c r="B289" s="45" t="s">
        <v>634</v>
      </c>
      <c r="C289" s="45" t="s">
        <v>16</v>
      </c>
      <c r="D289" s="45" t="s">
        <v>624</v>
      </c>
      <c r="E289" s="45" t="s">
        <v>639</v>
      </c>
    </row>
    <row r="290" spans="1:5" x14ac:dyDescent="0.2">
      <c r="A290" s="45" t="s">
        <v>673</v>
      </c>
      <c r="B290" s="45" t="s">
        <v>634</v>
      </c>
      <c r="C290" s="45" t="s">
        <v>16</v>
      </c>
      <c r="D290" s="45" t="s">
        <v>624</v>
      </c>
      <c r="E290" s="45" t="s">
        <v>639</v>
      </c>
    </row>
    <row r="291" spans="1:5" x14ac:dyDescent="0.2">
      <c r="A291" s="45" t="s">
        <v>667</v>
      </c>
      <c r="B291" s="45" t="s">
        <v>634</v>
      </c>
      <c r="C291" s="45" t="s">
        <v>16</v>
      </c>
      <c r="D291" s="45" t="s">
        <v>624</v>
      </c>
      <c r="E291" s="45" t="s">
        <v>639</v>
      </c>
    </row>
    <row r="292" spans="1:5" x14ac:dyDescent="0.2">
      <c r="A292" s="45" t="s">
        <v>668</v>
      </c>
      <c r="B292" s="45" t="s">
        <v>634</v>
      </c>
      <c r="C292" s="45" t="s">
        <v>16</v>
      </c>
      <c r="D292" s="45" t="s">
        <v>624</v>
      </c>
      <c r="E292" s="45" t="s">
        <v>639</v>
      </c>
    </row>
    <row r="293" spans="1:5" x14ac:dyDescent="0.2">
      <c r="A293" s="45" t="s">
        <v>669</v>
      </c>
      <c r="B293" s="45" t="s">
        <v>634</v>
      </c>
      <c r="C293" s="45" t="s">
        <v>16</v>
      </c>
      <c r="D293" s="45" t="s">
        <v>624</v>
      </c>
      <c r="E293" s="45" t="s">
        <v>639</v>
      </c>
    </row>
    <row r="294" spans="1:5" x14ac:dyDescent="0.2">
      <c r="A294" s="45" t="s">
        <v>670</v>
      </c>
      <c r="B294" s="45" t="s">
        <v>634</v>
      </c>
      <c r="C294" s="45" t="s">
        <v>16</v>
      </c>
      <c r="D294" s="45" t="s">
        <v>624</v>
      </c>
      <c r="E294" s="45" t="s">
        <v>639</v>
      </c>
    </row>
    <row r="295" spans="1:5" x14ac:dyDescent="0.2">
      <c r="A295" s="45" t="s">
        <v>671</v>
      </c>
      <c r="B295" s="45" t="s">
        <v>634</v>
      </c>
      <c r="C295" s="45" t="s">
        <v>16</v>
      </c>
      <c r="D295" s="45" t="s">
        <v>624</v>
      </c>
      <c r="E295" s="45" t="s">
        <v>639</v>
      </c>
    </row>
    <row r="296" spans="1:5" x14ac:dyDescent="0.2">
      <c r="A296" s="45" t="s">
        <v>672</v>
      </c>
      <c r="B296" s="45" t="s">
        <v>634</v>
      </c>
      <c r="C296" s="45" t="s">
        <v>16</v>
      </c>
      <c r="D296" s="45" t="s">
        <v>624</v>
      </c>
      <c r="E296" s="45" t="s">
        <v>639</v>
      </c>
    </row>
    <row r="297" spans="1:5" x14ac:dyDescent="0.2">
      <c r="A297" s="45" t="s">
        <v>674</v>
      </c>
      <c r="B297" s="45" t="s">
        <v>634</v>
      </c>
      <c r="C297" s="45" t="s">
        <v>16</v>
      </c>
      <c r="D297" s="45" t="s">
        <v>624</v>
      </c>
      <c r="E297" s="45" t="s">
        <v>639</v>
      </c>
    </row>
    <row r="298" spans="1:5" x14ac:dyDescent="0.2">
      <c r="A298" s="45" t="s">
        <v>33</v>
      </c>
      <c r="B298" s="45" t="s">
        <v>34</v>
      </c>
      <c r="C298" s="45" t="s">
        <v>10</v>
      </c>
      <c r="D298" s="45" t="s">
        <v>630</v>
      </c>
      <c r="E298" s="45" t="s">
        <v>639</v>
      </c>
    </row>
    <row r="299" spans="1:5" x14ac:dyDescent="0.2">
      <c r="A299" s="45" t="s">
        <v>335</v>
      </c>
      <c r="B299" s="45" t="s">
        <v>336</v>
      </c>
      <c r="C299" s="45" t="s">
        <v>10</v>
      </c>
      <c r="D299" s="45" t="s">
        <v>630</v>
      </c>
      <c r="E299" s="45" t="s">
        <v>639</v>
      </c>
    </row>
    <row r="300" spans="1:5" x14ac:dyDescent="0.2">
      <c r="A300" s="45" t="s">
        <v>337</v>
      </c>
      <c r="B300" s="45" t="s">
        <v>338</v>
      </c>
      <c r="C300" s="45" t="s">
        <v>10</v>
      </c>
      <c r="D300" s="45" t="s">
        <v>630</v>
      </c>
      <c r="E300" s="45" t="s">
        <v>639</v>
      </c>
    </row>
    <row r="301" spans="1:5" x14ac:dyDescent="0.2">
      <c r="A301" s="45" t="s">
        <v>339</v>
      </c>
      <c r="B301" s="45" t="s">
        <v>340</v>
      </c>
      <c r="C301" s="45" t="s">
        <v>10</v>
      </c>
      <c r="D301" s="45" t="s">
        <v>630</v>
      </c>
      <c r="E301" s="45" t="s">
        <v>639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72D-F8CD-471C-8BE8-86BAE3151E54}">
  <sheetPr codeName="Sheet6">
    <tabColor theme="4"/>
  </sheetPr>
  <dimension ref="A1:D22"/>
  <sheetViews>
    <sheetView workbookViewId="0">
      <selection activeCell="B15" sqref="B15"/>
    </sheetView>
  </sheetViews>
  <sheetFormatPr defaultRowHeight="12.75" x14ac:dyDescent="0.2"/>
  <cols>
    <col min="1" max="1" width="12.5703125" bestFit="1" customWidth="1"/>
    <col min="2" max="2" width="13.28515625" bestFit="1" customWidth="1"/>
    <col min="3" max="3" width="15.85546875" bestFit="1" customWidth="1"/>
    <col min="4" max="4" width="16.5703125" bestFit="1" customWidth="1"/>
  </cols>
  <sheetData>
    <row r="1" spans="1:4" x14ac:dyDescent="0.2">
      <c r="A1" t="s">
        <v>636</v>
      </c>
      <c r="B1" t="s">
        <v>650</v>
      </c>
      <c r="C1" t="s">
        <v>637</v>
      </c>
      <c r="D1" t="s">
        <v>654</v>
      </c>
    </row>
    <row r="2" spans="1:4" x14ac:dyDescent="0.2">
      <c r="A2" s="45" t="s">
        <v>627</v>
      </c>
      <c r="B2" s="45" t="s">
        <v>32</v>
      </c>
      <c r="C2" s="45" t="s">
        <v>639</v>
      </c>
      <c r="D2" s="45" t="s">
        <v>655</v>
      </c>
    </row>
    <row r="3" spans="1:4" x14ac:dyDescent="0.2">
      <c r="A3" s="45" t="s">
        <v>627</v>
      </c>
      <c r="B3" s="45" t="s">
        <v>32</v>
      </c>
      <c r="C3" s="45" t="s">
        <v>645</v>
      </c>
      <c r="D3" s="45" t="s">
        <v>656</v>
      </c>
    </row>
    <row r="4" spans="1:4" x14ac:dyDescent="0.2">
      <c r="A4" s="45" t="s">
        <v>627</v>
      </c>
      <c r="B4" s="45" t="s">
        <v>32</v>
      </c>
      <c r="C4" s="45" t="s">
        <v>638</v>
      </c>
      <c r="D4" s="45" t="s">
        <v>657</v>
      </c>
    </row>
    <row r="5" spans="1:4" x14ac:dyDescent="0.2">
      <c r="A5" s="45" t="s">
        <v>627</v>
      </c>
      <c r="B5" s="45" t="s">
        <v>32</v>
      </c>
      <c r="C5" s="45" t="s">
        <v>647</v>
      </c>
      <c r="D5" s="45" t="s">
        <v>658</v>
      </c>
    </row>
    <row r="6" spans="1:4" x14ac:dyDescent="0.2">
      <c r="A6" s="45" t="s">
        <v>627</v>
      </c>
      <c r="B6" s="45" t="s">
        <v>32</v>
      </c>
      <c r="C6" s="45" t="s">
        <v>644</v>
      </c>
      <c r="D6" s="45" t="s">
        <v>659</v>
      </c>
    </row>
    <row r="7" spans="1:4" x14ac:dyDescent="0.2">
      <c r="A7" s="45" t="s">
        <v>627</v>
      </c>
      <c r="B7" s="45" t="s">
        <v>32</v>
      </c>
      <c r="C7" s="45" t="s">
        <v>641</v>
      </c>
      <c r="D7" s="45" t="s">
        <v>660</v>
      </c>
    </row>
    <row r="8" spans="1:4" x14ac:dyDescent="0.2">
      <c r="A8" s="45" t="s">
        <v>627</v>
      </c>
      <c r="B8" s="45" t="s">
        <v>32</v>
      </c>
      <c r="C8" s="45" t="s">
        <v>649</v>
      </c>
      <c r="D8" s="45" t="s">
        <v>661</v>
      </c>
    </row>
    <row r="9" spans="1:4" x14ac:dyDescent="0.2">
      <c r="A9" s="45" t="s">
        <v>627</v>
      </c>
      <c r="B9" s="45" t="s">
        <v>32</v>
      </c>
      <c r="C9" s="45" t="s">
        <v>643</v>
      </c>
      <c r="D9" s="45" t="s">
        <v>662</v>
      </c>
    </row>
    <row r="10" spans="1:4" x14ac:dyDescent="0.2">
      <c r="A10" s="45" t="s">
        <v>627</v>
      </c>
      <c r="B10" s="45" t="s">
        <v>32</v>
      </c>
      <c r="C10" s="45" t="s">
        <v>646</v>
      </c>
      <c r="D10" s="45" t="s">
        <v>663</v>
      </c>
    </row>
    <row r="11" spans="1:4" x14ac:dyDescent="0.2">
      <c r="A11" s="45" t="s">
        <v>627</v>
      </c>
      <c r="B11" s="45" t="s">
        <v>32</v>
      </c>
      <c r="C11" s="45" t="s">
        <v>648</v>
      </c>
      <c r="D11" s="45" t="s">
        <v>664</v>
      </c>
    </row>
    <row r="12" spans="1:4" x14ac:dyDescent="0.2">
      <c r="A12" s="45" t="s">
        <v>627</v>
      </c>
      <c r="B12" s="45" t="s">
        <v>32</v>
      </c>
      <c r="C12" s="45" t="s">
        <v>642</v>
      </c>
      <c r="D12" s="45" t="s">
        <v>665</v>
      </c>
    </row>
    <row r="13" spans="1:4" x14ac:dyDescent="0.2">
      <c r="A13" s="45" t="s">
        <v>709</v>
      </c>
      <c r="B13" s="45" t="s">
        <v>709</v>
      </c>
      <c r="C13" s="45"/>
      <c r="D13" s="45"/>
    </row>
    <row r="14" spans="1:4" x14ac:dyDescent="0.2">
      <c r="A14" s="45" t="s">
        <v>624</v>
      </c>
      <c r="B14" s="45" t="s">
        <v>46</v>
      </c>
      <c r="C14" s="45"/>
      <c r="D14" s="45"/>
    </row>
    <row r="15" spans="1:4" x14ac:dyDescent="0.2">
      <c r="A15" s="45" t="s">
        <v>651</v>
      </c>
      <c r="B15" s="45" t="s">
        <v>652</v>
      </c>
      <c r="C15" s="45"/>
      <c r="D15" s="45"/>
    </row>
    <row r="16" spans="1:4" x14ac:dyDescent="0.2">
      <c r="A16" s="45" t="s">
        <v>625</v>
      </c>
      <c r="B16" s="45" t="s">
        <v>15</v>
      </c>
      <c r="C16" s="45"/>
      <c r="D16" s="45"/>
    </row>
    <row r="17" spans="1:4" x14ac:dyDescent="0.2">
      <c r="A17" s="45" t="s">
        <v>713</v>
      </c>
      <c r="B17" s="45" t="s">
        <v>714</v>
      </c>
      <c r="C17" s="45"/>
      <c r="D17" s="45"/>
    </row>
    <row r="18" spans="1:4" x14ac:dyDescent="0.2">
      <c r="A18" s="45" t="s">
        <v>626</v>
      </c>
      <c r="B18" s="45" t="s">
        <v>21</v>
      </c>
      <c r="C18" s="45"/>
      <c r="D18" s="45"/>
    </row>
    <row r="19" spans="1:4" x14ac:dyDescent="0.2">
      <c r="A19" s="45" t="s">
        <v>715</v>
      </c>
      <c r="B19" s="45" t="s">
        <v>717</v>
      </c>
      <c r="C19" s="45"/>
      <c r="D19" s="45"/>
    </row>
    <row r="20" spans="1:4" x14ac:dyDescent="0.2">
      <c r="A20" s="45" t="s">
        <v>628</v>
      </c>
      <c r="B20" s="45" t="s">
        <v>653</v>
      </c>
      <c r="C20" s="45"/>
      <c r="D20" s="45"/>
    </row>
    <row r="21" spans="1:4" x14ac:dyDescent="0.2">
      <c r="A21" s="45" t="s">
        <v>629</v>
      </c>
      <c r="B21" s="45" t="s">
        <v>9</v>
      </c>
      <c r="C21" s="45"/>
      <c r="D21" s="45"/>
    </row>
    <row r="22" spans="1:4" x14ac:dyDescent="0.2">
      <c r="A22" s="45" t="s">
        <v>630</v>
      </c>
      <c r="B22" s="45" t="s">
        <v>35</v>
      </c>
      <c r="C22" s="45"/>
      <c r="D22" s="45"/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589F7-9F2E-4663-B1AA-8A9897660948}">
  <sheetPr codeName="Sheet9">
    <tabColor theme="4"/>
  </sheetPr>
  <dimension ref="A1:B19"/>
  <sheetViews>
    <sheetView workbookViewId="0">
      <selection activeCell="F27" sqref="F27"/>
    </sheetView>
  </sheetViews>
  <sheetFormatPr defaultRowHeight="12.75" x14ac:dyDescent="0.2"/>
  <cols>
    <col min="1" max="1" width="12.140625" bestFit="1" customWidth="1"/>
    <col min="2" max="2" width="12.85546875" bestFit="1" customWidth="1"/>
  </cols>
  <sheetData>
    <row r="1" spans="1:2" x14ac:dyDescent="0.2">
      <c r="A1" t="s">
        <v>623</v>
      </c>
      <c r="B1" t="s">
        <v>675</v>
      </c>
    </row>
    <row r="2" spans="1:2" x14ac:dyDescent="0.2">
      <c r="A2" s="45" t="s">
        <v>709</v>
      </c>
      <c r="B2" s="45" t="s">
        <v>709</v>
      </c>
    </row>
    <row r="3" spans="1:2" x14ac:dyDescent="0.2">
      <c r="A3" s="45" t="s">
        <v>705</v>
      </c>
      <c r="B3" s="45" t="s">
        <v>706</v>
      </c>
    </row>
    <row r="4" spans="1:2" x14ac:dyDescent="0.2">
      <c r="A4" s="45" t="s">
        <v>710</v>
      </c>
      <c r="B4" s="45" t="s">
        <v>711</v>
      </c>
    </row>
    <row r="5" spans="1:2" x14ac:dyDescent="0.2">
      <c r="A5" s="45" t="s">
        <v>707</v>
      </c>
      <c r="B5" s="45" t="s">
        <v>707</v>
      </c>
    </row>
    <row r="6" spans="1:2" x14ac:dyDescent="0.2">
      <c r="A6" s="45" t="s">
        <v>680</v>
      </c>
      <c r="B6" s="45" t="s">
        <v>681</v>
      </c>
    </row>
    <row r="7" spans="1:2" x14ac:dyDescent="0.2">
      <c r="A7" s="45" t="s">
        <v>682</v>
      </c>
      <c r="B7" s="45" t="s">
        <v>683</v>
      </c>
    </row>
    <row r="8" spans="1:2" x14ac:dyDescent="0.2">
      <c r="A8" s="45" t="s">
        <v>684</v>
      </c>
      <c r="B8" s="45" t="s">
        <v>685</v>
      </c>
    </row>
    <row r="9" spans="1:2" x14ac:dyDescent="0.2">
      <c r="A9" s="45" t="s">
        <v>686</v>
      </c>
      <c r="B9" s="45" t="s">
        <v>685</v>
      </c>
    </row>
    <row r="10" spans="1:2" x14ac:dyDescent="0.2">
      <c r="A10" s="45" t="s">
        <v>687</v>
      </c>
      <c r="B10" s="45" t="s">
        <v>688</v>
      </c>
    </row>
    <row r="11" spans="1:2" x14ac:dyDescent="0.2">
      <c r="A11" s="45" t="s">
        <v>701</v>
      </c>
      <c r="B11" s="45" t="s">
        <v>688</v>
      </c>
    </row>
    <row r="12" spans="1:2" x14ac:dyDescent="0.2">
      <c r="A12" s="45" t="s">
        <v>702</v>
      </c>
      <c r="B12" s="45" t="s">
        <v>703</v>
      </c>
    </row>
    <row r="13" spans="1:2" x14ac:dyDescent="0.2">
      <c r="A13" s="45" t="s">
        <v>16</v>
      </c>
      <c r="B13" s="45" t="s">
        <v>676</v>
      </c>
    </row>
    <row r="14" spans="1:2" x14ac:dyDescent="0.2">
      <c r="A14" s="45" t="s">
        <v>10</v>
      </c>
      <c r="B14" s="45" t="s">
        <v>677</v>
      </c>
    </row>
    <row r="15" spans="1:2" x14ac:dyDescent="0.2">
      <c r="A15" s="45" t="s">
        <v>715</v>
      </c>
      <c r="B15" s="45" t="s">
        <v>716</v>
      </c>
    </row>
    <row r="16" spans="1:2" x14ac:dyDescent="0.2">
      <c r="A16" s="45" t="s">
        <v>712</v>
      </c>
      <c r="B16" s="45" t="s">
        <v>712</v>
      </c>
    </row>
    <row r="17" spans="1:2" x14ac:dyDescent="0.2">
      <c r="A17" s="45" t="s">
        <v>678</v>
      </c>
      <c r="B17" s="45" t="s">
        <v>679</v>
      </c>
    </row>
    <row r="18" spans="1:2" x14ac:dyDescent="0.2">
      <c r="A18" s="45" t="s">
        <v>704</v>
      </c>
      <c r="B18" s="45" t="s">
        <v>704</v>
      </c>
    </row>
    <row r="19" spans="1:2" x14ac:dyDescent="0.2">
      <c r="A19" s="45" t="s">
        <v>708</v>
      </c>
      <c r="B19" s="45" t="s">
        <v>708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1:O1060"/>
  <sheetViews>
    <sheetView workbookViewId="0">
      <selection activeCell="G28" sqref="G28"/>
    </sheetView>
  </sheetViews>
  <sheetFormatPr defaultColWidth="12.5703125" defaultRowHeight="15.75" customHeight="1" x14ac:dyDescent="0.2"/>
  <cols>
    <col min="1" max="1" width="29.42578125" style="1" customWidth="1"/>
    <col min="2" max="2" width="22.42578125" style="1" bestFit="1" customWidth="1"/>
    <col min="3" max="7" width="12.5703125" style="1"/>
    <col min="8" max="8" width="13.42578125" style="1" bestFit="1" customWidth="1"/>
    <col min="9" max="10" width="12.5703125" style="1"/>
    <col min="11" max="11" width="15.5703125" style="1" bestFit="1" customWidth="1"/>
    <col min="12" max="16384" width="12.5703125" style="1"/>
  </cols>
  <sheetData>
    <row r="1" spans="1:12" ht="12.75" x14ac:dyDescent="0.2">
      <c r="A1" s="15" t="s">
        <v>602</v>
      </c>
      <c r="H1" s="15" t="s">
        <v>603</v>
      </c>
      <c r="I1" s="4"/>
      <c r="J1" s="4"/>
      <c r="K1" s="40" t="s">
        <v>605</v>
      </c>
    </row>
    <row r="2" spans="1:12" ht="12.75" x14ac:dyDescent="0.2">
      <c r="C2" s="4"/>
      <c r="H2" s="1" t="s">
        <v>606</v>
      </c>
      <c r="I2" s="4" t="s">
        <v>635</v>
      </c>
      <c r="J2" s="4"/>
      <c r="K2" s="1" t="s">
        <v>606</v>
      </c>
    </row>
    <row r="3" spans="1:12" ht="12.75" x14ac:dyDescent="0.2">
      <c r="A3" s="1" t="s">
        <v>689</v>
      </c>
      <c r="C3" s="4"/>
      <c r="H3" s="4" t="s">
        <v>631</v>
      </c>
      <c r="I3" s="4" t="s">
        <v>632</v>
      </c>
      <c r="J3" s="4"/>
      <c r="K3" s="4" t="s">
        <v>631</v>
      </c>
    </row>
    <row r="4" spans="1:12" ht="12.75" x14ac:dyDescent="0.2">
      <c r="A4" s="1" t="s">
        <v>697</v>
      </c>
      <c r="B4" s="1" t="s">
        <v>690</v>
      </c>
      <c r="C4" s="4"/>
      <c r="H4" s="4" t="s">
        <v>633</v>
      </c>
      <c r="I4" s="4" t="s">
        <v>603</v>
      </c>
      <c r="J4" s="4"/>
      <c r="K4" s="4" t="s">
        <v>633</v>
      </c>
      <c r="L4" s="1" t="s">
        <v>604</v>
      </c>
    </row>
    <row r="5" spans="1:12" ht="12.75" x14ac:dyDescent="0.2">
      <c r="B5" s="1" t="s">
        <v>691</v>
      </c>
      <c r="C5" s="4"/>
      <c r="H5" s="4"/>
      <c r="I5" s="4"/>
      <c r="J5" s="4"/>
    </row>
    <row r="6" spans="1:12" ht="12.75" x14ac:dyDescent="0.2">
      <c r="B6" s="1" t="s">
        <v>694</v>
      </c>
      <c r="J6" s="4"/>
      <c r="K6" s="4"/>
      <c r="L6" s="4"/>
    </row>
    <row r="7" spans="1:12" ht="12.75" x14ac:dyDescent="0.2">
      <c r="A7" s="40"/>
      <c r="B7" s="1" t="s">
        <v>695</v>
      </c>
      <c r="J7" s="4"/>
    </row>
    <row r="8" spans="1:12" ht="12.75" x14ac:dyDescent="0.2">
      <c r="B8" s="1" t="s">
        <v>692</v>
      </c>
      <c r="H8" s="4"/>
      <c r="I8" s="4"/>
      <c r="J8" s="4"/>
    </row>
    <row r="9" spans="1:12" ht="12.75" x14ac:dyDescent="0.2">
      <c r="B9" s="1" t="s">
        <v>693</v>
      </c>
      <c r="H9" s="4"/>
      <c r="I9" s="4"/>
      <c r="J9" s="4"/>
    </row>
    <row r="10" spans="1:12" ht="12.75" x14ac:dyDescent="0.2">
      <c r="H10" s="4"/>
      <c r="I10" s="4"/>
      <c r="J10" s="4"/>
    </row>
    <row r="11" spans="1:12" ht="12.75" x14ac:dyDescent="0.2">
      <c r="H11" s="4"/>
      <c r="I11" s="4"/>
      <c r="J11" s="4"/>
    </row>
    <row r="12" spans="1:12" ht="12.75" x14ac:dyDescent="0.2">
      <c r="H12" s="4"/>
      <c r="I12" s="4"/>
      <c r="J12" s="4"/>
    </row>
    <row r="13" spans="1:12" ht="12.75" x14ac:dyDescent="0.2">
      <c r="A13" s="4"/>
      <c r="H13" s="4"/>
      <c r="I13" s="4"/>
      <c r="J13" s="4"/>
    </row>
    <row r="14" spans="1:12" ht="12.75" x14ac:dyDescent="0.2">
      <c r="A14" s="4"/>
      <c r="H14" s="4"/>
      <c r="I14" s="4"/>
      <c r="J14" s="4"/>
    </row>
    <row r="15" spans="1:12" ht="12.75" x14ac:dyDescent="0.2">
      <c r="A15" s="1" t="s">
        <v>696</v>
      </c>
      <c r="H15" s="4" t="s">
        <v>719</v>
      </c>
      <c r="I15" s="4"/>
      <c r="J15" s="4"/>
    </row>
    <row r="16" spans="1:12" ht="12.75" x14ac:dyDescent="0.2">
      <c r="A16" s="4"/>
      <c r="H16" s="1" t="s">
        <v>720</v>
      </c>
      <c r="I16" s="4"/>
      <c r="J16" s="4"/>
    </row>
    <row r="17" spans="1:15" ht="12.75" x14ac:dyDescent="0.2">
      <c r="A17" s="4"/>
      <c r="H17" s="41" t="s">
        <v>718</v>
      </c>
      <c r="I17" s="4"/>
      <c r="J17" s="4"/>
    </row>
    <row r="18" spans="1:15" ht="12.75" x14ac:dyDescent="0.2">
      <c r="A18" s="1" t="s">
        <v>700</v>
      </c>
      <c r="C18" s="1" t="s">
        <v>622</v>
      </c>
      <c r="H18" s="4"/>
      <c r="I18" s="4"/>
      <c r="J18" s="4"/>
    </row>
    <row r="19" spans="1:15" ht="12.75" x14ac:dyDescent="0.2">
      <c r="A19" s="4" t="s">
        <v>699</v>
      </c>
      <c r="H19" s="4" t="s">
        <v>721</v>
      </c>
      <c r="I19" s="4"/>
      <c r="J19" s="4"/>
    </row>
    <row r="20" spans="1:15" ht="12.75" x14ac:dyDescent="0.2">
      <c r="A20" s="4"/>
      <c r="H20" s="4"/>
      <c r="I20" s="4"/>
      <c r="J20" s="4"/>
    </row>
    <row r="21" spans="1:15" ht="12.75" x14ac:dyDescent="0.2">
      <c r="A21" s="1" t="s">
        <v>698</v>
      </c>
      <c r="H21" s="4"/>
      <c r="I21" s="4"/>
      <c r="J21" s="4"/>
    </row>
    <row r="22" spans="1:15" ht="12.75" x14ac:dyDescent="0.2">
      <c r="A22" s="4"/>
      <c r="H22" s="4"/>
      <c r="I22" s="4"/>
      <c r="J22" s="4"/>
    </row>
    <row r="23" spans="1:15" ht="12.75" x14ac:dyDescent="0.2">
      <c r="A23" s="4"/>
      <c r="H23" s="4"/>
      <c r="I23" s="4"/>
      <c r="J23" s="4"/>
    </row>
    <row r="24" spans="1:15" ht="12.75" x14ac:dyDescent="0.2">
      <c r="A24" s="4"/>
      <c r="H24" s="4"/>
      <c r="I24" s="4"/>
      <c r="J24" s="4"/>
    </row>
    <row r="25" spans="1:15" ht="12.75" x14ac:dyDescent="0.2">
      <c r="H25" s="4"/>
      <c r="I25" s="4"/>
      <c r="J25" s="4"/>
    </row>
    <row r="26" spans="1:15" ht="12.75" x14ac:dyDescent="0.2">
      <c r="A26" s="4"/>
      <c r="H26" s="4"/>
      <c r="I26" s="4"/>
      <c r="J26" s="4"/>
    </row>
    <row r="27" spans="1:15" ht="12.75" x14ac:dyDescent="0.2">
      <c r="A27" s="4"/>
      <c r="H27" s="4"/>
      <c r="I27" s="4"/>
      <c r="J27" s="4"/>
    </row>
    <row r="28" spans="1:15" ht="12.75" x14ac:dyDescent="0.2">
      <c r="A28" s="4"/>
      <c r="H28" s="4"/>
      <c r="I28" s="4"/>
      <c r="J28" s="4"/>
    </row>
    <row r="29" spans="1:15" ht="12.75" x14ac:dyDescent="0.2">
      <c r="H29" s="4"/>
      <c r="I29" s="4"/>
      <c r="J29" s="4"/>
    </row>
    <row r="30" spans="1:15" ht="12.75" x14ac:dyDescent="0.2">
      <c r="A30" s="4"/>
      <c r="H30" s="4"/>
      <c r="I30" s="4"/>
      <c r="J30" s="4"/>
      <c r="O30" s="1" t="s">
        <v>0</v>
      </c>
    </row>
    <row r="31" spans="1:15" ht="12.75" x14ac:dyDescent="0.2">
      <c r="A31" s="4"/>
      <c r="H31" s="4"/>
      <c r="I31" s="4"/>
      <c r="J31" s="4"/>
    </row>
    <row r="32" spans="1:15" ht="12.75" x14ac:dyDescent="0.2">
      <c r="A32" s="4"/>
      <c r="H32" s="4"/>
      <c r="I32" s="4"/>
      <c r="J32" s="4"/>
    </row>
    <row r="33" spans="1:10" ht="12.75" x14ac:dyDescent="0.2">
      <c r="H33" s="4"/>
      <c r="I33" s="4"/>
      <c r="J33" s="4"/>
    </row>
    <row r="34" spans="1:10" ht="12.75" x14ac:dyDescent="0.2">
      <c r="A34" s="4"/>
      <c r="H34" s="4"/>
      <c r="I34" s="4"/>
      <c r="J34" s="4"/>
    </row>
    <row r="35" spans="1:10" ht="12.75" x14ac:dyDescent="0.2">
      <c r="A35" s="4"/>
      <c r="H35" s="4"/>
      <c r="I35" s="4"/>
      <c r="J35" s="4"/>
    </row>
    <row r="36" spans="1:10" ht="12.75" x14ac:dyDescent="0.2">
      <c r="A36" s="4"/>
      <c r="H36" s="4"/>
      <c r="I36" s="4"/>
      <c r="J36" s="4"/>
    </row>
    <row r="37" spans="1:10" ht="12.75" x14ac:dyDescent="0.2">
      <c r="H37" s="4"/>
      <c r="I37" s="4"/>
      <c r="J37" s="4"/>
    </row>
    <row r="38" spans="1:10" ht="12.75" x14ac:dyDescent="0.2">
      <c r="A38" s="4"/>
      <c r="H38" s="4"/>
      <c r="I38" s="4"/>
      <c r="J38" s="4"/>
    </row>
    <row r="39" spans="1:10" ht="12.75" x14ac:dyDescent="0.2">
      <c r="A39" s="4"/>
      <c r="H39" s="4"/>
      <c r="I39" s="4"/>
      <c r="J39" s="4"/>
    </row>
    <row r="40" spans="1:10" ht="12.75" x14ac:dyDescent="0.2">
      <c r="A40" s="4"/>
      <c r="H40" s="4"/>
      <c r="I40" s="4"/>
      <c r="J40" s="4"/>
    </row>
    <row r="41" spans="1:10" ht="12.75" x14ac:dyDescent="0.2">
      <c r="H41" s="4"/>
      <c r="I41" s="4"/>
      <c r="J41" s="4"/>
    </row>
    <row r="42" spans="1:10" ht="12.75" x14ac:dyDescent="0.2">
      <c r="H42" s="4"/>
      <c r="I42" s="4"/>
      <c r="J42" s="4"/>
    </row>
    <row r="43" spans="1:10" ht="12.75" x14ac:dyDescent="0.2">
      <c r="H43" s="4"/>
      <c r="I43" s="4"/>
      <c r="J43" s="4"/>
    </row>
    <row r="44" spans="1:10" ht="12.75" x14ac:dyDescent="0.2">
      <c r="H44" s="4"/>
      <c r="I44" s="4"/>
      <c r="J44" s="4"/>
    </row>
    <row r="45" spans="1:10" ht="12.75" x14ac:dyDescent="0.2">
      <c r="H45" s="4"/>
      <c r="I45" s="4"/>
      <c r="J45" s="4"/>
    </row>
    <row r="46" spans="1:10" ht="12.75" x14ac:dyDescent="0.2">
      <c r="H46" s="4"/>
      <c r="I46" s="4"/>
      <c r="J46" s="4"/>
    </row>
    <row r="47" spans="1:10" ht="12.75" x14ac:dyDescent="0.2">
      <c r="H47" s="4"/>
      <c r="I47" s="4"/>
      <c r="J47" s="4"/>
    </row>
    <row r="48" spans="1:10" ht="12.75" x14ac:dyDescent="0.2">
      <c r="H48" s="4"/>
      <c r="I48" s="4"/>
      <c r="J48" s="4"/>
    </row>
    <row r="49" spans="8:10" ht="12.75" x14ac:dyDescent="0.2">
      <c r="H49" s="4"/>
      <c r="I49" s="4"/>
      <c r="J49" s="4"/>
    </row>
    <row r="50" spans="8:10" ht="12.75" x14ac:dyDescent="0.2">
      <c r="H50" s="4"/>
      <c r="I50" s="4"/>
      <c r="J50" s="4"/>
    </row>
    <row r="51" spans="8:10" ht="12.75" x14ac:dyDescent="0.2">
      <c r="H51" s="4"/>
      <c r="I51" s="4"/>
      <c r="J51" s="4"/>
    </row>
    <row r="52" spans="8:10" ht="12.75" x14ac:dyDescent="0.2">
      <c r="H52" s="4"/>
      <c r="I52" s="4"/>
      <c r="J52" s="4"/>
    </row>
    <row r="53" spans="8:10" ht="12.75" x14ac:dyDescent="0.2">
      <c r="H53" s="4"/>
      <c r="I53" s="4"/>
      <c r="J53" s="4"/>
    </row>
    <row r="54" spans="8:10" ht="12.75" x14ac:dyDescent="0.2">
      <c r="H54" s="4"/>
      <c r="I54" s="4"/>
      <c r="J54" s="4"/>
    </row>
    <row r="55" spans="8:10" ht="12.75" x14ac:dyDescent="0.2">
      <c r="H55" s="41"/>
      <c r="I55" s="4"/>
      <c r="J55" s="4"/>
    </row>
    <row r="56" spans="8:10" ht="12.75" x14ac:dyDescent="0.2">
      <c r="H56" s="4"/>
      <c r="I56" s="4"/>
      <c r="J56" s="4"/>
    </row>
    <row r="57" spans="8:10" ht="12.75" x14ac:dyDescent="0.2">
      <c r="H57" s="41"/>
      <c r="I57" s="4"/>
      <c r="J57" s="4"/>
    </row>
    <row r="58" spans="8:10" ht="12.75" x14ac:dyDescent="0.2">
      <c r="H58" s="41"/>
      <c r="I58" s="4"/>
      <c r="J58" s="4"/>
    </row>
    <row r="59" spans="8:10" ht="12.75" x14ac:dyDescent="0.2">
      <c r="H59" s="41"/>
      <c r="I59" s="4"/>
      <c r="J59" s="4"/>
    </row>
    <row r="60" spans="8:10" ht="12.75" x14ac:dyDescent="0.2">
      <c r="H60" s="41"/>
      <c r="I60" s="4"/>
      <c r="J60" s="4"/>
    </row>
    <row r="61" spans="8:10" ht="12.75" x14ac:dyDescent="0.2">
      <c r="H61" s="41"/>
      <c r="I61" s="4"/>
      <c r="J61" s="4"/>
    </row>
    <row r="62" spans="8:10" ht="12.75" x14ac:dyDescent="0.2">
      <c r="H62" s="41"/>
      <c r="I62" s="4"/>
      <c r="J62" s="4"/>
    </row>
    <row r="63" spans="8:10" ht="12.75" x14ac:dyDescent="0.2">
      <c r="H63" s="41"/>
      <c r="I63" s="4"/>
      <c r="J63" s="4"/>
    </row>
    <row r="64" spans="8:10" ht="12.75" x14ac:dyDescent="0.2">
      <c r="H64" s="4"/>
      <c r="I64" s="4"/>
      <c r="J64" s="4"/>
    </row>
    <row r="65" spans="8:10" ht="12.75" x14ac:dyDescent="0.2">
      <c r="H65" s="4"/>
      <c r="I65" s="4"/>
      <c r="J65" s="4"/>
    </row>
    <row r="66" spans="8:10" ht="12.75" x14ac:dyDescent="0.2">
      <c r="H66" s="4"/>
      <c r="I66" s="4"/>
      <c r="J66" s="4"/>
    </row>
    <row r="67" spans="8:10" ht="12.75" x14ac:dyDescent="0.2">
      <c r="H67" s="4"/>
      <c r="I67" s="4"/>
      <c r="J67" s="4"/>
    </row>
    <row r="68" spans="8:10" ht="12.75" x14ac:dyDescent="0.2">
      <c r="H68" s="4"/>
      <c r="I68" s="4"/>
      <c r="J68" s="4"/>
    </row>
    <row r="69" spans="8:10" ht="12.75" x14ac:dyDescent="0.2">
      <c r="H69" s="4"/>
      <c r="I69" s="4"/>
      <c r="J69" s="4"/>
    </row>
    <row r="70" spans="8:10" ht="12.75" x14ac:dyDescent="0.2">
      <c r="H70" s="4"/>
      <c r="I70" s="4"/>
      <c r="J70" s="4"/>
    </row>
    <row r="71" spans="8:10" ht="12.75" x14ac:dyDescent="0.2">
      <c r="H71" s="4"/>
      <c r="I71" s="4"/>
      <c r="J71" s="4"/>
    </row>
    <row r="72" spans="8:10" ht="12.75" x14ac:dyDescent="0.2">
      <c r="H72" s="4"/>
      <c r="I72" s="4"/>
      <c r="J72" s="4"/>
    </row>
    <row r="73" spans="8:10" ht="12.75" x14ac:dyDescent="0.2">
      <c r="H73" s="4"/>
      <c r="I73" s="4"/>
      <c r="J73" s="4"/>
    </row>
    <row r="74" spans="8:10" ht="12.75" x14ac:dyDescent="0.2">
      <c r="H74" s="4"/>
      <c r="I74" s="4"/>
      <c r="J74" s="4"/>
    </row>
    <row r="75" spans="8:10" ht="12.75" x14ac:dyDescent="0.2">
      <c r="H75" s="4"/>
      <c r="I75" s="4"/>
      <c r="J75" s="4"/>
    </row>
    <row r="76" spans="8:10" ht="12.75" x14ac:dyDescent="0.2">
      <c r="H76" s="4"/>
      <c r="I76" s="4"/>
      <c r="J76" s="4"/>
    </row>
    <row r="77" spans="8:10" ht="12.75" x14ac:dyDescent="0.2">
      <c r="H77" s="4"/>
      <c r="I77" s="4"/>
      <c r="J77" s="4"/>
    </row>
    <row r="78" spans="8:10" ht="12.75" x14ac:dyDescent="0.2">
      <c r="H78" s="4"/>
      <c r="I78" s="4"/>
      <c r="J78" s="4"/>
    </row>
    <row r="79" spans="8:10" ht="12.75" x14ac:dyDescent="0.2">
      <c r="H79" s="41"/>
      <c r="I79" s="4"/>
      <c r="J79" s="4"/>
    </row>
    <row r="80" spans="8:10" ht="12.75" x14ac:dyDescent="0.2">
      <c r="H80" s="4"/>
      <c r="I80" s="4"/>
      <c r="J80" s="4"/>
    </row>
    <row r="81" spans="8:10" ht="12.75" x14ac:dyDescent="0.2">
      <c r="H81" s="4"/>
      <c r="I81" s="4"/>
      <c r="J81" s="4"/>
    </row>
    <row r="82" spans="8:10" ht="12.75" x14ac:dyDescent="0.2">
      <c r="H82" s="4"/>
      <c r="I82" s="4"/>
      <c r="J82" s="4"/>
    </row>
    <row r="83" spans="8:10" ht="12.75" x14ac:dyDescent="0.2">
      <c r="H83" s="4"/>
      <c r="I83" s="4"/>
      <c r="J83" s="4"/>
    </row>
    <row r="84" spans="8:10" ht="12.75" x14ac:dyDescent="0.2">
      <c r="H84" s="4"/>
      <c r="I84" s="4"/>
      <c r="J84" s="4"/>
    </row>
    <row r="85" spans="8:10" ht="12.75" x14ac:dyDescent="0.2">
      <c r="H85" s="4"/>
      <c r="I85" s="4"/>
      <c r="J85" s="4"/>
    </row>
    <row r="86" spans="8:10" ht="12.75" x14ac:dyDescent="0.2">
      <c r="H86" s="4"/>
      <c r="I86" s="4"/>
      <c r="J86" s="4"/>
    </row>
    <row r="87" spans="8:10" ht="12.75" x14ac:dyDescent="0.2">
      <c r="H87" s="4"/>
      <c r="I87" s="4"/>
      <c r="J87" s="4"/>
    </row>
    <row r="88" spans="8:10" ht="12.75" x14ac:dyDescent="0.2">
      <c r="H88" s="4"/>
      <c r="I88" s="4"/>
      <c r="J88" s="4"/>
    </row>
    <row r="89" spans="8:10" ht="12.75" x14ac:dyDescent="0.2">
      <c r="H89" s="4"/>
      <c r="I89" s="4"/>
      <c r="J89" s="4"/>
    </row>
    <row r="90" spans="8:10" ht="12.75" x14ac:dyDescent="0.2">
      <c r="H90" s="4"/>
      <c r="I90" s="4"/>
      <c r="J90" s="4"/>
    </row>
    <row r="91" spans="8:10" ht="12.75" x14ac:dyDescent="0.2">
      <c r="H91" s="4"/>
      <c r="I91" s="4"/>
      <c r="J91" s="4"/>
    </row>
    <row r="92" spans="8:10" ht="12.75" x14ac:dyDescent="0.2">
      <c r="H92" s="4"/>
      <c r="I92" s="4"/>
      <c r="J92" s="4"/>
    </row>
    <row r="93" spans="8:10" ht="12.75" x14ac:dyDescent="0.2">
      <c r="H93" s="4"/>
      <c r="I93" s="4"/>
      <c r="J93" s="4"/>
    </row>
    <row r="94" spans="8:10" ht="12.75" x14ac:dyDescent="0.2">
      <c r="H94" s="4"/>
      <c r="I94" s="4"/>
      <c r="J94" s="4"/>
    </row>
    <row r="95" spans="8:10" ht="12.75" x14ac:dyDescent="0.2">
      <c r="H95" s="4"/>
      <c r="I95" s="4"/>
      <c r="J95" s="4"/>
    </row>
    <row r="96" spans="8:10" ht="12.75" x14ac:dyDescent="0.2">
      <c r="H96" s="4"/>
      <c r="I96" s="4"/>
      <c r="J96" s="4"/>
    </row>
    <row r="97" spans="8:10" ht="12.75" x14ac:dyDescent="0.2">
      <c r="H97" s="4"/>
      <c r="I97" s="4"/>
      <c r="J97" s="4"/>
    </row>
    <row r="98" spans="8:10" ht="12.75" x14ac:dyDescent="0.2">
      <c r="H98" s="4"/>
      <c r="I98" s="4"/>
      <c r="J98" s="4"/>
    </row>
    <row r="99" spans="8:10" ht="12.75" x14ac:dyDescent="0.2">
      <c r="H99" s="4"/>
      <c r="I99" s="4"/>
      <c r="J99" s="4"/>
    </row>
    <row r="100" spans="8:10" ht="12.75" x14ac:dyDescent="0.2">
      <c r="H100" s="4"/>
      <c r="I100" s="4"/>
      <c r="J100" s="4"/>
    </row>
    <row r="101" spans="8:10" ht="12.75" x14ac:dyDescent="0.2">
      <c r="H101" s="4"/>
      <c r="I101" s="4"/>
      <c r="J101" s="4"/>
    </row>
    <row r="102" spans="8:10" ht="12.75" x14ac:dyDescent="0.2">
      <c r="H102" s="4"/>
      <c r="I102" s="4"/>
      <c r="J102" s="4"/>
    </row>
    <row r="103" spans="8:10" ht="12.75" x14ac:dyDescent="0.2">
      <c r="H103" s="4"/>
      <c r="I103" s="4"/>
      <c r="J103" s="4"/>
    </row>
    <row r="104" spans="8:10" ht="12.75" x14ac:dyDescent="0.2">
      <c r="H104" s="4"/>
      <c r="I104" s="4"/>
      <c r="J104" s="4"/>
    </row>
    <row r="105" spans="8:10" ht="12.75" x14ac:dyDescent="0.2">
      <c r="H105" s="4"/>
      <c r="I105" s="4"/>
      <c r="J105" s="4"/>
    </row>
    <row r="106" spans="8:10" ht="12.75" x14ac:dyDescent="0.2">
      <c r="H106" s="4"/>
      <c r="I106" s="4"/>
      <c r="J106" s="4"/>
    </row>
    <row r="107" spans="8:10" ht="12.75" x14ac:dyDescent="0.2">
      <c r="H107" s="4"/>
      <c r="I107" s="4"/>
      <c r="J107" s="4"/>
    </row>
    <row r="108" spans="8:10" ht="12.75" x14ac:dyDescent="0.2">
      <c r="H108" s="4"/>
      <c r="I108" s="4"/>
      <c r="J108" s="4"/>
    </row>
    <row r="109" spans="8:10" ht="12.75" x14ac:dyDescent="0.2">
      <c r="H109" s="4"/>
      <c r="I109" s="4"/>
      <c r="J109" s="4"/>
    </row>
    <row r="110" spans="8:10" ht="12.75" x14ac:dyDescent="0.2">
      <c r="H110" s="4"/>
      <c r="I110" s="4"/>
      <c r="J110" s="4"/>
    </row>
    <row r="111" spans="8:10" ht="12.75" x14ac:dyDescent="0.2">
      <c r="H111" s="4"/>
      <c r="I111" s="4"/>
      <c r="J111" s="4"/>
    </row>
    <row r="112" spans="8:10" ht="12.75" x14ac:dyDescent="0.2">
      <c r="H112" s="4"/>
      <c r="I112" s="4"/>
      <c r="J112" s="4"/>
    </row>
    <row r="113" spans="8:10" ht="12.75" x14ac:dyDescent="0.2">
      <c r="H113" s="4"/>
      <c r="I113" s="4"/>
      <c r="J113" s="4"/>
    </row>
    <row r="114" spans="8:10" ht="12.75" x14ac:dyDescent="0.2">
      <c r="H114" s="4"/>
      <c r="I114" s="4"/>
      <c r="J114" s="4"/>
    </row>
    <row r="115" spans="8:10" ht="12.75" x14ac:dyDescent="0.2">
      <c r="H115" s="4"/>
      <c r="I115" s="4"/>
      <c r="J115" s="4"/>
    </row>
    <row r="116" spans="8:10" ht="12.75" x14ac:dyDescent="0.2">
      <c r="H116" s="4"/>
      <c r="I116" s="4"/>
      <c r="J116" s="4"/>
    </row>
    <row r="117" spans="8:10" ht="12.75" x14ac:dyDescent="0.2">
      <c r="H117" s="4"/>
      <c r="I117" s="4"/>
      <c r="J117" s="4"/>
    </row>
    <row r="118" spans="8:10" ht="12.75" x14ac:dyDescent="0.2">
      <c r="H118" s="4"/>
      <c r="I118" s="4"/>
      <c r="J118" s="4"/>
    </row>
    <row r="119" spans="8:10" ht="12.75" x14ac:dyDescent="0.2">
      <c r="H119" s="4"/>
      <c r="I119" s="4"/>
      <c r="J119" s="4"/>
    </row>
    <row r="120" spans="8:10" ht="12.75" x14ac:dyDescent="0.2">
      <c r="H120" s="4"/>
      <c r="I120" s="4"/>
      <c r="J120" s="4"/>
    </row>
    <row r="121" spans="8:10" ht="12.75" x14ac:dyDescent="0.2">
      <c r="H121" s="4"/>
      <c r="I121" s="4"/>
      <c r="J121" s="4"/>
    </row>
    <row r="122" spans="8:10" ht="12.75" x14ac:dyDescent="0.2">
      <c r="H122" s="4"/>
      <c r="I122" s="4"/>
      <c r="J122" s="4"/>
    </row>
    <row r="123" spans="8:10" ht="12.75" x14ac:dyDescent="0.2">
      <c r="H123" s="4"/>
      <c r="I123" s="4"/>
      <c r="J123" s="4"/>
    </row>
    <row r="124" spans="8:10" ht="12.75" x14ac:dyDescent="0.2">
      <c r="H124" s="4"/>
      <c r="I124" s="4"/>
      <c r="J124" s="4"/>
    </row>
    <row r="125" spans="8:10" ht="12.75" x14ac:dyDescent="0.2">
      <c r="H125" s="4"/>
      <c r="I125" s="4"/>
      <c r="J125" s="4"/>
    </row>
    <row r="126" spans="8:10" ht="12.75" x14ac:dyDescent="0.2">
      <c r="H126" s="4"/>
      <c r="I126" s="4"/>
      <c r="J126" s="4"/>
    </row>
    <row r="127" spans="8:10" ht="12.75" x14ac:dyDescent="0.2">
      <c r="H127" s="4"/>
      <c r="I127" s="4"/>
      <c r="J127" s="4"/>
    </row>
    <row r="128" spans="8:10" ht="12.75" x14ac:dyDescent="0.2">
      <c r="H128" s="4"/>
      <c r="I128" s="4"/>
      <c r="J128" s="4"/>
    </row>
    <row r="129" spans="8:10" ht="12.75" x14ac:dyDescent="0.2">
      <c r="H129" s="4"/>
      <c r="I129" s="4"/>
      <c r="J129" s="4"/>
    </row>
    <row r="130" spans="8:10" ht="12.75" x14ac:dyDescent="0.2">
      <c r="H130" s="4"/>
      <c r="I130" s="4"/>
      <c r="J130" s="4"/>
    </row>
    <row r="131" spans="8:10" ht="12.75" x14ac:dyDescent="0.2">
      <c r="H131" s="4"/>
      <c r="I131" s="4"/>
      <c r="J131" s="4"/>
    </row>
    <row r="132" spans="8:10" ht="12.75" x14ac:dyDescent="0.2">
      <c r="H132" s="4"/>
      <c r="I132" s="4"/>
      <c r="J132" s="4"/>
    </row>
    <row r="133" spans="8:10" ht="12.75" x14ac:dyDescent="0.2">
      <c r="H133" s="4"/>
      <c r="I133" s="4"/>
      <c r="J133" s="4"/>
    </row>
    <row r="134" spans="8:10" ht="12.75" x14ac:dyDescent="0.2">
      <c r="H134" s="4"/>
      <c r="I134" s="4"/>
      <c r="J134" s="4"/>
    </row>
    <row r="135" spans="8:10" ht="12.75" x14ac:dyDescent="0.2">
      <c r="H135" s="4"/>
      <c r="I135" s="4"/>
      <c r="J135" s="4"/>
    </row>
    <row r="136" spans="8:10" ht="12.75" x14ac:dyDescent="0.2">
      <c r="H136" s="4"/>
      <c r="I136" s="4"/>
      <c r="J136" s="4"/>
    </row>
    <row r="137" spans="8:10" ht="12.75" x14ac:dyDescent="0.2">
      <c r="H137" s="4"/>
      <c r="I137" s="4"/>
      <c r="J137" s="4"/>
    </row>
    <row r="138" spans="8:10" ht="12.75" x14ac:dyDescent="0.2">
      <c r="H138" s="4"/>
      <c r="I138" s="4"/>
      <c r="J138" s="4"/>
    </row>
    <row r="139" spans="8:10" ht="12.75" x14ac:dyDescent="0.2">
      <c r="H139" s="4"/>
      <c r="I139" s="4"/>
      <c r="J139" s="4"/>
    </row>
    <row r="140" spans="8:10" ht="12.75" x14ac:dyDescent="0.2">
      <c r="H140" s="4"/>
      <c r="I140" s="4"/>
      <c r="J140" s="4"/>
    </row>
    <row r="141" spans="8:10" ht="12.75" x14ac:dyDescent="0.2">
      <c r="H141" s="4"/>
      <c r="I141" s="4"/>
      <c r="J141" s="4"/>
    </row>
    <row r="142" spans="8:10" ht="12.75" x14ac:dyDescent="0.2">
      <c r="H142" s="4"/>
      <c r="I142" s="4"/>
      <c r="J142" s="4"/>
    </row>
    <row r="143" spans="8:10" ht="12.75" x14ac:dyDescent="0.2">
      <c r="H143" s="4"/>
      <c r="I143" s="4"/>
      <c r="J143" s="4"/>
    </row>
    <row r="144" spans="8:10" ht="12.75" x14ac:dyDescent="0.2">
      <c r="H144" s="4"/>
      <c r="I144" s="4"/>
      <c r="J144" s="4"/>
    </row>
    <row r="145" spans="8:10" ht="12.75" x14ac:dyDescent="0.2">
      <c r="H145" s="4"/>
      <c r="I145" s="4"/>
      <c r="J145" s="4"/>
    </row>
    <row r="146" spans="8:10" ht="12.75" x14ac:dyDescent="0.2">
      <c r="H146" s="4"/>
      <c r="I146" s="4"/>
      <c r="J146" s="4"/>
    </row>
    <row r="147" spans="8:10" ht="12.75" x14ac:dyDescent="0.2">
      <c r="H147" s="4"/>
      <c r="I147" s="4"/>
      <c r="J147" s="4"/>
    </row>
    <row r="148" spans="8:10" ht="12.75" x14ac:dyDescent="0.2">
      <c r="H148" s="4"/>
      <c r="I148" s="4"/>
      <c r="J148" s="4"/>
    </row>
    <row r="149" spans="8:10" ht="12.75" x14ac:dyDescent="0.2">
      <c r="H149" s="4"/>
      <c r="I149" s="4"/>
      <c r="J149" s="4"/>
    </row>
    <row r="150" spans="8:10" ht="12.75" x14ac:dyDescent="0.2">
      <c r="H150" s="4"/>
      <c r="I150" s="4"/>
      <c r="J150" s="4"/>
    </row>
    <row r="151" spans="8:10" ht="12.75" x14ac:dyDescent="0.2">
      <c r="H151" s="4"/>
      <c r="I151" s="4"/>
      <c r="J151" s="4"/>
    </row>
    <row r="152" spans="8:10" ht="12.75" x14ac:dyDescent="0.2">
      <c r="H152" s="4"/>
      <c r="I152" s="4"/>
      <c r="J152" s="4"/>
    </row>
    <row r="153" spans="8:10" ht="12.75" x14ac:dyDescent="0.2">
      <c r="H153" s="4"/>
      <c r="I153" s="4"/>
      <c r="J153" s="4"/>
    </row>
    <row r="154" spans="8:10" ht="12.75" x14ac:dyDescent="0.2">
      <c r="H154" s="4"/>
      <c r="I154" s="4"/>
      <c r="J154" s="4"/>
    </row>
    <row r="155" spans="8:10" ht="12.75" x14ac:dyDescent="0.2">
      <c r="H155" s="4"/>
      <c r="I155" s="4"/>
      <c r="J155" s="4"/>
    </row>
    <row r="156" spans="8:10" ht="12.75" x14ac:dyDescent="0.2">
      <c r="H156" s="4"/>
      <c r="I156" s="4"/>
      <c r="J156" s="4"/>
    </row>
    <row r="157" spans="8:10" ht="12.75" x14ac:dyDescent="0.2">
      <c r="H157" s="4"/>
      <c r="I157" s="4"/>
      <c r="J157" s="4"/>
    </row>
    <row r="158" spans="8:10" ht="12.75" x14ac:dyDescent="0.2">
      <c r="H158" s="4"/>
      <c r="I158" s="4"/>
      <c r="J158" s="4"/>
    </row>
    <row r="159" spans="8:10" ht="12.75" x14ac:dyDescent="0.2">
      <c r="H159" s="4"/>
      <c r="I159" s="4"/>
      <c r="J159" s="4"/>
    </row>
    <row r="160" spans="8:10" ht="12.75" x14ac:dyDescent="0.2">
      <c r="H160" s="4"/>
      <c r="I160" s="4"/>
      <c r="J160" s="4"/>
    </row>
    <row r="161" spans="8:10" ht="12.75" x14ac:dyDescent="0.2">
      <c r="H161" s="4"/>
      <c r="I161" s="4"/>
      <c r="J161" s="4"/>
    </row>
    <row r="162" spans="8:10" ht="12.75" x14ac:dyDescent="0.2">
      <c r="H162" s="4"/>
      <c r="I162" s="4"/>
      <c r="J162" s="4"/>
    </row>
    <row r="163" spans="8:10" ht="12.75" x14ac:dyDescent="0.2">
      <c r="H163" s="4"/>
      <c r="I163" s="4"/>
      <c r="J163" s="4"/>
    </row>
    <row r="164" spans="8:10" ht="12.75" x14ac:dyDescent="0.2">
      <c r="H164" s="4"/>
      <c r="I164" s="4"/>
      <c r="J164" s="4"/>
    </row>
    <row r="165" spans="8:10" ht="12.75" x14ac:dyDescent="0.2">
      <c r="H165" s="4"/>
      <c r="I165" s="4"/>
      <c r="J165" s="4"/>
    </row>
    <row r="166" spans="8:10" ht="12.75" x14ac:dyDescent="0.2">
      <c r="H166" s="4"/>
      <c r="I166" s="4"/>
      <c r="J166" s="4"/>
    </row>
    <row r="167" spans="8:10" ht="12.75" x14ac:dyDescent="0.2">
      <c r="H167" s="4"/>
      <c r="I167" s="4"/>
      <c r="J167" s="4"/>
    </row>
    <row r="168" spans="8:10" ht="12.75" x14ac:dyDescent="0.2">
      <c r="H168" s="4"/>
      <c r="I168" s="4"/>
      <c r="J168" s="4"/>
    </row>
    <row r="169" spans="8:10" ht="12.75" x14ac:dyDescent="0.2">
      <c r="H169" s="4"/>
      <c r="I169" s="4"/>
      <c r="J169" s="4"/>
    </row>
    <row r="170" spans="8:10" ht="12.75" x14ac:dyDescent="0.2">
      <c r="H170" s="4"/>
      <c r="I170" s="4"/>
      <c r="J170" s="4"/>
    </row>
    <row r="171" spans="8:10" ht="12.75" x14ac:dyDescent="0.2">
      <c r="H171" s="4"/>
      <c r="I171" s="4"/>
      <c r="J171" s="4"/>
    </row>
    <row r="172" spans="8:10" ht="12.75" x14ac:dyDescent="0.2">
      <c r="H172" s="4"/>
      <c r="I172" s="4"/>
      <c r="J172" s="4"/>
    </row>
    <row r="173" spans="8:10" ht="12.75" x14ac:dyDescent="0.2">
      <c r="H173" s="4"/>
      <c r="I173" s="4"/>
      <c r="J173" s="4"/>
    </row>
    <row r="174" spans="8:10" ht="12.75" x14ac:dyDescent="0.2">
      <c r="H174" s="4"/>
      <c r="I174" s="4"/>
      <c r="J174" s="4"/>
    </row>
    <row r="175" spans="8:10" ht="12.75" x14ac:dyDescent="0.2">
      <c r="H175" s="4"/>
      <c r="I175" s="4"/>
      <c r="J175" s="4"/>
    </row>
    <row r="176" spans="8:10" ht="12.75" x14ac:dyDescent="0.2">
      <c r="H176" s="4"/>
      <c r="I176" s="4"/>
      <c r="J176" s="4"/>
    </row>
    <row r="177" spans="8:10" ht="12.75" x14ac:dyDescent="0.2">
      <c r="H177" s="4"/>
      <c r="I177" s="4"/>
      <c r="J177" s="4"/>
    </row>
    <row r="178" spans="8:10" ht="12.75" x14ac:dyDescent="0.2">
      <c r="H178" s="4"/>
      <c r="I178" s="4"/>
      <c r="J178" s="4"/>
    </row>
    <row r="179" spans="8:10" ht="12.75" x14ac:dyDescent="0.2">
      <c r="H179" s="4"/>
      <c r="I179" s="4"/>
      <c r="J179" s="4"/>
    </row>
    <row r="180" spans="8:10" ht="12.75" x14ac:dyDescent="0.2">
      <c r="H180" s="4"/>
      <c r="I180" s="4"/>
      <c r="J180" s="4"/>
    </row>
    <row r="181" spans="8:10" ht="12.75" x14ac:dyDescent="0.2">
      <c r="H181" s="4"/>
      <c r="I181" s="4"/>
      <c r="J181" s="4"/>
    </row>
    <row r="182" spans="8:10" ht="12.75" x14ac:dyDescent="0.2">
      <c r="H182" s="4"/>
      <c r="I182" s="4"/>
      <c r="J182" s="4"/>
    </row>
    <row r="183" spans="8:10" ht="12.75" x14ac:dyDescent="0.2">
      <c r="H183" s="4"/>
      <c r="I183" s="4"/>
      <c r="J183" s="4"/>
    </row>
    <row r="184" spans="8:10" ht="12.75" x14ac:dyDescent="0.2">
      <c r="H184" s="4"/>
      <c r="I184" s="4"/>
      <c r="J184" s="4"/>
    </row>
    <row r="185" spans="8:10" ht="12.75" x14ac:dyDescent="0.2">
      <c r="H185" s="4"/>
      <c r="I185" s="4"/>
      <c r="J185" s="4"/>
    </row>
    <row r="186" spans="8:10" ht="12.75" x14ac:dyDescent="0.2">
      <c r="H186" s="4"/>
      <c r="I186" s="4"/>
      <c r="J186" s="4"/>
    </row>
    <row r="187" spans="8:10" ht="12.75" x14ac:dyDescent="0.2">
      <c r="H187" s="4"/>
      <c r="I187" s="4"/>
      <c r="J187" s="4"/>
    </row>
    <row r="188" spans="8:10" ht="12.75" x14ac:dyDescent="0.2">
      <c r="H188" s="4"/>
      <c r="I188" s="4"/>
      <c r="J188" s="4"/>
    </row>
    <row r="189" spans="8:10" ht="12.75" x14ac:dyDescent="0.2">
      <c r="H189" s="4"/>
      <c r="I189" s="4"/>
      <c r="J189" s="4"/>
    </row>
    <row r="190" spans="8:10" ht="12.75" x14ac:dyDescent="0.2">
      <c r="H190" s="4"/>
      <c r="I190" s="4"/>
      <c r="J190" s="4"/>
    </row>
    <row r="191" spans="8:10" ht="12.75" x14ac:dyDescent="0.2">
      <c r="H191" s="41"/>
      <c r="I191" s="4"/>
      <c r="J191" s="4"/>
    </row>
    <row r="192" spans="8:10" ht="12.75" x14ac:dyDescent="0.2">
      <c r="H192" s="4"/>
      <c r="I192" s="4"/>
      <c r="J192" s="4"/>
    </row>
    <row r="193" spans="8:10" ht="12.75" x14ac:dyDescent="0.2">
      <c r="H193" s="4"/>
      <c r="I193" s="4"/>
      <c r="J193" s="4"/>
    </row>
    <row r="194" spans="8:10" ht="12.75" x14ac:dyDescent="0.2">
      <c r="H194" s="4"/>
      <c r="I194" s="4"/>
      <c r="J194" s="4"/>
    </row>
    <row r="195" spans="8:10" ht="12.75" x14ac:dyDescent="0.2">
      <c r="H195" s="41"/>
      <c r="I195" s="4"/>
      <c r="J195" s="4"/>
    </row>
    <row r="196" spans="8:10" ht="12.75" x14ac:dyDescent="0.2">
      <c r="H196" s="4"/>
      <c r="I196" s="4"/>
      <c r="J196" s="4"/>
    </row>
    <row r="197" spans="8:10" ht="12.75" x14ac:dyDescent="0.2">
      <c r="H197" s="41"/>
      <c r="I197" s="4"/>
      <c r="J197" s="4"/>
    </row>
    <row r="198" spans="8:10" ht="12.75" x14ac:dyDescent="0.2">
      <c r="H198" s="41"/>
      <c r="I198" s="4"/>
      <c r="J198" s="4"/>
    </row>
    <row r="199" spans="8:10" ht="12.75" x14ac:dyDescent="0.2">
      <c r="H199" s="41"/>
      <c r="I199" s="4"/>
      <c r="J199" s="4"/>
    </row>
    <row r="200" spans="8:10" ht="12.75" x14ac:dyDescent="0.2">
      <c r="H200" s="41"/>
      <c r="I200" s="4"/>
      <c r="J200" s="4"/>
    </row>
    <row r="201" spans="8:10" ht="12.75" x14ac:dyDescent="0.2">
      <c r="H201" s="41"/>
      <c r="I201" s="4"/>
      <c r="J201" s="4"/>
    </row>
    <row r="202" spans="8:10" ht="12.75" x14ac:dyDescent="0.2">
      <c r="H202" s="4"/>
      <c r="I202" s="4"/>
      <c r="J202" s="4"/>
    </row>
    <row r="203" spans="8:10" ht="12.75" x14ac:dyDescent="0.2">
      <c r="H203" s="4"/>
      <c r="I203" s="4"/>
      <c r="J203" s="4"/>
    </row>
    <row r="204" spans="8:10" ht="12.75" x14ac:dyDescent="0.2">
      <c r="H204" s="4"/>
      <c r="I204" s="4"/>
      <c r="J204" s="4"/>
    </row>
    <row r="205" spans="8:10" ht="12.75" x14ac:dyDescent="0.2">
      <c r="H205" s="4"/>
      <c r="I205" s="4"/>
      <c r="J205" s="4"/>
    </row>
    <row r="206" spans="8:10" ht="12.75" x14ac:dyDescent="0.2">
      <c r="H206" s="4"/>
      <c r="I206" s="4"/>
      <c r="J206" s="4"/>
    </row>
    <row r="207" spans="8:10" ht="12.75" x14ac:dyDescent="0.2">
      <c r="H207" s="4"/>
      <c r="I207" s="4"/>
      <c r="J207" s="4"/>
    </row>
    <row r="208" spans="8:10" ht="12.75" x14ac:dyDescent="0.2">
      <c r="H208" s="4"/>
      <c r="I208" s="4"/>
      <c r="J208" s="4"/>
    </row>
    <row r="209" spans="8:10" ht="12.75" x14ac:dyDescent="0.2">
      <c r="H209" s="4"/>
      <c r="I209" s="4"/>
      <c r="J209" s="4"/>
    </row>
    <row r="210" spans="8:10" ht="12.75" x14ac:dyDescent="0.2">
      <c r="H210" s="4"/>
      <c r="I210" s="4"/>
      <c r="J210" s="4"/>
    </row>
    <row r="211" spans="8:10" ht="12.75" x14ac:dyDescent="0.2">
      <c r="H211" s="4"/>
      <c r="I211" s="4"/>
      <c r="J211" s="4"/>
    </row>
    <row r="212" spans="8:10" ht="12.75" x14ac:dyDescent="0.2">
      <c r="H212" s="4"/>
      <c r="I212" s="4"/>
      <c r="J212" s="4"/>
    </row>
    <row r="213" spans="8:10" ht="12.75" x14ac:dyDescent="0.2">
      <c r="H213" s="4"/>
      <c r="I213" s="4"/>
      <c r="J213" s="4"/>
    </row>
    <row r="214" spans="8:10" ht="12.75" x14ac:dyDescent="0.2">
      <c r="H214" s="4"/>
      <c r="I214" s="4"/>
      <c r="J214" s="4"/>
    </row>
    <row r="215" spans="8:10" ht="12.75" x14ac:dyDescent="0.2">
      <c r="H215" s="4"/>
      <c r="I215" s="4"/>
      <c r="J215" s="4"/>
    </row>
    <row r="216" spans="8:10" ht="12.75" x14ac:dyDescent="0.2">
      <c r="H216" s="4"/>
      <c r="I216" s="4"/>
      <c r="J216" s="4"/>
    </row>
    <row r="217" spans="8:10" ht="12.75" x14ac:dyDescent="0.2">
      <c r="H217" s="4"/>
      <c r="I217" s="4"/>
      <c r="J217" s="4"/>
    </row>
    <row r="218" spans="8:10" ht="12.75" x14ac:dyDescent="0.2">
      <c r="H218" s="4"/>
      <c r="I218" s="4"/>
      <c r="J218" s="4"/>
    </row>
    <row r="219" spans="8:10" ht="12.75" x14ac:dyDescent="0.2">
      <c r="H219" s="4"/>
      <c r="I219" s="4"/>
      <c r="J219" s="4"/>
    </row>
    <row r="220" spans="8:10" ht="12.75" x14ac:dyDescent="0.2">
      <c r="H220" s="4"/>
      <c r="I220" s="4"/>
      <c r="J220" s="4"/>
    </row>
    <row r="221" spans="8:10" ht="12.75" x14ac:dyDescent="0.2">
      <c r="H221" s="4"/>
      <c r="I221" s="4"/>
      <c r="J221" s="4"/>
    </row>
    <row r="222" spans="8:10" ht="12.75" x14ac:dyDescent="0.2">
      <c r="H222" s="4"/>
      <c r="I222" s="4"/>
      <c r="J222" s="4"/>
    </row>
    <row r="223" spans="8:10" ht="12.75" x14ac:dyDescent="0.2">
      <c r="H223" s="42"/>
      <c r="I223" s="4"/>
      <c r="J223" s="4"/>
    </row>
    <row r="224" spans="8:10" ht="12.75" x14ac:dyDescent="0.2">
      <c r="H224" s="42"/>
      <c r="I224" s="4"/>
      <c r="J224" s="4"/>
    </row>
    <row r="225" spans="8:10" ht="12.75" x14ac:dyDescent="0.2">
      <c r="H225" s="42"/>
      <c r="I225" s="4"/>
      <c r="J225" s="4"/>
    </row>
    <row r="226" spans="8:10" ht="12.75" x14ac:dyDescent="0.2">
      <c r="H226" s="42"/>
      <c r="I226" s="4"/>
      <c r="J226" s="4"/>
    </row>
    <row r="227" spans="8:10" ht="12.75" x14ac:dyDescent="0.2">
      <c r="H227" s="42"/>
      <c r="I227" s="4"/>
      <c r="J227" s="4"/>
    </row>
    <row r="228" spans="8:10" ht="12.75" x14ac:dyDescent="0.2">
      <c r="H228" s="42"/>
      <c r="I228" s="4"/>
      <c r="J228" s="4"/>
    </row>
    <row r="229" spans="8:10" ht="12.75" x14ac:dyDescent="0.2">
      <c r="H229" s="42"/>
      <c r="I229" s="4"/>
      <c r="J229" s="4"/>
    </row>
    <row r="230" spans="8:10" ht="12.75" x14ac:dyDescent="0.2">
      <c r="H230" s="42"/>
      <c r="I230" s="4"/>
      <c r="J230" s="4"/>
    </row>
    <row r="231" spans="8:10" ht="12.75" x14ac:dyDescent="0.2">
      <c r="H231" s="42"/>
      <c r="I231" s="4"/>
      <c r="J231" s="4"/>
    </row>
    <row r="232" spans="8:10" ht="12.75" x14ac:dyDescent="0.2">
      <c r="H232" s="42"/>
      <c r="I232" s="4"/>
      <c r="J232" s="4"/>
    </row>
    <row r="233" spans="8:10" ht="12.75" x14ac:dyDescent="0.2">
      <c r="H233" s="42"/>
      <c r="I233" s="4"/>
      <c r="J233" s="4"/>
    </row>
    <row r="234" spans="8:10" ht="12.75" x14ac:dyDescent="0.2">
      <c r="H234" s="42"/>
      <c r="I234" s="4"/>
      <c r="J234" s="4"/>
    </row>
    <row r="235" spans="8:10" ht="12.75" x14ac:dyDescent="0.2">
      <c r="H235" s="42"/>
      <c r="I235" s="4"/>
      <c r="J235" s="4"/>
    </row>
    <row r="236" spans="8:10" ht="12.75" x14ac:dyDescent="0.2">
      <c r="H236" s="4"/>
      <c r="I236" s="4"/>
      <c r="J236" s="4"/>
    </row>
    <row r="237" spans="8:10" ht="12.75" x14ac:dyDescent="0.2">
      <c r="H237" s="42"/>
      <c r="I237" s="4"/>
      <c r="J237" s="4"/>
    </row>
    <row r="238" spans="8:10" ht="12.75" x14ac:dyDescent="0.2">
      <c r="H238" s="42"/>
      <c r="I238" s="4"/>
      <c r="J238" s="4"/>
    </row>
    <row r="239" spans="8:10" ht="12.75" x14ac:dyDescent="0.2">
      <c r="H239" s="42"/>
      <c r="I239" s="4"/>
      <c r="J239" s="4"/>
    </row>
    <row r="240" spans="8:10" ht="12.75" x14ac:dyDescent="0.2">
      <c r="H240" s="4"/>
      <c r="I240" s="4"/>
      <c r="J240" s="4"/>
    </row>
    <row r="241" spans="8:10" ht="12.75" x14ac:dyDescent="0.2">
      <c r="H241" s="4"/>
      <c r="I241" s="4"/>
      <c r="J241" s="4"/>
    </row>
    <row r="242" spans="8:10" ht="12.75" x14ac:dyDescent="0.2">
      <c r="H242" s="4"/>
      <c r="I242" s="4"/>
      <c r="J242" s="4"/>
    </row>
    <row r="243" spans="8:10" ht="12.75" x14ac:dyDescent="0.2">
      <c r="H243" s="4"/>
      <c r="I243" s="4"/>
      <c r="J243" s="4"/>
    </row>
    <row r="244" spans="8:10" ht="12.75" x14ac:dyDescent="0.2">
      <c r="H244" s="4"/>
      <c r="I244" s="4"/>
      <c r="J244" s="4"/>
    </row>
    <row r="245" spans="8:10" ht="12.75" x14ac:dyDescent="0.2">
      <c r="H245" s="4"/>
      <c r="I245" s="4"/>
      <c r="J245" s="4"/>
    </row>
    <row r="246" spans="8:10" ht="12.75" x14ac:dyDescent="0.2">
      <c r="H246" s="4"/>
      <c r="I246" s="4"/>
      <c r="J246" s="4"/>
    </row>
    <row r="247" spans="8:10" ht="12.75" x14ac:dyDescent="0.2">
      <c r="H247" s="4"/>
      <c r="I247" s="4"/>
      <c r="J247" s="4"/>
    </row>
    <row r="248" spans="8:10" ht="12.75" x14ac:dyDescent="0.2">
      <c r="H248" s="4"/>
      <c r="I248" s="4"/>
      <c r="J248" s="4"/>
    </row>
    <row r="249" spans="8:10" ht="12.75" x14ac:dyDescent="0.2">
      <c r="H249" s="4"/>
      <c r="I249" s="4"/>
      <c r="J249" s="4"/>
    </row>
    <row r="250" spans="8:10" ht="12.75" x14ac:dyDescent="0.2">
      <c r="H250" s="4"/>
      <c r="I250" s="4"/>
      <c r="J250" s="4"/>
    </row>
    <row r="251" spans="8:10" ht="12.75" x14ac:dyDescent="0.2">
      <c r="H251" s="4"/>
      <c r="I251" s="4"/>
      <c r="J251" s="4"/>
    </row>
    <row r="252" spans="8:10" ht="12.75" x14ac:dyDescent="0.2">
      <c r="H252" s="4"/>
      <c r="I252" s="4"/>
      <c r="J252" s="4"/>
    </row>
    <row r="253" spans="8:10" ht="12.75" x14ac:dyDescent="0.2">
      <c r="H253" s="4"/>
      <c r="I253" s="4"/>
      <c r="J253" s="4"/>
    </row>
    <row r="254" spans="8:10" ht="12.75" x14ac:dyDescent="0.2">
      <c r="H254" s="4"/>
      <c r="I254" s="4"/>
      <c r="J254" s="4"/>
    </row>
    <row r="255" spans="8:10" ht="12.75" x14ac:dyDescent="0.2">
      <c r="H255" s="4"/>
      <c r="I255" s="4"/>
      <c r="J255" s="4"/>
    </row>
    <row r="256" spans="8:10" ht="12.75" x14ac:dyDescent="0.2">
      <c r="H256" s="4"/>
      <c r="I256" s="4"/>
      <c r="J256" s="4"/>
    </row>
    <row r="257" spans="8:10" ht="12.75" x14ac:dyDescent="0.2">
      <c r="H257" s="4"/>
      <c r="I257" s="4"/>
      <c r="J257" s="4"/>
    </row>
    <row r="258" spans="8:10" ht="12.75" x14ac:dyDescent="0.2">
      <c r="H258" s="4"/>
      <c r="I258" s="4"/>
      <c r="J258" s="4"/>
    </row>
    <row r="259" spans="8:10" ht="12.75" x14ac:dyDescent="0.2">
      <c r="H259" s="4"/>
      <c r="I259" s="4"/>
      <c r="J259" s="4"/>
    </row>
    <row r="260" spans="8:10" ht="12.75" x14ac:dyDescent="0.2">
      <c r="H260" s="4"/>
      <c r="I260" s="4"/>
      <c r="J260" s="4"/>
    </row>
    <row r="261" spans="8:10" ht="12.75" x14ac:dyDescent="0.2">
      <c r="H261" s="4"/>
      <c r="I261" s="4"/>
      <c r="J261" s="4"/>
    </row>
    <row r="262" spans="8:10" ht="12.75" x14ac:dyDescent="0.2">
      <c r="H262" s="4"/>
      <c r="I262" s="4"/>
      <c r="J262" s="4"/>
    </row>
    <row r="263" spans="8:10" ht="12.75" x14ac:dyDescent="0.2">
      <c r="H263" s="4"/>
      <c r="I263" s="4"/>
      <c r="J263" s="4"/>
    </row>
    <row r="264" spans="8:10" ht="12.75" x14ac:dyDescent="0.2">
      <c r="H264" s="4"/>
      <c r="I264" s="4"/>
      <c r="J264" s="4"/>
    </row>
    <row r="265" spans="8:10" ht="12.75" x14ac:dyDescent="0.2">
      <c r="H265" s="4"/>
      <c r="I265" s="4"/>
      <c r="J265" s="4"/>
    </row>
    <row r="266" spans="8:10" ht="12.75" x14ac:dyDescent="0.2">
      <c r="H266" s="4"/>
      <c r="I266" s="4"/>
      <c r="J266" s="4"/>
    </row>
    <row r="267" spans="8:10" ht="12.75" x14ac:dyDescent="0.2">
      <c r="H267" s="4"/>
      <c r="I267" s="4"/>
      <c r="J267" s="4"/>
    </row>
    <row r="268" spans="8:10" ht="12.75" x14ac:dyDescent="0.2">
      <c r="H268" s="4"/>
      <c r="I268" s="4"/>
      <c r="J268" s="4"/>
    </row>
    <row r="269" spans="8:10" ht="12.75" x14ac:dyDescent="0.2">
      <c r="H269" s="4"/>
      <c r="I269" s="4"/>
      <c r="J269" s="4"/>
    </row>
    <row r="270" spans="8:10" ht="12.75" x14ac:dyDescent="0.2">
      <c r="H270" s="4"/>
      <c r="I270" s="4"/>
      <c r="J270" s="4"/>
    </row>
    <row r="271" spans="8:10" ht="12.75" x14ac:dyDescent="0.2">
      <c r="H271" s="4"/>
      <c r="I271" s="4"/>
      <c r="J271" s="4"/>
    </row>
    <row r="272" spans="8:10" ht="12.75" x14ac:dyDescent="0.2">
      <c r="H272" s="4"/>
      <c r="I272" s="4"/>
      <c r="J272" s="4"/>
    </row>
    <row r="273" spans="8:10" ht="12.75" x14ac:dyDescent="0.2">
      <c r="H273" s="4"/>
      <c r="I273" s="4"/>
      <c r="J273" s="4"/>
    </row>
    <row r="274" spans="8:10" ht="12.75" x14ac:dyDescent="0.2">
      <c r="H274" s="4"/>
      <c r="I274" s="4"/>
      <c r="J274" s="4"/>
    </row>
    <row r="275" spans="8:10" ht="12.75" x14ac:dyDescent="0.2">
      <c r="H275" s="4"/>
      <c r="I275" s="4"/>
      <c r="J275" s="4"/>
    </row>
    <row r="276" spans="8:10" ht="12.75" x14ac:dyDescent="0.2">
      <c r="H276" s="4"/>
      <c r="I276" s="4"/>
      <c r="J276" s="4"/>
    </row>
    <row r="277" spans="8:10" ht="12.75" x14ac:dyDescent="0.2">
      <c r="H277" s="4"/>
      <c r="I277" s="4"/>
      <c r="J277" s="4"/>
    </row>
    <row r="278" spans="8:10" ht="12.75" x14ac:dyDescent="0.2">
      <c r="H278" s="4"/>
      <c r="I278" s="4"/>
      <c r="J278" s="4"/>
    </row>
    <row r="279" spans="8:10" ht="12.75" x14ac:dyDescent="0.2">
      <c r="H279" s="4"/>
      <c r="I279" s="4"/>
      <c r="J279" s="4"/>
    </row>
    <row r="280" spans="8:10" ht="12.75" x14ac:dyDescent="0.2">
      <c r="H280" s="4"/>
      <c r="I280" s="4"/>
      <c r="J280" s="4"/>
    </row>
    <row r="281" spans="8:10" ht="12.75" x14ac:dyDescent="0.2">
      <c r="H281" s="4"/>
      <c r="I281" s="4"/>
      <c r="J281" s="4"/>
    </row>
    <row r="282" spans="8:10" ht="12.75" x14ac:dyDescent="0.2">
      <c r="H282" s="4"/>
      <c r="I282" s="4"/>
      <c r="J282" s="4"/>
    </row>
    <row r="283" spans="8:10" ht="12.75" x14ac:dyDescent="0.2">
      <c r="H283" s="4"/>
      <c r="I283" s="4"/>
      <c r="J283" s="4"/>
    </row>
    <row r="284" spans="8:10" ht="12.75" x14ac:dyDescent="0.2">
      <c r="H284" s="4"/>
      <c r="I284" s="4"/>
      <c r="J284" s="4"/>
    </row>
    <row r="285" spans="8:10" ht="12.75" x14ac:dyDescent="0.2">
      <c r="H285" s="4"/>
      <c r="I285" s="4"/>
      <c r="J285" s="4"/>
    </row>
    <row r="286" spans="8:10" ht="12.75" x14ac:dyDescent="0.2">
      <c r="H286" s="4"/>
      <c r="I286" s="4"/>
      <c r="J286" s="4"/>
    </row>
    <row r="287" spans="8:10" ht="12.75" x14ac:dyDescent="0.2">
      <c r="H287" s="4"/>
      <c r="I287" s="4"/>
      <c r="J287" s="4"/>
    </row>
    <row r="288" spans="8:10" ht="12.75" x14ac:dyDescent="0.2">
      <c r="H288" s="4"/>
      <c r="I288" s="4"/>
      <c r="J288" s="4"/>
    </row>
    <row r="289" spans="8:10" ht="12.75" x14ac:dyDescent="0.2">
      <c r="H289" s="4"/>
      <c r="I289" s="4"/>
      <c r="J289" s="4"/>
    </row>
    <row r="290" spans="8:10" ht="12.75" x14ac:dyDescent="0.2">
      <c r="H290" s="4"/>
      <c r="I290" s="4"/>
      <c r="J290" s="4"/>
    </row>
    <row r="291" spans="8:10" ht="12.75" x14ac:dyDescent="0.2">
      <c r="H291" s="4"/>
      <c r="I291" s="4"/>
      <c r="J291" s="4"/>
    </row>
    <row r="292" spans="8:10" ht="12.75" x14ac:dyDescent="0.2">
      <c r="H292" s="4"/>
      <c r="I292" s="4"/>
      <c r="J292" s="4"/>
    </row>
    <row r="293" spans="8:10" ht="12.75" x14ac:dyDescent="0.2">
      <c r="H293" s="4"/>
      <c r="I293" s="4"/>
      <c r="J293" s="4"/>
    </row>
    <row r="294" spans="8:10" ht="12.75" x14ac:dyDescent="0.2">
      <c r="H294" s="4"/>
      <c r="I294" s="4"/>
      <c r="J294" s="4"/>
    </row>
    <row r="295" spans="8:10" ht="12.75" x14ac:dyDescent="0.2">
      <c r="H295" s="4"/>
      <c r="I295" s="4"/>
      <c r="J295" s="4"/>
    </row>
    <row r="296" spans="8:10" ht="12.75" x14ac:dyDescent="0.2">
      <c r="H296" s="4"/>
      <c r="I296" s="4"/>
      <c r="J296" s="4"/>
    </row>
    <row r="297" spans="8:10" ht="12.75" x14ac:dyDescent="0.2">
      <c r="H297" s="4"/>
      <c r="I297" s="4"/>
      <c r="J297" s="4"/>
    </row>
    <row r="298" spans="8:10" ht="12.75" x14ac:dyDescent="0.2">
      <c r="H298" s="4"/>
      <c r="I298" s="4"/>
      <c r="J298" s="4"/>
    </row>
    <row r="299" spans="8:10" ht="12.75" x14ac:dyDescent="0.2">
      <c r="H299" s="4"/>
      <c r="I299" s="4"/>
      <c r="J299" s="4"/>
    </row>
    <row r="300" spans="8:10" ht="12.75" x14ac:dyDescent="0.2">
      <c r="H300" s="4"/>
      <c r="I300" s="4"/>
      <c r="J300" s="4"/>
    </row>
    <row r="301" spans="8:10" ht="12.75" x14ac:dyDescent="0.2">
      <c r="H301" s="4"/>
      <c r="I301" s="4"/>
      <c r="J301" s="4"/>
    </row>
    <row r="302" spans="8:10" ht="12.75" x14ac:dyDescent="0.2">
      <c r="H302" s="4"/>
      <c r="I302" s="4"/>
      <c r="J302" s="4"/>
    </row>
    <row r="303" spans="8:10" ht="12.75" x14ac:dyDescent="0.2">
      <c r="H303" s="4"/>
      <c r="I303" s="4"/>
      <c r="J303" s="4"/>
    </row>
    <row r="304" spans="8:10" ht="12.75" x14ac:dyDescent="0.2">
      <c r="H304" s="4"/>
      <c r="I304" s="4"/>
      <c r="J304" s="4"/>
    </row>
    <row r="305" spans="8:10" ht="12.75" x14ac:dyDescent="0.2">
      <c r="H305" s="4"/>
      <c r="I305" s="4"/>
      <c r="J305" s="4"/>
    </row>
    <row r="306" spans="8:10" ht="12.75" x14ac:dyDescent="0.2">
      <c r="H306" s="4"/>
      <c r="I306" s="4"/>
      <c r="J306" s="4"/>
    </row>
    <row r="307" spans="8:10" ht="12.75" x14ac:dyDescent="0.2">
      <c r="H307" s="4"/>
      <c r="I307" s="4"/>
      <c r="J307" s="4"/>
    </row>
    <row r="308" spans="8:10" ht="12.75" x14ac:dyDescent="0.2">
      <c r="H308" s="4"/>
      <c r="I308" s="4"/>
      <c r="J308" s="4"/>
    </row>
    <row r="309" spans="8:10" ht="12.75" x14ac:dyDescent="0.2">
      <c r="H309" s="4"/>
      <c r="I309" s="4"/>
      <c r="J309" s="4"/>
    </row>
    <row r="310" spans="8:10" ht="12.75" x14ac:dyDescent="0.2">
      <c r="H310" s="4"/>
      <c r="I310" s="4"/>
      <c r="J310" s="4"/>
    </row>
    <row r="311" spans="8:10" ht="12.75" x14ac:dyDescent="0.2">
      <c r="H311" s="4"/>
      <c r="I311" s="4"/>
      <c r="J311" s="4"/>
    </row>
    <row r="312" spans="8:10" ht="12.75" x14ac:dyDescent="0.2">
      <c r="H312" s="4"/>
      <c r="I312" s="4"/>
      <c r="J312" s="4"/>
    </row>
    <row r="313" spans="8:10" ht="12.75" x14ac:dyDescent="0.2">
      <c r="H313" s="4"/>
      <c r="I313" s="4"/>
      <c r="J313" s="4"/>
    </row>
    <row r="314" spans="8:10" ht="12.75" x14ac:dyDescent="0.2">
      <c r="H314" s="4"/>
      <c r="I314" s="4"/>
      <c r="J314" s="4"/>
    </row>
    <row r="315" spans="8:10" ht="12.75" x14ac:dyDescent="0.2">
      <c r="H315" s="4"/>
      <c r="I315" s="4"/>
      <c r="J315" s="4"/>
    </row>
    <row r="316" spans="8:10" ht="12.75" x14ac:dyDescent="0.2">
      <c r="H316" s="4"/>
      <c r="I316" s="4"/>
      <c r="J316" s="4"/>
    </row>
    <row r="317" spans="8:10" ht="12.75" x14ac:dyDescent="0.2">
      <c r="H317" s="4"/>
      <c r="I317" s="4"/>
      <c r="J317" s="4"/>
    </row>
    <row r="318" spans="8:10" ht="12.75" x14ac:dyDescent="0.2">
      <c r="H318" s="4"/>
      <c r="I318" s="4"/>
      <c r="J318" s="4"/>
    </row>
    <row r="319" spans="8:10" ht="12.75" x14ac:dyDescent="0.2">
      <c r="H319" s="4"/>
      <c r="I319" s="4"/>
      <c r="J319" s="4"/>
    </row>
    <row r="320" spans="8:10" ht="12.75" x14ac:dyDescent="0.2">
      <c r="H320" s="4"/>
      <c r="I320" s="4"/>
      <c r="J320" s="4"/>
    </row>
    <row r="321" spans="8:10" ht="12.75" x14ac:dyDescent="0.2">
      <c r="H321" s="4"/>
      <c r="I321" s="4"/>
      <c r="J321" s="4"/>
    </row>
    <row r="322" spans="8:10" ht="12.75" x14ac:dyDescent="0.2">
      <c r="H322" s="4"/>
      <c r="I322" s="4"/>
      <c r="J322" s="4"/>
    </row>
    <row r="323" spans="8:10" ht="12.75" x14ac:dyDescent="0.2">
      <c r="H323" s="4"/>
      <c r="I323" s="4"/>
      <c r="J323" s="4"/>
    </row>
    <row r="324" spans="8:10" ht="12.75" x14ac:dyDescent="0.2">
      <c r="H324" s="4"/>
      <c r="I324" s="4"/>
      <c r="J324" s="4"/>
    </row>
    <row r="325" spans="8:10" ht="12.75" x14ac:dyDescent="0.2">
      <c r="H325" s="4"/>
      <c r="I325" s="4"/>
      <c r="J325" s="4"/>
    </row>
    <row r="326" spans="8:10" ht="12.75" x14ac:dyDescent="0.2">
      <c r="H326" s="4"/>
      <c r="I326" s="4"/>
      <c r="J326" s="4"/>
    </row>
    <row r="327" spans="8:10" ht="12.75" x14ac:dyDescent="0.2">
      <c r="H327" s="4"/>
      <c r="I327" s="4"/>
      <c r="J327" s="4"/>
    </row>
    <row r="328" spans="8:10" ht="12.75" x14ac:dyDescent="0.2">
      <c r="H328" s="4"/>
      <c r="I328" s="4"/>
      <c r="J328" s="4"/>
    </row>
    <row r="329" spans="8:10" ht="12.75" x14ac:dyDescent="0.2">
      <c r="H329" s="4"/>
      <c r="I329" s="4"/>
      <c r="J329" s="4"/>
    </row>
    <row r="330" spans="8:10" ht="12.75" x14ac:dyDescent="0.2">
      <c r="H330" s="4"/>
      <c r="I330" s="4"/>
      <c r="J330" s="4"/>
    </row>
    <row r="331" spans="8:10" ht="12.75" x14ac:dyDescent="0.2">
      <c r="H331" s="4"/>
      <c r="I331" s="4"/>
      <c r="J331" s="4"/>
    </row>
    <row r="332" spans="8:10" ht="12.75" x14ac:dyDescent="0.2">
      <c r="H332" s="4"/>
      <c r="I332" s="4"/>
      <c r="J332" s="4"/>
    </row>
    <row r="333" spans="8:10" ht="12.75" x14ac:dyDescent="0.2">
      <c r="H333" s="4"/>
      <c r="I333" s="4"/>
      <c r="J333" s="4"/>
    </row>
    <row r="334" spans="8:10" ht="12.75" x14ac:dyDescent="0.2">
      <c r="H334" s="4"/>
      <c r="I334" s="4"/>
      <c r="J334" s="4"/>
    </row>
    <row r="335" spans="8:10" ht="12.75" x14ac:dyDescent="0.2">
      <c r="H335" s="4"/>
      <c r="I335" s="4"/>
      <c r="J335" s="4"/>
    </row>
    <row r="336" spans="8:10" ht="12.75" x14ac:dyDescent="0.2">
      <c r="H336" s="4"/>
      <c r="I336" s="4"/>
      <c r="J336" s="4"/>
    </row>
    <row r="337" spans="8:10" ht="12.75" x14ac:dyDescent="0.2">
      <c r="H337" s="4"/>
      <c r="I337" s="4"/>
      <c r="J337" s="4"/>
    </row>
    <row r="338" spans="8:10" ht="12.75" x14ac:dyDescent="0.2">
      <c r="H338" s="4"/>
      <c r="I338" s="4"/>
      <c r="J338" s="4"/>
    </row>
    <row r="339" spans="8:10" ht="12.75" x14ac:dyDescent="0.2">
      <c r="H339" s="4"/>
      <c r="I339" s="4"/>
      <c r="J339" s="4"/>
    </row>
    <row r="340" spans="8:10" ht="12.75" x14ac:dyDescent="0.2">
      <c r="H340" s="4"/>
      <c r="I340" s="4"/>
      <c r="J340" s="4"/>
    </row>
    <row r="341" spans="8:10" ht="12.75" x14ac:dyDescent="0.2">
      <c r="H341" s="4"/>
      <c r="I341" s="4"/>
      <c r="J341" s="4"/>
    </row>
    <row r="342" spans="8:10" ht="12.75" x14ac:dyDescent="0.2">
      <c r="H342" s="4"/>
      <c r="I342" s="4"/>
      <c r="J342" s="4"/>
    </row>
    <row r="343" spans="8:10" ht="12.75" x14ac:dyDescent="0.2">
      <c r="H343" s="4"/>
      <c r="I343" s="4"/>
      <c r="J343" s="4"/>
    </row>
    <row r="344" spans="8:10" ht="12.75" x14ac:dyDescent="0.2">
      <c r="H344" s="4"/>
      <c r="I344" s="4"/>
      <c r="J344" s="4"/>
    </row>
    <row r="345" spans="8:10" ht="12.75" x14ac:dyDescent="0.2">
      <c r="H345" s="4"/>
      <c r="I345" s="4"/>
      <c r="J345" s="4"/>
    </row>
    <row r="346" spans="8:10" ht="12.75" x14ac:dyDescent="0.2">
      <c r="H346" s="4"/>
      <c r="I346" s="4"/>
      <c r="J346" s="4"/>
    </row>
    <row r="347" spans="8:10" ht="12.75" x14ac:dyDescent="0.2">
      <c r="H347" s="4"/>
      <c r="I347" s="4"/>
      <c r="J347" s="4"/>
    </row>
    <row r="348" spans="8:10" ht="12.75" x14ac:dyDescent="0.2">
      <c r="H348" s="4"/>
      <c r="I348" s="4"/>
      <c r="J348" s="4"/>
    </row>
    <row r="349" spans="8:10" ht="12.75" x14ac:dyDescent="0.2">
      <c r="H349" s="4"/>
      <c r="I349" s="4"/>
      <c r="J349" s="4"/>
    </row>
    <row r="350" spans="8:10" ht="12.75" x14ac:dyDescent="0.2">
      <c r="H350" s="4"/>
      <c r="I350" s="4"/>
      <c r="J350" s="4"/>
    </row>
    <row r="351" spans="8:10" ht="12.75" x14ac:dyDescent="0.2">
      <c r="H351" s="4"/>
      <c r="I351" s="4"/>
      <c r="J351" s="4"/>
    </row>
    <row r="352" spans="8:10" ht="12.75" x14ac:dyDescent="0.2">
      <c r="H352" s="4"/>
      <c r="I352" s="4"/>
      <c r="J352" s="4"/>
    </row>
    <row r="353" spans="8:10" ht="12.75" x14ac:dyDescent="0.2">
      <c r="H353" s="4"/>
      <c r="I353" s="4"/>
      <c r="J353" s="4"/>
    </row>
    <row r="354" spans="8:10" ht="12.75" x14ac:dyDescent="0.2">
      <c r="H354" s="4"/>
      <c r="I354" s="4"/>
      <c r="J354" s="4"/>
    </row>
    <row r="355" spans="8:10" ht="12.75" x14ac:dyDescent="0.2">
      <c r="H355" s="4"/>
      <c r="I355" s="4"/>
      <c r="J355" s="4"/>
    </row>
    <row r="356" spans="8:10" ht="12.75" x14ac:dyDescent="0.2">
      <c r="H356" s="4"/>
      <c r="I356" s="4"/>
      <c r="J356" s="4"/>
    </row>
    <row r="357" spans="8:10" ht="12.75" x14ac:dyDescent="0.2">
      <c r="H357" s="4"/>
      <c r="I357" s="4"/>
      <c r="J357" s="4"/>
    </row>
    <row r="358" spans="8:10" ht="12.75" x14ac:dyDescent="0.2">
      <c r="H358" s="4"/>
      <c r="I358" s="4"/>
      <c r="J358" s="4"/>
    </row>
    <row r="359" spans="8:10" ht="12.75" x14ac:dyDescent="0.2">
      <c r="H359" s="4"/>
      <c r="I359" s="4"/>
      <c r="J359" s="4"/>
    </row>
    <row r="360" spans="8:10" ht="12.75" x14ac:dyDescent="0.2">
      <c r="H360" s="4"/>
      <c r="I360" s="4"/>
      <c r="J360" s="4"/>
    </row>
    <row r="361" spans="8:10" ht="12.75" x14ac:dyDescent="0.2">
      <c r="H361" s="4"/>
      <c r="I361" s="4"/>
      <c r="J361" s="4"/>
    </row>
    <row r="362" spans="8:10" ht="12.75" x14ac:dyDescent="0.2">
      <c r="H362" s="4"/>
      <c r="I362" s="4"/>
      <c r="J362" s="4"/>
    </row>
    <row r="363" spans="8:10" ht="12.75" x14ac:dyDescent="0.2">
      <c r="H363" s="4"/>
      <c r="I363" s="4"/>
      <c r="J363" s="4"/>
    </row>
    <row r="364" spans="8:10" ht="12.75" x14ac:dyDescent="0.2">
      <c r="H364" s="4"/>
      <c r="I364" s="4"/>
      <c r="J364" s="4"/>
    </row>
    <row r="365" spans="8:10" ht="12.75" x14ac:dyDescent="0.2">
      <c r="H365" s="4"/>
      <c r="I365" s="4"/>
      <c r="J365" s="4"/>
    </row>
    <row r="366" spans="8:10" ht="12.75" x14ac:dyDescent="0.2">
      <c r="H366" s="4"/>
      <c r="I366" s="4"/>
      <c r="J366" s="4"/>
    </row>
    <row r="367" spans="8:10" ht="12.75" x14ac:dyDescent="0.2">
      <c r="H367" s="4"/>
      <c r="I367" s="4"/>
      <c r="J367" s="4"/>
    </row>
    <row r="368" spans="8:10" ht="12.75" x14ac:dyDescent="0.2">
      <c r="H368" s="4"/>
      <c r="I368" s="4"/>
      <c r="J368" s="4"/>
    </row>
    <row r="369" spans="8:10" ht="12.75" x14ac:dyDescent="0.2">
      <c r="H369" s="4"/>
      <c r="I369" s="4"/>
      <c r="J369" s="4"/>
    </row>
    <row r="370" spans="8:10" ht="12.75" x14ac:dyDescent="0.2">
      <c r="H370" s="4"/>
      <c r="I370" s="4"/>
      <c r="J370" s="4"/>
    </row>
    <row r="371" spans="8:10" ht="12.75" x14ac:dyDescent="0.2">
      <c r="H371" s="4"/>
      <c r="I371" s="4"/>
      <c r="J371" s="4"/>
    </row>
    <row r="372" spans="8:10" ht="12.75" x14ac:dyDescent="0.2">
      <c r="H372" s="4"/>
      <c r="I372" s="4"/>
      <c r="J372" s="4"/>
    </row>
    <row r="373" spans="8:10" ht="12.75" x14ac:dyDescent="0.2">
      <c r="H373" s="4"/>
      <c r="I373" s="4"/>
      <c r="J373" s="4"/>
    </row>
    <row r="374" spans="8:10" ht="12.75" x14ac:dyDescent="0.2">
      <c r="H374" s="4"/>
      <c r="I374" s="4"/>
      <c r="J374" s="4"/>
    </row>
    <row r="375" spans="8:10" ht="12.75" x14ac:dyDescent="0.2">
      <c r="H375" s="4"/>
      <c r="I375" s="4"/>
      <c r="J375" s="4"/>
    </row>
    <row r="376" spans="8:10" ht="12.75" x14ac:dyDescent="0.2">
      <c r="H376" s="4"/>
      <c r="I376" s="4"/>
      <c r="J376" s="4"/>
    </row>
    <row r="377" spans="8:10" ht="12.75" x14ac:dyDescent="0.2">
      <c r="H377" s="4"/>
      <c r="I377" s="4"/>
      <c r="J377" s="4"/>
    </row>
    <row r="378" spans="8:10" ht="12.75" x14ac:dyDescent="0.2">
      <c r="H378" s="4"/>
      <c r="I378" s="4"/>
      <c r="J378" s="4"/>
    </row>
    <row r="379" spans="8:10" ht="12.75" x14ac:dyDescent="0.2">
      <c r="H379" s="4"/>
      <c r="I379" s="4"/>
      <c r="J379" s="4"/>
    </row>
    <row r="380" spans="8:10" ht="12.75" x14ac:dyDescent="0.2">
      <c r="H380" s="4"/>
      <c r="I380" s="4"/>
      <c r="J380" s="4"/>
    </row>
    <row r="381" spans="8:10" ht="12.75" x14ac:dyDescent="0.2">
      <c r="H381" s="4"/>
      <c r="I381" s="4"/>
      <c r="J381" s="4"/>
    </row>
    <row r="382" spans="8:10" ht="12.75" x14ac:dyDescent="0.2">
      <c r="H382" s="4"/>
      <c r="I382" s="4"/>
      <c r="J382" s="4"/>
    </row>
    <row r="383" spans="8:10" ht="12.75" x14ac:dyDescent="0.2">
      <c r="H383" s="4"/>
      <c r="I383" s="4"/>
      <c r="J383" s="4"/>
    </row>
    <row r="384" spans="8:10" ht="12.75" x14ac:dyDescent="0.2">
      <c r="H384" s="4"/>
      <c r="I384" s="4"/>
      <c r="J384" s="4"/>
    </row>
    <row r="385" spans="8:10" ht="12.75" x14ac:dyDescent="0.2">
      <c r="H385" s="4"/>
      <c r="I385" s="4"/>
      <c r="J385" s="4"/>
    </row>
    <row r="386" spans="8:10" ht="12.75" x14ac:dyDescent="0.2">
      <c r="H386" s="4"/>
      <c r="I386" s="4"/>
      <c r="J386" s="4"/>
    </row>
    <row r="387" spans="8:10" ht="12.75" x14ac:dyDescent="0.2">
      <c r="H387" s="4"/>
      <c r="I387" s="4"/>
      <c r="J387" s="4"/>
    </row>
    <row r="388" spans="8:10" ht="12.75" x14ac:dyDescent="0.2">
      <c r="H388" s="4"/>
      <c r="I388" s="4"/>
      <c r="J388" s="4"/>
    </row>
    <row r="389" spans="8:10" ht="12.75" x14ac:dyDescent="0.2">
      <c r="H389" s="4"/>
      <c r="I389" s="4"/>
      <c r="J389" s="4"/>
    </row>
    <row r="390" spans="8:10" ht="12.75" x14ac:dyDescent="0.2">
      <c r="H390" s="4"/>
      <c r="I390" s="4"/>
      <c r="J390" s="4"/>
    </row>
    <row r="391" spans="8:10" ht="12.75" x14ac:dyDescent="0.2">
      <c r="H391" s="4"/>
      <c r="I391" s="4"/>
      <c r="J391" s="4"/>
    </row>
    <row r="392" spans="8:10" ht="12.75" x14ac:dyDescent="0.2">
      <c r="H392" s="4"/>
      <c r="I392" s="4"/>
      <c r="J392" s="4"/>
    </row>
    <row r="393" spans="8:10" ht="12.75" x14ac:dyDescent="0.2">
      <c r="H393" s="4"/>
      <c r="I393" s="4"/>
      <c r="J393" s="4"/>
    </row>
    <row r="394" spans="8:10" ht="12.75" x14ac:dyDescent="0.2">
      <c r="H394" s="4"/>
      <c r="I394" s="4"/>
      <c r="J394" s="4"/>
    </row>
    <row r="395" spans="8:10" ht="12.75" x14ac:dyDescent="0.2">
      <c r="H395" s="4"/>
      <c r="I395" s="4"/>
      <c r="J395" s="4"/>
    </row>
    <row r="396" spans="8:10" ht="12.75" x14ac:dyDescent="0.2">
      <c r="H396" s="4"/>
      <c r="I396" s="4"/>
      <c r="J396" s="4"/>
    </row>
    <row r="397" spans="8:10" ht="12.75" x14ac:dyDescent="0.2">
      <c r="H397" s="4"/>
      <c r="I397" s="4"/>
      <c r="J397" s="4"/>
    </row>
    <row r="398" spans="8:10" ht="12.75" x14ac:dyDescent="0.2">
      <c r="H398" s="4"/>
      <c r="I398" s="4"/>
      <c r="J398" s="4"/>
    </row>
    <row r="399" spans="8:10" ht="12.75" x14ac:dyDescent="0.2">
      <c r="H399" s="4"/>
      <c r="I399" s="4"/>
      <c r="J399" s="4"/>
    </row>
    <row r="400" spans="8:10" ht="12.75" x14ac:dyDescent="0.2">
      <c r="H400" s="4"/>
      <c r="I400" s="4"/>
      <c r="J400" s="4"/>
    </row>
    <row r="401" spans="8:10" ht="12.75" x14ac:dyDescent="0.2">
      <c r="H401" s="4"/>
      <c r="I401" s="4"/>
      <c r="J401" s="4"/>
    </row>
    <row r="402" spans="8:10" ht="12.75" x14ac:dyDescent="0.2">
      <c r="H402" s="4"/>
      <c r="I402" s="4"/>
      <c r="J402" s="4"/>
    </row>
    <row r="403" spans="8:10" ht="12.75" x14ac:dyDescent="0.2">
      <c r="H403" s="4"/>
      <c r="I403" s="4"/>
      <c r="J403" s="4"/>
    </row>
    <row r="404" spans="8:10" ht="12.75" x14ac:dyDescent="0.2">
      <c r="H404" s="4"/>
      <c r="I404" s="4"/>
      <c r="J404" s="4"/>
    </row>
    <row r="405" spans="8:10" ht="12.75" x14ac:dyDescent="0.2">
      <c r="H405" s="4"/>
      <c r="I405" s="4"/>
      <c r="J405" s="4"/>
    </row>
    <row r="406" spans="8:10" ht="12.75" x14ac:dyDescent="0.2">
      <c r="H406" s="4"/>
      <c r="I406" s="4"/>
      <c r="J406" s="4"/>
    </row>
    <row r="407" spans="8:10" ht="12.75" x14ac:dyDescent="0.2">
      <c r="H407" s="4"/>
      <c r="I407" s="4"/>
      <c r="J407" s="4"/>
    </row>
    <row r="408" spans="8:10" ht="12.75" x14ac:dyDescent="0.2">
      <c r="H408" s="4"/>
      <c r="I408" s="4"/>
      <c r="J408" s="4"/>
    </row>
    <row r="409" spans="8:10" ht="12.75" x14ac:dyDescent="0.2">
      <c r="H409" s="4"/>
      <c r="I409" s="4"/>
      <c r="J409" s="4"/>
    </row>
    <row r="410" spans="8:10" ht="12.75" x14ac:dyDescent="0.2">
      <c r="H410" s="4"/>
      <c r="I410" s="4"/>
      <c r="J410" s="4"/>
    </row>
    <row r="411" spans="8:10" ht="12.75" x14ac:dyDescent="0.2">
      <c r="H411" s="4"/>
      <c r="I411" s="4"/>
      <c r="J411" s="4"/>
    </row>
    <row r="412" spans="8:10" ht="12.75" x14ac:dyDescent="0.2">
      <c r="H412" s="4"/>
      <c r="I412" s="4"/>
      <c r="J412" s="4"/>
    </row>
    <row r="413" spans="8:10" ht="12.75" x14ac:dyDescent="0.2">
      <c r="H413" s="4"/>
      <c r="I413" s="4"/>
      <c r="J413" s="4"/>
    </row>
    <row r="414" spans="8:10" ht="12.75" x14ac:dyDescent="0.2">
      <c r="H414" s="4"/>
      <c r="I414" s="4"/>
      <c r="J414" s="4"/>
    </row>
    <row r="415" spans="8:10" ht="12.75" x14ac:dyDescent="0.2">
      <c r="H415" s="4"/>
      <c r="I415" s="4"/>
      <c r="J415" s="4"/>
    </row>
    <row r="416" spans="8:10" ht="12.75" x14ac:dyDescent="0.2">
      <c r="H416" s="4"/>
      <c r="I416" s="4"/>
      <c r="J416" s="4"/>
    </row>
    <row r="417" spans="8:10" ht="12.75" x14ac:dyDescent="0.2">
      <c r="H417" s="4"/>
      <c r="I417" s="4"/>
      <c r="J417" s="4"/>
    </row>
    <row r="418" spans="8:10" ht="12.75" x14ac:dyDescent="0.2">
      <c r="H418" s="4"/>
      <c r="I418" s="4"/>
      <c r="J418" s="4"/>
    </row>
    <row r="419" spans="8:10" ht="12.75" x14ac:dyDescent="0.2">
      <c r="H419" s="4"/>
      <c r="I419" s="4"/>
      <c r="J419" s="4"/>
    </row>
    <row r="420" spans="8:10" ht="12.75" x14ac:dyDescent="0.2">
      <c r="H420" s="4"/>
      <c r="I420" s="4"/>
      <c r="J420" s="4"/>
    </row>
    <row r="421" spans="8:10" ht="12.75" x14ac:dyDescent="0.2">
      <c r="H421" s="4"/>
      <c r="I421" s="4"/>
      <c r="J421" s="4"/>
    </row>
    <row r="422" spans="8:10" ht="12.75" x14ac:dyDescent="0.2">
      <c r="H422" s="4"/>
      <c r="I422" s="4"/>
      <c r="J422" s="4"/>
    </row>
    <row r="423" spans="8:10" ht="12.75" x14ac:dyDescent="0.2">
      <c r="H423" s="4"/>
      <c r="I423" s="4"/>
      <c r="J423" s="4"/>
    </row>
    <row r="424" spans="8:10" ht="12.75" x14ac:dyDescent="0.2">
      <c r="H424" s="4"/>
      <c r="I424" s="4"/>
      <c r="J424" s="4"/>
    </row>
    <row r="425" spans="8:10" ht="12.75" x14ac:dyDescent="0.2">
      <c r="H425" s="4"/>
      <c r="I425" s="4"/>
      <c r="J425" s="4"/>
    </row>
    <row r="426" spans="8:10" ht="12.75" x14ac:dyDescent="0.2">
      <c r="H426" s="4"/>
      <c r="I426" s="4"/>
      <c r="J426" s="4"/>
    </row>
    <row r="427" spans="8:10" ht="12.75" x14ac:dyDescent="0.2">
      <c r="H427" s="4"/>
      <c r="I427" s="4"/>
      <c r="J427" s="4"/>
    </row>
    <row r="428" spans="8:10" ht="12.75" x14ac:dyDescent="0.2">
      <c r="H428" s="4"/>
      <c r="I428" s="4"/>
      <c r="J428" s="4"/>
    </row>
    <row r="429" spans="8:10" ht="12.75" x14ac:dyDescent="0.2">
      <c r="H429" s="4"/>
      <c r="I429" s="4"/>
      <c r="J429" s="4"/>
    </row>
    <row r="430" spans="8:10" ht="12.75" x14ac:dyDescent="0.2">
      <c r="H430" s="4"/>
      <c r="I430" s="4"/>
      <c r="J430" s="4"/>
    </row>
    <row r="431" spans="8:10" ht="12.75" x14ac:dyDescent="0.2">
      <c r="H431" s="4"/>
      <c r="I431" s="4"/>
      <c r="J431" s="4"/>
    </row>
    <row r="432" spans="8:10" ht="12.75" x14ac:dyDescent="0.2">
      <c r="H432" s="4"/>
      <c r="I432" s="4"/>
      <c r="J432" s="4"/>
    </row>
    <row r="433" spans="8:10" ht="12.75" x14ac:dyDescent="0.2">
      <c r="H433" s="4"/>
      <c r="I433" s="4"/>
      <c r="J433" s="4"/>
    </row>
    <row r="434" spans="8:10" ht="12.75" x14ac:dyDescent="0.2">
      <c r="H434" s="4"/>
      <c r="I434" s="4"/>
      <c r="J434" s="4"/>
    </row>
    <row r="435" spans="8:10" ht="12.75" x14ac:dyDescent="0.2">
      <c r="H435" s="4"/>
      <c r="I435" s="4"/>
      <c r="J435" s="4"/>
    </row>
    <row r="436" spans="8:10" ht="12.75" x14ac:dyDescent="0.2">
      <c r="H436" s="4"/>
      <c r="I436" s="4"/>
      <c r="J436" s="4"/>
    </row>
    <row r="437" spans="8:10" ht="12.75" x14ac:dyDescent="0.2">
      <c r="H437" s="4"/>
      <c r="I437" s="4"/>
      <c r="J437" s="4"/>
    </row>
    <row r="438" spans="8:10" ht="12.75" x14ac:dyDescent="0.2">
      <c r="H438" s="4"/>
      <c r="I438" s="4"/>
      <c r="J438" s="4"/>
    </row>
    <row r="439" spans="8:10" ht="12.75" x14ac:dyDescent="0.2">
      <c r="H439" s="4"/>
      <c r="I439" s="4"/>
      <c r="J439" s="4"/>
    </row>
    <row r="440" spans="8:10" ht="12.75" x14ac:dyDescent="0.2">
      <c r="H440" s="4"/>
      <c r="I440" s="4"/>
      <c r="J440" s="4"/>
    </row>
    <row r="441" spans="8:10" ht="12.75" x14ac:dyDescent="0.2">
      <c r="H441" s="4"/>
      <c r="I441" s="4"/>
      <c r="J441" s="4"/>
    </row>
    <row r="442" spans="8:10" ht="12.75" x14ac:dyDescent="0.2">
      <c r="H442" s="4"/>
      <c r="I442" s="4"/>
      <c r="J442" s="4"/>
    </row>
    <row r="443" spans="8:10" ht="12.75" x14ac:dyDescent="0.2">
      <c r="H443" s="4"/>
      <c r="I443" s="4"/>
      <c r="J443" s="4"/>
    </row>
    <row r="444" spans="8:10" ht="12.75" x14ac:dyDescent="0.2">
      <c r="H444" s="4"/>
      <c r="I444" s="4"/>
      <c r="J444" s="4"/>
    </row>
    <row r="445" spans="8:10" ht="12.75" x14ac:dyDescent="0.2">
      <c r="H445" s="4"/>
      <c r="I445" s="4"/>
      <c r="J445" s="4"/>
    </row>
    <row r="446" spans="8:10" ht="12.75" x14ac:dyDescent="0.2">
      <c r="H446" s="4"/>
      <c r="I446" s="4"/>
      <c r="J446" s="4"/>
    </row>
    <row r="447" spans="8:10" ht="12.75" x14ac:dyDescent="0.2">
      <c r="H447" s="4"/>
      <c r="I447" s="4"/>
      <c r="J447" s="4"/>
    </row>
    <row r="448" spans="8:10" ht="12.75" x14ac:dyDescent="0.2">
      <c r="H448" s="4"/>
      <c r="I448" s="4"/>
      <c r="J448" s="4"/>
    </row>
    <row r="449" spans="8:10" ht="12.75" x14ac:dyDescent="0.2">
      <c r="H449" s="4"/>
      <c r="I449" s="4"/>
      <c r="J449" s="4"/>
    </row>
    <row r="450" spans="8:10" ht="12.75" x14ac:dyDescent="0.2">
      <c r="H450" s="4"/>
      <c r="I450" s="4"/>
      <c r="J450" s="4"/>
    </row>
    <row r="451" spans="8:10" ht="12.75" x14ac:dyDescent="0.2">
      <c r="H451" s="4"/>
      <c r="I451" s="4"/>
      <c r="J451" s="4"/>
    </row>
    <row r="452" spans="8:10" ht="12.75" x14ac:dyDescent="0.2">
      <c r="H452" s="4"/>
      <c r="I452" s="4"/>
      <c r="J452" s="4"/>
    </row>
    <row r="453" spans="8:10" ht="12.75" x14ac:dyDescent="0.2">
      <c r="H453" s="4"/>
      <c r="I453" s="4"/>
      <c r="J453" s="4"/>
    </row>
    <row r="454" spans="8:10" ht="12.75" x14ac:dyDescent="0.2">
      <c r="H454" s="4"/>
      <c r="I454" s="4"/>
      <c r="J454" s="4"/>
    </row>
    <row r="455" spans="8:10" ht="12.75" x14ac:dyDescent="0.2">
      <c r="H455" s="4"/>
      <c r="I455" s="4"/>
      <c r="J455" s="4"/>
    </row>
    <row r="456" spans="8:10" ht="12.75" x14ac:dyDescent="0.2">
      <c r="H456" s="4"/>
      <c r="I456" s="4"/>
      <c r="J456" s="4"/>
    </row>
    <row r="457" spans="8:10" ht="12.75" x14ac:dyDescent="0.2">
      <c r="H457" s="4"/>
      <c r="I457" s="4"/>
      <c r="J457" s="4"/>
    </row>
    <row r="458" spans="8:10" ht="12.75" x14ac:dyDescent="0.2">
      <c r="H458" s="4"/>
      <c r="I458" s="4"/>
      <c r="J458" s="4"/>
    </row>
    <row r="459" spans="8:10" ht="12.75" x14ac:dyDescent="0.2">
      <c r="H459" s="4"/>
      <c r="I459" s="4"/>
      <c r="J459" s="4"/>
    </row>
    <row r="460" spans="8:10" ht="12.75" x14ac:dyDescent="0.2">
      <c r="H460" s="4"/>
      <c r="I460" s="4"/>
      <c r="J460" s="4"/>
    </row>
    <row r="461" spans="8:10" ht="12.75" x14ac:dyDescent="0.2">
      <c r="H461" s="4"/>
      <c r="I461" s="4"/>
      <c r="J461" s="4"/>
    </row>
    <row r="462" spans="8:10" ht="12.75" x14ac:dyDescent="0.2">
      <c r="H462" s="4"/>
      <c r="I462" s="4"/>
      <c r="J462" s="4"/>
    </row>
    <row r="463" spans="8:10" ht="12.75" x14ac:dyDescent="0.2">
      <c r="H463" s="4"/>
      <c r="I463" s="4"/>
      <c r="J463" s="4"/>
    </row>
    <row r="464" spans="8:10" ht="12.75" x14ac:dyDescent="0.2">
      <c r="H464" s="4"/>
      <c r="I464" s="4"/>
      <c r="J464" s="4"/>
    </row>
    <row r="465" spans="8:10" ht="12.75" x14ac:dyDescent="0.2">
      <c r="H465" s="4"/>
      <c r="I465" s="4"/>
      <c r="J465" s="4"/>
    </row>
    <row r="466" spans="8:10" ht="12.75" x14ac:dyDescent="0.2">
      <c r="H466" s="4"/>
      <c r="I466" s="4"/>
      <c r="J466" s="4"/>
    </row>
    <row r="467" spans="8:10" ht="12.75" x14ac:dyDescent="0.2">
      <c r="H467" s="4"/>
      <c r="I467" s="4"/>
      <c r="J467" s="4"/>
    </row>
    <row r="468" spans="8:10" ht="12.75" x14ac:dyDescent="0.2">
      <c r="H468" s="4"/>
      <c r="I468" s="4"/>
      <c r="J468" s="4"/>
    </row>
    <row r="469" spans="8:10" ht="12.75" x14ac:dyDescent="0.2">
      <c r="H469" s="4"/>
      <c r="I469" s="4"/>
      <c r="J469" s="4"/>
    </row>
    <row r="470" spans="8:10" ht="12.75" x14ac:dyDescent="0.2">
      <c r="H470" s="4"/>
      <c r="I470" s="4"/>
      <c r="J470" s="4"/>
    </row>
    <row r="471" spans="8:10" ht="12.75" x14ac:dyDescent="0.2">
      <c r="H471" s="4"/>
      <c r="I471" s="4"/>
      <c r="J471" s="4"/>
    </row>
    <row r="472" spans="8:10" ht="12.75" x14ac:dyDescent="0.2">
      <c r="H472" s="4"/>
      <c r="I472" s="4"/>
      <c r="J472" s="4"/>
    </row>
    <row r="473" spans="8:10" ht="12.75" x14ac:dyDescent="0.2">
      <c r="H473" s="4"/>
      <c r="I473" s="4"/>
      <c r="J473" s="4"/>
    </row>
    <row r="474" spans="8:10" ht="12.75" x14ac:dyDescent="0.2">
      <c r="H474" s="4"/>
      <c r="I474" s="4"/>
      <c r="J474" s="4"/>
    </row>
    <row r="475" spans="8:10" ht="12.75" x14ac:dyDescent="0.2">
      <c r="H475" s="4"/>
      <c r="I475" s="4"/>
      <c r="J475" s="4"/>
    </row>
    <row r="476" spans="8:10" ht="12.75" x14ac:dyDescent="0.2">
      <c r="H476" s="4"/>
      <c r="I476" s="4"/>
      <c r="J476" s="4"/>
    </row>
    <row r="477" spans="8:10" ht="12.75" x14ac:dyDescent="0.2">
      <c r="H477" s="4"/>
      <c r="I477" s="4"/>
      <c r="J477" s="4"/>
    </row>
    <row r="478" spans="8:10" ht="12.75" x14ac:dyDescent="0.2">
      <c r="H478" s="4"/>
      <c r="I478" s="4"/>
      <c r="J478" s="4"/>
    </row>
    <row r="479" spans="8:10" ht="12.75" x14ac:dyDescent="0.2">
      <c r="H479" s="4"/>
      <c r="I479" s="4"/>
      <c r="J479" s="4"/>
    </row>
    <row r="480" spans="8:10" ht="12.75" x14ac:dyDescent="0.2">
      <c r="H480" s="4"/>
      <c r="I480" s="4"/>
      <c r="J480" s="4"/>
    </row>
    <row r="481" spans="8:10" ht="12.75" x14ac:dyDescent="0.2">
      <c r="H481" s="4"/>
      <c r="I481" s="4"/>
      <c r="J481" s="4"/>
    </row>
    <row r="482" spans="8:10" ht="12.75" x14ac:dyDescent="0.2">
      <c r="H482" s="4"/>
      <c r="I482" s="4"/>
      <c r="J482" s="4"/>
    </row>
    <row r="483" spans="8:10" ht="12.75" x14ac:dyDescent="0.2">
      <c r="H483" s="4"/>
      <c r="I483" s="4"/>
      <c r="J483" s="4"/>
    </row>
    <row r="484" spans="8:10" ht="12.75" x14ac:dyDescent="0.2">
      <c r="H484" s="4"/>
      <c r="I484" s="4"/>
      <c r="J484" s="4"/>
    </row>
    <row r="485" spans="8:10" ht="12.75" x14ac:dyDescent="0.2">
      <c r="H485" s="4"/>
      <c r="I485" s="4"/>
      <c r="J485" s="4"/>
    </row>
    <row r="486" spans="8:10" ht="12.75" x14ac:dyDescent="0.2">
      <c r="H486" s="4"/>
      <c r="I486" s="4"/>
      <c r="J486" s="4"/>
    </row>
    <row r="487" spans="8:10" ht="12.75" x14ac:dyDescent="0.2">
      <c r="H487" s="4"/>
      <c r="I487" s="4"/>
      <c r="J487" s="4"/>
    </row>
    <row r="488" spans="8:10" ht="12.75" x14ac:dyDescent="0.2">
      <c r="H488" s="4"/>
      <c r="I488" s="4"/>
      <c r="J488" s="4"/>
    </row>
    <row r="489" spans="8:10" ht="12.75" x14ac:dyDescent="0.2">
      <c r="H489" s="4"/>
      <c r="I489" s="4"/>
      <c r="J489" s="4"/>
    </row>
    <row r="490" spans="8:10" ht="12.75" x14ac:dyDescent="0.2">
      <c r="H490" s="4"/>
      <c r="I490" s="4"/>
      <c r="J490" s="4"/>
    </row>
    <row r="491" spans="8:10" ht="12.75" x14ac:dyDescent="0.2">
      <c r="H491" s="4"/>
      <c r="I491" s="4"/>
      <c r="J491" s="4"/>
    </row>
    <row r="492" spans="8:10" ht="12.75" x14ac:dyDescent="0.2">
      <c r="H492" s="4"/>
      <c r="I492" s="4"/>
      <c r="J492" s="4"/>
    </row>
    <row r="493" spans="8:10" ht="12.75" x14ac:dyDescent="0.2">
      <c r="H493" s="4"/>
      <c r="I493" s="4"/>
      <c r="J493" s="4"/>
    </row>
    <row r="494" spans="8:10" ht="12.75" x14ac:dyDescent="0.2">
      <c r="H494" s="4"/>
      <c r="I494" s="4"/>
      <c r="J494" s="4"/>
    </row>
    <row r="495" spans="8:10" ht="12.75" x14ac:dyDescent="0.2">
      <c r="H495" s="4"/>
      <c r="I495" s="4"/>
      <c r="J495" s="4"/>
    </row>
    <row r="496" spans="8:10" ht="12.75" x14ac:dyDescent="0.2">
      <c r="H496" s="4"/>
      <c r="I496" s="4"/>
      <c r="J496" s="4"/>
    </row>
    <row r="497" spans="8:10" ht="12.75" x14ac:dyDescent="0.2">
      <c r="H497" s="4"/>
      <c r="I497" s="4"/>
      <c r="J497" s="4"/>
    </row>
    <row r="498" spans="8:10" ht="12.75" x14ac:dyDescent="0.2">
      <c r="H498" s="4"/>
      <c r="I498" s="4"/>
      <c r="J498" s="4"/>
    </row>
    <row r="499" spans="8:10" ht="12.75" x14ac:dyDescent="0.2">
      <c r="H499" s="4"/>
      <c r="I499" s="4"/>
      <c r="J499" s="4"/>
    </row>
    <row r="500" spans="8:10" ht="12.75" x14ac:dyDescent="0.2">
      <c r="H500" s="4"/>
      <c r="I500" s="4"/>
      <c r="J500" s="4"/>
    </row>
    <row r="501" spans="8:10" ht="12.75" x14ac:dyDescent="0.2">
      <c r="H501" s="4"/>
      <c r="I501" s="4"/>
      <c r="J501" s="4"/>
    </row>
    <row r="502" spans="8:10" ht="12.75" x14ac:dyDescent="0.2">
      <c r="H502" s="4"/>
      <c r="I502" s="4"/>
      <c r="J502" s="4"/>
    </row>
    <row r="503" spans="8:10" ht="12.75" x14ac:dyDescent="0.2">
      <c r="H503" s="4"/>
      <c r="I503" s="4"/>
      <c r="J503" s="4"/>
    </row>
    <row r="504" spans="8:10" ht="12.75" x14ac:dyDescent="0.2">
      <c r="H504" s="4"/>
      <c r="I504" s="4"/>
      <c r="J504" s="4"/>
    </row>
    <row r="505" spans="8:10" ht="12.75" x14ac:dyDescent="0.2">
      <c r="H505" s="4"/>
      <c r="I505" s="4"/>
      <c r="J505" s="4"/>
    </row>
    <row r="506" spans="8:10" ht="12.75" x14ac:dyDescent="0.2">
      <c r="H506" s="4"/>
      <c r="I506" s="4"/>
      <c r="J506" s="4"/>
    </row>
    <row r="507" spans="8:10" ht="12.75" x14ac:dyDescent="0.2">
      <c r="H507" s="4"/>
      <c r="I507" s="4"/>
      <c r="J507" s="4"/>
    </row>
    <row r="508" spans="8:10" ht="12.75" x14ac:dyDescent="0.2">
      <c r="H508" s="4"/>
      <c r="I508" s="4"/>
      <c r="J508" s="4"/>
    </row>
    <row r="509" spans="8:10" ht="12.75" x14ac:dyDescent="0.2">
      <c r="H509" s="4"/>
      <c r="I509" s="4"/>
      <c r="J509" s="4"/>
    </row>
    <row r="510" spans="8:10" ht="12.75" x14ac:dyDescent="0.2">
      <c r="H510" s="4"/>
      <c r="I510" s="4"/>
      <c r="J510" s="4"/>
    </row>
    <row r="511" spans="8:10" ht="12.75" x14ac:dyDescent="0.2">
      <c r="H511" s="4"/>
      <c r="I511" s="4"/>
      <c r="J511" s="4"/>
    </row>
    <row r="512" spans="8:10" ht="12.75" x14ac:dyDescent="0.2">
      <c r="H512" s="4"/>
      <c r="I512" s="4"/>
      <c r="J512" s="4"/>
    </row>
    <row r="513" spans="8:10" ht="12.75" x14ac:dyDescent="0.2">
      <c r="H513" s="4"/>
      <c r="I513" s="4"/>
      <c r="J513" s="4"/>
    </row>
    <row r="514" spans="8:10" ht="12.75" x14ac:dyDescent="0.2">
      <c r="H514" s="4"/>
      <c r="I514" s="4"/>
      <c r="J514" s="4"/>
    </row>
    <row r="515" spans="8:10" ht="12.75" x14ac:dyDescent="0.2">
      <c r="H515" s="4"/>
      <c r="I515" s="4"/>
      <c r="J515" s="4"/>
    </row>
    <row r="516" spans="8:10" ht="12.75" x14ac:dyDescent="0.2">
      <c r="H516" s="4"/>
      <c r="I516" s="4"/>
      <c r="J516" s="4"/>
    </row>
    <row r="517" spans="8:10" ht="12.75" x14ac:dyDescent="0.2">
      <c r="H517" s="4"/>
      <c r="I517" s="4"/>
      <c r="J517" s="4"/>
    </row>
    <row r="518" spans="8:10" ht="12.75" x14ac:dyDescent="0.2">
      <c r="H518" s="4"/>
      <c r="I518" s="4"/>
      <c r="J518" s="4"/>
    </row>
    <row r="519" spans="8:10" ht="12.75" x14ac:dyDescent="0.2">
      <c r="H519" s="4"/>
      <c r="I519" s="4"/>
      <c r="J519" s="4"/>
    </row>
    <row r="520" spans="8:10" ht="12.75" x14ac:dyDescent="0.2">
      <c r="H520" s="4"/>
      <c r="I520" s="4"/>
      <c r="J520" s="4"/>
    </row>
    <row r="521" spans="8:10" ht="12.75" x14ac:dyDescent="0.2">
      <c r="H521" s="4"/>
      <c r="I521" s="4"/>
      <c r="J521" s="4"/>
    </row>
    <row r="522" spans="8:10" ht="12.75" x14ac:dyDescent="0.2">
      <c r="H522" s="4"/>
      <c r="I522" s="4"/>
      <c r="J522" s="4"/>
    </row>
    <row r="523" spans="8:10" ht="12.75" x14ac:dyDescent="0.2">
      <c r="H523" s="4"/>
      <c r="I523" s="4"/>
      <c r="J523" s="4"/>
    </row>
    <row r="524" spans="8:10" ht="12.75" x14ac:dyDescent="0.2">
      <c r="H524" s="4"/>
      <c r="I524" s="4"/>
      <c r="J524" s="4"/>
    </row>
    <row r="525" spans="8:10" ht="12.75" x14ac:dyDescent="0.2">
      <c r="H525" s="4"/>
      <c r="I525" s="4"/>
      <c r="J525" s="4"/>
    </row>
    <row r="526" spans="8:10" ht="12.75" x14ac:dyDescent="0.2">
      <c r="H526" s="4"/>
      <c r="I526" s="4"/>
      <c r="J526" s="4"/>
    </row>
    <row r="527" spans="8:10" ht="12.75" x14ac:dyDescent="0.2">
      <c r="H527" s="4"/>
      <c r="I527" s="4"/>
      <c r="J527" s="4"/>
    </row>
    <row r="528" spans="8:10" ht="12.75" x14ac:dyDescent="0.2">
      <c r="H528" s="4"/>
      <c r="I528" s="4"/>
      <c r="J528" s="4"/>
    </row>
    <row r="529" spans="8:10" ht="12.75" x14ac:dyDescent="0.2">
      <c r="H529" s="4"/>
      <c r="I529" s="4"/>
      <c r="J529" s="4"/>
    </row>
    <row r="530" spans="8:10" ht="12.75" x14ac:dyDescent="0.2">
      <c r="H530" s="4"/>
      <c r="I530" s="4"/>
      <c r="J530" s="4"/>
    </row>
    <row r="531" spans="8:10" ht="12.75" x14ac:dyDescent="0.2">
      <c r="H531" s="4"/>
      <c r="I531" s="4"/>
      <c r="J531" s="4"/>
    </row>
    <row r="532" spans="8:10" ht="12.75" x14ac:dyDescent="0.2">
      <c r="H532" s="4"/>
      <c r="I532" s="4"/>
      <c r="J532" s="4"/>
    </row>
    <row r="533" spans="8:10" ht="12.75" x14ac:dyDescent="0.2">
      <c r="H533" s="4"/>
      <c r="I533" s="4"/>
      <c r="J533" s="4"/>
    </row>
    <row r="534" spans="8:10" ht="12.75" x14ac:dyDescent="0.2">
      <c r="H534" s="4"/>
      <c r="I534" s="4"/>
      <c r="J534" s="4"/>
    </row>
    <row r="535" spans="8:10" ht="12.75" x14ac:dyDescent="0.2">
      <c r="H535" s="4"/>
      <c r="I535" s="4"/>
      <c r="J535" s="4"/>
    </row>
    <row r="536" spans="8:10" ht="12.75" x14ac:dyDescent="0.2">
      <c r="H536" s="4"/>
      <c r="I536" s="4"/>
      <c r="J536" s="4"/>
    </row>
    <row r="537" spans="8:10" ht="12.75" x14ac:dyDescent="0.2">
      <c r="H537" s="4"/>
      <c r="I537" s="4"/>
      <c r="J537" s="4"/>
    </row>
    <row r="538" spans="8:10" ht="12.75" x14ac:dyDescent="0.2">
      <c r="H538" s="4"/>
      <c r="I538" s="4"/>
      <c r="J538" s="4"/>
    </row>
    <row r="539" spans="8:10" ht="12.75" x14ac:dyDescent="0.2">
      <c r="H539" s="4"/>
      <c r="I539" s="4"/>
      <c r="J539" s="4"/>
    </row>
    <row r="540" spans="8:10" ht="12.75" x14ac:dyDescent="0.2">
      <c r="H540" s="4"/>
      <c r="I540" s="4"/>
      <c r="J540" s="4"/>
    </row>
    <row r="541" spans="8:10" ht="12.75" x14ac:dyDescent="0.2">
      <c r="H541" s="4"/>
      <c r="I541" s="4"/>
      <c r="J541" s="4"/>
    </row>
    <row r="542" spans="8:10" ht="12.75" x14ac:dyDescent="0.2">
      <c r="H542" s="4"/>
      <c r="I542" s="4"/>
      <c r="J542" s="4"/>
    </row>
    <row r="543" spans="8:10" ht="12.75" x14ac:dyDescent="0.2">
      <c r="H543" s="4"/>
      <c r="I543" s="4"/>
      <c r="J543" s="4"/>
    </row>
    <row r="544" spans="8:10" ht="12.75" x14ac:dyDescent="0.2">
      <c r="H544" s="4"/>
      <c r="I544" s="4"/>
      <c r="J544" s="4"/>
    </row>
    <row r="545" spans="8:10" ht="12.75" x14ac:dyDescent="0.2">
      <c r="H545" s="4"/>
      <c r="I545" s="4"/>
      <c r="J545" s="4"/>
    </row>
    <row r="546" spans="8:10" ht="12.75" x14ac:dyDescent="0.2">
      <c r="H546" s="4"/>
      <c r="I546" s="4"/>
      <c r="J546" s="4"/>
    </row>
    <row r="547" spans="8:10" ht="12.75" x14ac:dyDescent="0.2">
      <c r="H547" s="4"/>
      <c r="I547" s="4"/>
      <c r="J547" s="4"/>
    </row>
    <row r="548" spans="8:10" ht="12.75" x14ac:dyDescent="0.2">
      <c r="H548" s="4"/>
      <c r="I548" s="4"/>
      <c r="J548" s="4"/>
    </row>
    <row r="549" spans="8:10" ht="12.75" x14ac:dyDescent="0.2">
      <c r="H549" s="4"/>
      <c r="I549" s="4"/>
      <c r="J549" s="4"/>
    </row>
    <row r="550" spans="8:10" ht="12.75" x14ac:dyDescent="0.2">
      <c r="H550" s="4"/>
      <c r="I550" s="4"/>
      <c r="J550" s="4"/>
    </row>
    <row r="551" spans="8:10" ht="12.75" x14ac:dyDescent="0.2">
      <c r="H551" s="4"/>
      <c r="I551" s="4"/>
      <c r="J551" s="4"/>
    </row>
    <row r="552" spans="8:10" ht="12.75" x14ac:dyDescent="0.2">
      <c r="H552" s="4"/>
      <c r="I552" s="4"/>
      <c r="J552" s="4"/>
    </row>
    <row r="553" spans="8:10" ht="12.75" x14ac:dyDescent="0.2">
      <c r="H553" s="4"/>
      <c r="I553" s="4"/>
      <c r="J553" s="4"/>
    </row>
    <row r="554" spans="8:10" ht="12.75" x14ac:dyDescent="0.2">
      <c r="H554" s="4"/>
      <c r="I554" s="4"/>
      <c r="J554" s="4"/>
    </row>
    <row r="555" spans="8:10" ht="12.75" x14ac:dyDescent="0.2">
      <c r="H555" s="4"/>
      <c r="I555" s="4"/>
      <c r="J555" s="4"/>
    </row>
    <row r="556" spans="8:10" ht="12.75" x14ac:dyDescent="0.2">
      <c r="H556" s="4"/>
      <c r="I556" s="4"/>
      <c r="J556" s="4"/>
    </row>
    <row r="557" spans="8:10" ht="12.75" x14ac:dyDescent="0.2">
      <c r="H557" s="4"/>
      <c r="I557" s="4"/>
      <c r="J557" s="4"/>
    </row>
    <row r="558" spans="8:10" ht="12.75" x14ac:dyDescent="0.2">
      <c r="H558" s="4"/>
      <c r="I558" s="4"/>
      <c r="J558" s="4"/>
    </row>
    <row r="559" spans="8:10" ht="12.75" x14ac:dyDescent="0.2">
      <c r="H559" s="4"/>
      <c r="I559" s="4"/>
      <c r="J559" s="4"/>
    </row>
    <row r="560" spans="8:10" ht="12.75" x14ac:dyDescent="0.2">
      <c r="H560" s="4"/>
      <c r="I560" s="4"/>
      <c r="J560" s="4"/>
    </row>
    <row r="561" spans="8:10" ht="12.75" x14ac:dyDescent="0.2">
      <c r="H561" s="4"/>
      <c r="I561" s="4"/>
      <c r="J561" s="4"/>
    </row>
    <row r="562" spans="8:10" ht="12.75" x14ac:dyDescent="0.2">
      <c r="H562" s="4"/>
      <c r="I562" s="4"/>
      <c r="J562" s="4"/>
    </row>
    <row r="563" spans="8:10" ht="12.75" x14ac:dyDescent="0.2">
      <c r="H563" s="4"/>
      <c r="I563" s="4"/>
      <c r="J563" s="4"/>
    </row>
    <row r="564" spans="8:10" ht="12.75" x14ac:dyDescent="0.2">
      <c r="H564" s="4"/>
      <c r="I564" s="4"/>
      <c r="J564" s="4"/>
    </row>
    <row r="565" spans="8:10" ht="12.75" x14ac:dyDescent="0.2">
      <c r="H565" s="4"/>
      <c r="I565" s="4"/>
      <c r="J565" s="4"/>
    </row>
    <row r="566" spans="8:10" ht="12.75" x14ac:dyDescent="0.2">
      <c r="H566" s="4"/>
      <c r="I566" s="4"/>
      <c r="J566" s="4"/>
    </row>
    <row r="567" spans="8:10" ht="12.75" x14ac:dyDescent="0.2">
      <c r="H567" s="4"/>
      <c r="I567" s="4"/>
      <c r="J567" s="4"/>
    </row>
    <row r="568" spans="8:10" ht="12.75" x14ac:dyDescent="0.2">
      <c r="H568" s="4"/>
      <c r="I568" s="4"/>
      <c r="J568" s="4"/>
    </row>
    <row r="569" spans="8:10" ht="12.75" x14ac:dyDescent="0.2">
      <c r="H569" s="4"/>
      <c r="I569" s="4"/>
      <c r="J569" s="4"/>
    </row>
    <row r="570" spans="8:10" ht="12.75" x14ac:dyDescent="0.2">
      <c r="H570" s="4"/>
      <c r="I570" s="4"/>
      <c r="J570" s="4"/>
    </row>
    <row r="571" spans="8:10" ht="12.75" x14ac:dyDescent="0.2">
      <c r="H571" s="4"/>
      <c r="I571" s="4"/>
      <c r="J571" s="4"/>
    </row>
    <row r="572" spans="8:10" ht="12.75" x14ac:dyDescent="0.2">
      <c r="H572" s="4"/>
      <c r="I572" s="4"/>
      <c r="J572" s="4"/>
    </row>
    <row r="573" spans="8:10" ht="12.75" x14ac:dyDescent="0.2">
      <c r="H573" s="4"/>
      <c r="I573" s="4"/>
      <c r="J573" s="4"/>
    </row>
    <row r="574" spans="8:10" ht="12.75" x14ac:dyDescent="0.2">
      <c r="H574" s="4"/>
      <c r="I574" s="4"/>
      <c r="J574" s="4"/>
    </row>
    <row r="575" spans="8:10" ht="12.75" x14ac:dyDescent="0.2">
      <c r="H575" s="4"/>
      <c r="I575" s="4"/>
      <c r="J575" s="4"/>
    </row>
    <row r="576" spans="8:10" ht="12.75" x14ac:dyDescent="0.2">
      <c r="H576" s="4"/>
      <c r="I576" s="4"/>
      <c r="J576" s="4"/>
    </row>
    <row r="577" spans="8:10" ht="12.75" x14ac:dyDescent="0.2">
      <c r="H577" s="4"/>
      <c r="I577" s="4"/>
      <c r="J577" s="4"/>
    </row>
    <row r="578" spans="8:10" ht="12.75" x14ac:dyDescent="0.2">
      <c r="H578" s="4"/>
      <c r="I578" s="4"/>
      <c r="J578" s="4"/>
    </row>
    <row r="579" spans="8:10" ht="12.75" x14ac:dyDescent="0.2">
      <c r="H579" s="4"/>
      <c r="I579" s="4"/>
      <c r="J579" s="4"/>
    </row>
    <row r="580" spans="8:10" ht="12.75" x14ac:dyDescent="0.2">
      <c r="H580" s="4"/>
      <c r="I580" s="4"/>
      <c r="J580" s="4"/>
    </row>
    <row r="581" spans="8:10" ht="12.75" x14ac:dyDescent="0.2">
      <c r="H581" s="4"/>
      <c r="I581" s="4"/>
      <c r="J581" s="4"/>
    </row>
    <row r="582" spans="8:10" ht="12.75" x14ac:dyDescent="0.2">
      <c r="H582" s="4"/>
      <c r="I582" s="4"/>
      <c r="J582" s="4"/>
    </row>
    <row r="583" spans="8:10" ht="12.75" x14ac:dyDescent="0.2">
      <c r="H583" s="4"/>
      <c r="I583" s="4"/>
      <c r="J583" s="4"/>
    </row>
    <row r="584" spans="8:10" ht="12.75" x14ac:dyDescent="0.2">
      <c r="H584" s="4"/>
      <c r="I584" s="4"/>
      <c r="J584" s="4"/>
    </row>
    <row r="585" spans="8:10" ht="12.75" x14ac:dyDescent="0.2">
      <c r="H585" s="4"/>
      <c r="I585" s="4"/>
      <c r="J585" s="4"/>
    </row>
    <row r="586" spans="8:10" ht="12.75" x14ac:dyDescent="0.2">
      <c r="H586" s="4"/>
      <c r="I586" s="4"/>
      <c r="J586" s="4"/>
    </row>
    <row r="587" spans="8:10" ht="12.75" x14ac:dyDescent="0.2">
      <c r="H587" s="4"/>
      <c r="I587" s="4"/>
      <c r="J587" s="4"/>
    </row>
    <row r="588" spans="8:10" ht="12.75" x14ac:dyDescent="0.2">
      <c r="H588" s="4"/>
      <c r="I588" s="4"/>
      <c r="J588" s="4"/>
    </row>
    <row r="589" spans="8:10" ht="12.75" x14ac:dyDescent="0.2">
      <c r="H589" s="4"/>
      <c r="I589" s="4"/>
      <c r="J589" s="4"/>
    </row>
    <row r="590" spans="8:10" ht="12.75" x14ac:dyDescent="0.2">
      <c r="H590" s="4"/>
      <c r="I590" s="4"/>
      <c r="J590" s="4"/>
    </row>
    <row r="591" spans="8:10" ht="12.75" x14ac:dyDescent="0.2">
      <c r="H591" s="4"/>
      <c r="I591" s="4"/>
      <c r="J591" s="4"/>
    </row>
    <row r="592" spans="8:10" ht="12.75" x14ac:dyDescent="0.2">
      <c r="H592" s="4"/>
      <c r="I592" s="4"/>
      <c r="J592" s="4"/>
    </row>
    <row r="593" spans="8:10" ht="12.75" x14ac:dyDescent="0.2">
      <c r="H593" s="4"/>
      <c r="I593" s="4"/>
      <c r="J593" s="4"/>
    </row>
    <row r="594" spans="8:10" ht="12.75" x14ac:dyDescent="0.2">
      <c r="H594" s="4"/>
      <c r="I594" s="4"/>
      <c r="J594" s="4"/>
    </row>
    <row r="595" spans="8:10" ht="12.75" x14ac:dyDescent="0.2">
      <c r="H595" s="4"/>
      <c r="I595" s="4"/>
      <c r="J595" s="4"/>
    </row>
    <row r="596" spans="8:10" ht="12.75" x14ac:dyDescent="0.2">
      <c r="H596" s="4"/>
      <c r="I596" s="4"/>
      <c r="J596" s="4"/>
    </row>
    <row r="597" spans="8:10" ht="12.75" x14ac:dyDescent="0.2">
      <c r="H597" s="4"/>
      <c r="I597" s="4"/>
      <c r="J597" s="4"/>
    </row>
    <row r="598" spans="8:10" ht="12.75" x14ac:dyDescent="0.2">
      <c r="H598" s="4"/>
      <c r="I598" s="4"/>
      <c r="J598" s="4"/>
    </row>
    <row r="599" spans="8:10" ht="12.75" x14ac:dyDescent="0.2">
      <c r="H599" s="4"/>
      <c r="I599" s="4"/>
      <c r="J599" s="4"/>
    </row>
    <row r="600" spans="8:10" ht="12.75" x14ac:dyDescent="0.2">
      <c r="H600" s="4"/>
      <c r="I600" s="4"/>
      <c r="J600" s="4"/>
    </row>
    <row r="601" spans="8:10" ht="12.75" x14ac:dyDescent="0.2">
      <c r="H601" s="4"/>
      <c r="I601" s="4"/>
      <c r="J601" s="4"/>
    </row>
    <row r="602" spans="8:10" ht="12.75" x14ac:dyDescent="0.2">
      <c r="H602" s="4"/>
      <c r="I602" s="4"/>
      <c r="J602" s="4"/>
    </row>
    <row r="603" spans="8:10" ht="12.75" x14ac:dyDescent="0.2">
      <c r="H603" s="4"/>
      <c r="I603" s="4"/>
      <c r="J603" s="4"/>
    </row>
    <row r="604" spans="8:10" ht="12.75" x14ac:dyDescent="0.2">
      <c r="H604" s="4"/>
      <c r="I604" s="4"/>
      <c r="J604" s="4"/>
    </row>
    <row r="605" spans="8:10" ht="12.75" x14ac:dyDescent="0.2">
      <c r="H605" s="4"/>
      <c r="I605" s="4"/>
      <c r="J605" s="4"/>
    </row>
    <row r="606" spans="8:10" ht="12.75" x14ac:dyDescent="0.2">
      <c r="H606" s="4"/>
      <c r="I606" s="4"/>
      <c r="J606" s="4"/>
    </row>
    <row r="607" spans="8:10" ht="12.75" x14ac:dyDescent="0.2">
      <c r="H607" s="4"/>
      <c r="I607" s="4"/>
      <c r="J607" s="4"/>
    </row>
    <row r="608" spans="8:10" ht="12.75" x14ac:dyDescent="0.2">
      <c r="H608" s="4"/>
      <c r="I608" s="4"/>
      <c r="J608" s="4"/>
    </row>
    <row r="609" spans="8:10" ht="12.75" x14ac:dyDescent="0.2">
      <c r="H609" s="4"/>
      <c r="I609" s="4"/>
      <c r="J609" s="4"/>
    </row>
    <row r="610" spans="8:10" ht="12.75" x14ac:dyDescent="0.2">
      <c r="H610" s="4"/>
      <c r="I610" s="4"/>
      <c r="J610" s="4"/>
    </row>
    <row r="611" spans="8:10" ht="12.75" x14ac:dyDescent="0.2">
      <c r="H611" s="4"/>
      <c r="I611" s="4"/>
      <c r="J611" s="4"/>
    </row>
    <row r="612" spans="8:10" ht="12.75" x14ac:dyDescent="0.2">
      <c r="H612" s="4"/>
      <c r="I612" s="4"/>
      <c r="J612" s="4"/>
    </row>
    <row r="613" spans="8:10" ht="12.75" x14ac:dyDescent="0.2">
      <c r="H613" s="4"/>
      <c r="I613" s="4"/>
      <c r="J613" s="4"/>
    </row>
    <row r="614" spans="8:10" ht="12.75" x14ac:dyDescent="0.2">
      <c r="H614" s="4"/>
      <c r="I614" s="4"/>
      <c r="J614" s="4"/>
    </row>
    <row r="615" spans="8:10" ht="12.75" x14ac:dyDescent="0.2">
      <c r="H615" s="4"/>
      <c r="I615" s="4"/>
      <c r="J615" s="4"/>
    </row>
    <row r="616" spans="8:10" ht="12.75" x14ac:dyDescent="0.2">
      <c r="H616" s="4"/>
      <c r="I616" s="4"/>
      <c r="J616" s="4"/>
    </row>
    <row r="617" spans="8:10" ht="12.75" x14ac:dyDescent="0.2">
      <c r="H617" s="4"/>
      <c r="I617" s="4"/>
      <c r="J617" s="4"/>
    </row>
    <row r="618" spans="8:10" ht="12.75" x14ac:dyDescent="0.2">
      <c r="H618" s="4"/>
      <c r="I618" s="4"/>
      <c r="J618" s="4"/>
    </row>
    <row r="619" spans="8:10" ht="12.75" x14ac:dyDescent="0.2">
      <c r="H619" s="4"/>
      <c r="I619" s="4"/>
      <c r="J619" s="4"/>
    </row>
    <row r="620" spans="8:10" ht="12.75" x14ac:dyDescent="0.2">
      <c r="H620" s="4"/>
      <c r="I620" s="4"/>
      <c r="J620" s="4"/>
    </row>
    <row r="621" spans="8:10" ht="12.75" x14ac:dyDescent="0.2">
      <c r="H621" s="4"/>
      <c r="I621" s="4"/>
      <c r="J621" s="4"/>
    </row>
    <row r="622" spans="8:10" ht="12.75" x14ac:dyDescent="0.2">
      <c r="H622" s="4"/>
      <c r="I622" s="4"/>
      <c r="J622" s="4"/>
    </row>
    <row r="623" spans="8:10" ht="12.75" x14ac:dyDescent="0.2">
      <c r="H623" s="4"/>
      <c r="I623" s="4"/>
      <c r="J623" s="4"/>
    </row>
    <row r="624" spans="8:10" ht="12.75" x14ac:dyDescent="0.2">
      <c r="H624" s="4"/>
      <c r="I624" s="4"/>
      <c r="J624" s="4"/>
    </row>
    <row r="625" spans="8:10" ht="12.75" x14ac:dyDescent="0.2">
      <c r="H625" s="4"/>
      <c r="I625" s="4"/>
      <c r="J625" s="4"/>
    </row>
    <row r="626" spans="8:10" ht="12.75" x14ac:dyDescent="0.2">
      <c r="H626" s="4"/>
      <c r="I626" s="4"/>
      <c r="J626" s="4"/>
    </row>
    <row r="627" spans="8:10" ht="12.75" x14ac:dyDescent="0.2">
      <c r="H627" s="4"/>
      <c r="I627" s="4"/>
      <c r="J627" s="4"/>
    </row>
    <row r="628" spans="8:10" ht="12.75" x14ac:dyDescent="0.2">
      <c r="H628" s="4"/>
      <c r="I628" s="4"/>
      <c r="J628" s="4"/>
    </row>
    <row r="629" spans="8:10" ht="12.75" x14ac:dyDescent="0.2">
      <c r="H629" s="4"/>
      <c r="I629" s="4"/>
      <c r="J629" s="4"/>
    </row>
    <row r="630" spans="8:10" ht="12.75" x14ac:dyDescent="0.2">
      <c r="H630" s="4"/>
      <c r="I630" s="4"/>
      <c r="J630" s="4"/>
    </row>
    <row r="631" spans="8:10" ht="12.75" x14ac:dyDescent="0.2">
      <c r="H631" s="4"/>
      <c r="I631" s="4"/>
      <c r="J631" s="4"/>
    </row>
    <row r="632" spans="8:10" ht="12.75" x14ac:dyDescent="0.2">
      <c r="H632" s="4"/>
      <c r="I632" s="4"/>
      <c r="J632" s="4"/>
    </row>
    <row r="633" spans="8:10" ht="12.75" x14ac:dyDescent="0.2">
      <c r="H633" s="4"/>
      <c r="I633" s="4"/>
      <c r="J633" s="4"/>
    </row>
    <row r="634" spans="8:10" ht="12.75" x14ac:dyDescent="0.2">
      <c r="H634" s="4"/>
      <c r="I634" s="4"/>
      <c r="J634" s="4"/>
    </row>
    <row r="635" spans="8:10" ht="12.75" x14ac:dyDescent="0.2">
      <c r="H635" s="4"/>
      <c r="I635" s="4"/>
      <c r="J635" s="4"/>
    </row>
    <row r="636" spans="8:10" ht="12.75" x14ac:dyDescent="0.2">
      <c r="H636" s="4"/>
      <c r="I636" s="4"/>
      <c r="J636" s="4"/>
    </row>
    <row r="637" spans="8:10" ht="12.75" x14ac:dyDescent="0.2">
      <c r="H637" s="4"/>
      <c r="I637" s="4"/>
      <c r="J637" s="4"/>
    </row>
    <row r="638" spans="8:10" ht="12.75" x14ac:dyDescent="0.2">
      <c r="H638" s="4"/>
      <c r="I638" s="4"/>
      <c r="J638" s="4"/>
    </row>
    <row r="639" spans="8:10" ht="12.75" x14ac:dyDescent="0.2">
      <c r="H639" s="4"/>
      <c r="I639" s="4"/>
      <c r="J639" s="4"/>
    </row>
    <row r="640" spans="8:10" ht="12.75" x14ac:dyDescent="0.2">
      <c r="H640" s="4"/>
      <c r="I640" s="4"/>
      <c r="J640" s="4"/>
    </row>
    <row r="641" spans="8:10" ht="12.75" x14ac:dyDescent="0.2">
      <c r="H641" s="4"/>
      <c r="I641" s="4"/>
      <c r="J641" s="4"/>
    </row>
    <row r="642" spans="8:10" ht="12.75" x14ac:dyDescent="0.2">
      <c r="H642" s="4"/>
      <c r="I642" s="4"/>
      <c r="J642" s="4"/>
    </row>
    <row r="643" spans="8:10" ht="12.75" x14ac:dyDescent="0.2">
      <c r="H643" s="4"/>
      <c r="I643" s="4"/>
      <c r="J643" s="4"/>
    </row>
    <row r="644" spans="8:10" ht="12.75" x14ac:dyDescent="0.2">
      <c r="H644" s="4"/>
      <c r="I644" s="4"/>
      <c r="J644" s="4"/>
    </row>
    <row r="645" spans="8:10" ht="12.75" x14ac:dyDescent="0.2">
      <c r="H645" s="4"/>
      <c r="I645" s="4"/>
      <c r="J645" s="4"/>
    </row>
    <row r="646" spans="8:10" ht="12.75" x14ac:dyDescent="0.2">
      <c r="H646" s="4"/>
      <c r="I646" s="4"/>
      <c r="J646" s="4"/>
    </row>
    <row r="647" spans="8:10" ht="12.75" x14ac:dyDescent="0.2">
      <c r="H647" s="4"/>
      <c r="I647" s="4"/>
      <c r="J647" s="4"/>
    </row>
    <row r="648" spans="8:10" ht="12.75" x14ac:dyDescent="0.2">
      <c r="H648" s="4"/>
      <c r="I648" s="4"/>
      <c r="J648" s="4"/>
    </row>
    <row r="649" spans="8:10" ht="12.75" x14ac:dyDescent="0.2">
      <c r="H649" s="4"/>
      <c r="I649" s="4"/>
      <c r="J649" s="4"/>
    </row>
    <row r="650" spans="8:10" ht="12.75" x14ac:dyDescent="0.2">
      <c r="H650" s="4"/>
      <c r="I650" s="4"/>
      <c r="J650" s="4"/>
    </row>
    <row r="651" spans="8:10" ht="12.75" x14ac:dyDescent="0.2">
      <c r="H651" s="4"/>
      <c r="I651" s="4"/>
      <c r="J651" s="4"/>
    </row>
    <row r="652" spans="8:10" ht="12.75" x14ac:dyDescent="0.2">
      <c r="H652" s="4"/>
      <c r="I652" s="4"/>
      <c r="J652" s="4"/>
    </row>
    <row r="653" spans="8:10" ht="12.75" x14ac:dyDescent="0.2">
      <c r="H653" s="4"/>
      <c r="I653" s="4"/>
      <c r="J653" s="4"/>
    </row>
    <row r="654" spans="8:10" ht="12.75" x14ac:dyDescent="0.2">
      <c r="H654" s="4"/>
      <c r="I654" s="4"/>
      <c r="J654" s="4"/>
    </row>
    <row r="655" spans="8:10" ht="12.75" x14ac:dyDescent="0.2">
      <c r="H655" s="4"/>
      <c r="I655" s="4"/>
      <c r="J655" s="4"/>
    </row>
    <row r="656" spans="8:10" ht="12.75" x14ac:dyDescent="0.2">
      <c r="H656" s="4"/>
      <c r="I656" s="4"/>
      <c r="J656" s="4"/>
    </row>
    <row r="657" spans="8:10" ht="12.75" x14ac:dyDescent="0.2">
      <c r="H657" s="4"/>
      <c r="I657" s="4"/>
      <c r="J657" s="4"/>
    </row>
    <row r="658" spans="8:10" ht="12.75" x14ac:dyDescent="0.2">
      <c r="H658" s="4"/>
      <c r="I658" s="4"/>
      <c r="J658" s="4"/>
    </row>
    <row r="659" spans="8:10" ht="12.75" x14ac:dyDescent="0.2">
      <c r="H659" s="4"/>
      <c r="I659" s="4"/>
      <c r="J659" s="4"/>
    </row>
    <row r="660" spans="8:10" ht="12.75" x14ac:dyDescent="0.2">
      <c r="H660" s="4"/>
      <c r="I660" s="4"/>
      <c r="J660" s="4"/>
    </row>
    <row r="661" spans="8:10" ht="12.75" x14ac:dyDescent="0.2">
      <c r="H661" s="4"/>
      <c r="I661" s="4"/>
      <c r="J661" s="4"/>
    </row>
    <row r="662" spans="8:10" ht="12.75" x14ac:dyDescent="0.2">
      <c r="H662" s="4"/>
      <c r="I662" s="4"/>
      <c r="J662" s="4"/>
    </row>
    <row r="663" spans="8:10" ht="12.75" x14ac:dyDescent="0.2">
      <c r="H663" s="4"/>
      <c r="I663" s="4"/>
      <c r="J663" s="4"/>
    </row>
    <row r="664" spans="8:10" ht="12.75" x14ac:dyDescent="0.2">
      <c r="H664" s="4"/>
      <c r="I664" s="4"/>
      <c r="J664" s="4"/>
    </row>
    <row r="665" spans="8:10" ht="12.75" x14ac:dyDescent="0.2">
      <c r="H665" s="4"/>
      <c r="I665" s="4"/>
      <c r="J665" s="4"/>
    </row>
    <row r="666" spans="8:10" ht="12.75" x14ac:dyDescent="0.2">
      <c r="H666" s="4"/>
      <c r="I666" s="4"/>
      <c r="J666" s="4"/>
    </row>
    <row r="667" spans="8:10" ht="12.75" x14ac:dyDescent="0.2">
      <c r="H667" s="4"/>
      <c r="I667" s="4"/>
      <c r="J667" s="4"/>
    </row>
    <row r="668" spans="8:10" ht="12.75" x14ac:dyDescent="0.2">
      <c r="H668" s="4"/>
      <c r="I668" s="4"/>
      <c r="J668" s="4"/>
    </row>
    <row r="669" spans="8:10" ht="12.75" x14ac:dyDescent="0.2">
      <c r="H669" s="4"/>
      <c r="I669" s="4"/>
      <c r="J669" s="4"/>
    </row>
    <row r="670" spans="8:10" ht="12.75" x14ac:dyDescent="0.2">
      <c r="H670" s="4"/>
      <c r="I670" s="4"/>
      <c r="J670" s="4"/>
    </row>
    <row r="671" spans="8:10" ht="12.75" x14ac:dyDescent="0.2">
      <c r="H671" s="4"/>
      <c r="I671" s="4"/>
      <c r="J671" s="4"/>
    </row>
    <row r="672" spans="8:10" ht="12.75" x14ac:dyDescent="0.2">
      <c r="H672" s="4"/>
      <c r="I672" s="4"/>
      <c r="J672" s="4"/>
    </row>
    <row r="673" spans="8:10" ht="12.75" x14ac:dyDescent="0.2">
      <c r="H673" s="4"/>
      <c r="I673" s="4"/>
      <c r="J673" s="4"/>
    </row>
    <row r="674" spans="8:10" ht="12.75" x14ac:dyDescent="0.2">
      <c r="H674" s="4"/>
      <c r="I674" s="4"/>
      <c r="J674" s="4"/>
    </row>
    <row r="675" spans="8:10" ht="12.75" x14ac:dyDescent="0.2">
      <c r="H675" s="4"/>
      <c r="I675" s="4"/>
      <c r="J675" s="4"/>
    </row>
    <row r="676" spans="8:10" ht="12.75" x14ac:dyDescent="0.2">
      <c r="H676" s="4"/>
      <c r="I676" s="4"/>
      <c r="J676" s="4"/>
    </row>
    <row r="677" spans="8:10" ht="12.75" x14ac:dyDescent="0.2">
      <c r="H677" s="4"/>
      <c r="I677" s="4"/>
      <c r="J677" s="4"/>
    </row>
    <row r="678" spans="8:10" ht="12.75" x14ac:dyDescent="0.2">
      <c r="H678" s="4"/>
      <c r="I678" s="4"/>
      <c r="J678" s="4"/>
    </row>
    <row r="679" spans="8:10" ht="12.75" x14ac:dyDescent="0.2">
      <c r="H679" s="4"/>
      <c r="I679" s="4"/>
      <c r="J679" s="4"/>
    </row>
    <row r="680" spans="8:10" ht="12.75" x14ac:dyDescent="0.2">
      <c r="H680" s="4"/>
      <c r="I680" s="4"/>
      <c r="J680" s="4"/>
    </row>
    <row r="681" spans="8:10" ht="12.75" x14ac:dyDescent="0.2">
      <c r="H681" s="4"/>
      <c r="I681" s="4"/>
      <c r="J681" s="4"/>
    </row>
    <row r="682" spans="8:10" ht="12.75" x14ac:dyDescent="0.2">
      <c r="H682" s="4"/>
      <c r="I682" s="4"/>
      <c r="J682" s="4"/>
    </row>
    <row r="683" spans="8:10" ht="12.75" x14ac:dyDescent="0.2">
      <c r="H683" s="4"/>
      <c r="I683" s="4"/>
      <c r="J683" s="4"/>
    </row>
    <row r="684" spans="8:10" ht="12.75" x14ac:dyDescent="0.2">
      <c r="H684" s="4"/>
      <c r="I684" s="4"/>
      <c r="J684" s="4"/>
    </row>
    <row r="685" spans="8:10" ht="12.75" x14ac:dyDescent="0.2">
      <c r="H685" s="4"/>
      <c r="I685" s="4"/>
      <c r="J685" s="4"/>
    </row>
    <row r="686" spans="8:10" ht="12.75" x14ac:dyDescent="0.2">
      <c r="H686" s="4"/>
      <c r="I686" s="4"/>
      <c r="J686" s="4"/>
    </row>
    <row r="687" spans="8:10" ht="12.75" x14ac:dyDescent="0.2">
      <c r="H687" s="4"/>
      <c r="I687" s="4"/>
      <c r="J687" s="4"/>
    </row>
    <row r="688" spans="8:10" ht="12.75" x14ac:dyDescent="0.2">
      <c r="H688" s="4"/>
      <c r="I688" s="4"/>
      <c r="J688" s="4"/>
    </row>
    <row r="689" spans="8:10" ht="12.75" x14ac:dyDescent="0.2">
      <c r="H689" s="4"/>
      <c r="I689" s="4"/>
      <c r="J689" s="4"/>
    </row>
    <row r="690" spans="8:10" ht="12.75" x14ac:dyDescent="0.2">
      <c r="H690" s="4"/>
      <c r="I690" s="4"/>
      <c r="J690" s="4"/>
    </row>
    <row r="691" spans="8:10" ht="12.75" x14ac:dyDescent="0.2">
      <c r="H691" s="4"/>
      <c r="I691" s="4"/>
      <c r="J691" s="4"/>
    </row>
    <row r="692" spans="8:10" ht="12.75" x14ac:dyDescent="0.2">
      <c r="H692" s="4"/>
      <c r="I692" s="4"/>
      <c r="J692" s="4"/>
    </row>
    <row r="693" spans="8:10" ht="12.75" x14ac:dyDescent="0.2">
      <c r="H693" s="4"/>
      <c r="I693" s="4"/>
      <c r="J693" s="4"/>
    </row>
    <row r="694" spans="8:10" ht="12.75" x14ac:dyDescent="0.2">
      <c r="H694" s="4"/>
      <c r="I694" s="4"/>
      <c r="J694" s="4"/>
    </row>
    <row r="695" spans="8:10" ht="12.75" x14ac:dyDescent="0.2">
      <c r="H695" s="4"/>
      <c r="I695" s="4"/>
      <c r="J695" s="4"/>
    </row>
    <row r="696" spans="8:10" ht="12.75" x14ac:dyDescent="0.2">
      <c r="H696" s="4"/>
      <c r="I696" s="4"/>
      <c r="J696" s="4"/>
    </row>
    <row r="697" spans="8:10" ht="12.75" x14ac:dyDescent="0.2">
      <c r="H697" s="4"/>
      <c r="I697" s="4"/>
      <c r="J697" s="4"/>
    </row>
    <row r="698" spans="8:10" ht="12.75" x14ac:dyDescent="0.2">
      <c r="H698" s="4"/>
      <c r="I698" s="4"/>
      <c r="J698" s="4"/>
    </row>
    <row r="699" spans="8:10" ht="12.75" x14ac:dyDescent="0.2">
      <c r="H699" s="4"/>
      <c r="I699" s="4"/>
      <c r="J699" s="4"/>
    </row>
    <row r="700" spans="8:10" ht="12.75" x14ac:dyDescent="0.2">
      <c r="H700" s="4"/>
      <c r="I700" s="4"/>
      <c r="J700" s="4"/>
    </row>
    <row r="701" spans="8:10" ht="12.75" x14ac:dyDescent="0.2">
      <c r="H701" s="4"/>
      <c r="I701" s="4"/>
      <c r="J701" s="4"/>
    </row>
    <row r="702" spans="8:10" ht="12.75" x14ac:dyDescent="0.2">
      <c r="H702" s="4"/>
      <c r="I702" s="4"/>
      <c r="J702" s="4"/>
    </row>
    <row r="703" spans="8:10" ht="12.75" x14ac:dyDescent="0.2">
      <c r="H703" s="4"/>
      <c r="I703" s="4"/>
      <c r="J703" s="4"/>
    </row>
    <row r="704" spans="8:10" ht="12.75" x14ac:dyDescent="0.2">
      <c r="H704" s="4"/>
      <c r="I704" s="4"/>
      <c r="J704" s="4"/>
    </row>
    <row r="705" spans="8:10" ht="12.75" x14ac:dyDescent="0.2">
      <c r="H705" s="4"/>
      <c r="I705" s="4"/>
      <c r="J705" s="4"/>
    </row>
    <row r="706" spans="8:10" ht="12.75" x14ac:dyDescent="0.2">
      <c r="H706" s="4"/>
      <c r="I706" s="4"/>
      <c r="J706" s="4"/>
    </row>
    <row r="707" spans="8:10" ht="12.75" x14ac:dyDescent="0.2">
      <c r="H707" s="4"/>
      <c r="I707" s="4"/>
      <c r="J707" s="4"/>
    </row>
    <row r="708" spans="8:10" ht="12.75" x14ac:dyDescent="0.2">
      <c r="H708" s="4"/>
      <c r="I708" s="4"/>
      <c r="J708" s="4"/>
    </row>
    <row r="709" spans="8:10" ht="12.75" x14ac:dyDescent="0.2">
      <c r="H709" s="4"/>
      <c r="I709" s="4"/>
      <c r="J709" s="4"/>
    </row>
    <row r="710" spans="8:10" ht="12.75" x14ac:dyDescent="0.2">
      <c r="H710" s="4"/>
      <c r="I710" s="4"/>
      <c r="J710" s="4"/>
    </row>
    <row r="711" spans="8:10" ht="12.75" x14ac:dyDescent="0.2">
      <c r="H711" s="4"/>
      <c r="I711" s="4"/>
      <c r="J711" s="4"/>
    </row>
    <row r="712" spans="8:10" ht="12.75" x14ac:dyDescent="0.2">
      <c r="H712" s="4"/>
      <c r="I712" s="4"/>
      <c r="J712" s="4"/>
    </row>
    <row r="713" spans="8:10" ht="12.75" x14ac:dyDescent="0.2">
      <c r="H713" s="4"/>
      <c r="I713" s="4"/>
      <c r="J713" s="4"/>
    </row>
    <row r="714" spans="8:10" ht="12.75" x14ac:dyDescent="0.2">
      <c r="H714" s="4"/>
      <c r="I714" s="4"/>
      <c r="J714" s="4"/>
    </row>
    <row r="715" spans="8:10" ht="12.75" x14ac:dyDescent="0.2">
      <c r="H715" s="4"/>
      <c r="I715" s="4"/>
      <c r="J715" s="4"/>
    </row>
    <row r="716" spans="8:10" ht="12.75" x14ac:dyDescent="0.2">
      <c r="H716" s="4"/>
      <c r="I716" s="4"/>
      <c r="J716" s="4"/>
    </row>
    <row r="717" spans="8:10" ht="12.75" x14ac:dyDescent="0.2">
      <c r="H717" s="4"/>
      <c r="I717" s="4"/>
      <c r="J717" s="4"/>
    </row>
    <row r="718" spans="8:10" ht="12.75" x14ac:dyDescent="0.2">
      <c r="H718" s="4"/>
      <c r="I718" s="4"/>
      <c r="J718" s="4"/>
    </row>
    <row r="719" spans="8:10" ht="12.75" x14ac:dyDescent="0.2">
      <c r="H719" s="4"/>
      <c r="I719" s="4"/>
      <c r="J719" s="4"/>
    </row>
    <row r="720" spans="8:10" ht="12.75" x14ac:dyDescent="0.2">
      <c r="H720" s="4"/>
      <c r="I720" s="4"/>
      <c r="J720" s="4"/>
    </row>
    <row r="721" spans="8:10" ht="12.75" x14ac:dyDescent="0.2">
      <c r="H721" s="4"/>
      <c r="I721" s="4"/>
      <c r="J721" s="4"/>
    </row>
    <row r="722" spans="8:10" ht="12.75" x14ac:dyDescent="0.2">
      <c r="H722" s="4"/>
      <c r="I722" s="4"/>
      <c r="J722" s="4"/>
    </row>
    <row r="723" spans="8:10" ht="12.75" x14ac:dyDescent="0.2">
      <c r="H723" s="4"/>
      <c r="I723" s="4"/>
      <c r="J723" s="4"/>
    </row>
    <row r="724" spans="8:10" ht="12.75" x14ac:dyDescent="0.2">
      <c r="H724" s="4"/>
      <c r="I724" s="4"/>
      <c r="J724" s="4"/>
    </row>
    <row r="725" spans="8:10" ht="12.75" x14ac:dyDescent="0.2">
      <c r="H725" s="4"/>
      <c r="I725" s="4"/>
      <c r="J725" s="4"/>
    </row>
    <row r="726" spans="8:10" ht="12.75" x14ac:dyDescent="0.2">
      <c r="H726" s="4"/>
      <c r="I726" s="4"/>
      <c r="J726" s="4"/>
    </row>
    <row r="727" spans="8:10" ht="12.75" x14ac:dyDescent="0.2">
      <c r="H727" s="4"/>
      <c r="I727" s="4"/>
      <c r="J727" s="4"/>
    </row>
    <row r="728" spans="8:10" ht="12.75" x14ac:dyDescent="0.2">
      <c r="H728" s="4"/>
      <c r="I728" s="4"/>
      <c r="J728" s="4"/>
    </row>
    <row r="729" spans="8:10" ht="12.75" x14ac:dyDescent="0.2">
      <c r="H729" s="4"/>
      <c r="I729" s="4"/>
      <c r="J729" s="4"/>
    </row>
    <row r="730" spans="8:10" ht="12.75" x14ac:dyDescent="0.2">
      <c r="H730" s="4"/>
      <c r="I730" s="4"/>
      <c r="J730" s="4"/>
    </row>
    <row r="731" spans="8:10" ht="12.75" x14ac:dyDescent="0.2">
      <c r="H731" s="4"/>
      <c r="I731" s="4"/>
      <c r="J731" s="4"/>
    </row>
    <row r="732" spans="8:10" ht="12.75" x14ac:dyDescent="0.2">
      <c r="H732" s="4"/>
      <c r="I732" s="4"/>
      <c r="J732" s="4"/>
    </row>
    <row r="733" spans="8:10" ht="12.75" x14ac:dyDescent="0.2">
      <c r="H733" s="4"/>
      <c r="I733" s="4"/>
      <c r="J733" s="4"/>
    </row>
    <row r="734" spans="8:10" ht="12.75" x14ac:dyDescent="0.2">
      <c r="H734" s="4"/>
      <c r="I734" s="4"/>
      <c r="J734" s="4"/>
    </row>
    <row r="735" spans="8:10" ht="12.75" x14ac:dyDescent="0.2">
      <c r="H735" s="4"/>
      <c r="I735" s="4"/>
      <c r="J735" s="4"/>
    </row>
    <row r="736" spans="8:10" ht="12.75" x14ac:dyDescent="0.2">
      <c r="H736" s="4"/>
      <c r="I736" s="4"/>
      <c r="J736" s="4"/>
    </row>
    <row r="737" spans="8:10" ht="12.75" x14ac:dyDescent="0.2">
      <c r="H737" s="4"/>
      <c r="I737" s="4"/>
      <c r="J737" s="4"/>
    </row>
    <row r="738" spans="8:10" ht="12.75" x14ac:dyDescent="0.2">
      <c r="H738" s="4"/>
      <c r="I738" s="4"/>
      <c r="J738" s="4"/>
    </row>
    <row r="739" spans="8:10" ht="12.75" x14ac:dyDescent="0.2">
      <c r="H739" s="4"/>
      <c r="I739" s="4"/>
      <c r="J739" s="4"/>
    </row>
    <row r="740" spans="8:10" ht="12.75" x14ac:dyDescent="0.2">
      <c r="H740" s="4"/>
      <c r="I740" s="4"/>
      <c r="J740" s="4"/>
    </row>
    <row r="741" spans="8:10" ht="12.75" x14ac:dyDescent="0.2">
      <c r="H741" s="4"/>
      <c r="I741" s="4"/>
      <c r="J741" s="4"/>
    </row>
    <row r="742" spans="8:10" ht="12.75" x14ac:dyDescent="0.2">
      <c r="H742" s="4"/>
      <c r="I742" s="4"/>
      <c r="J742" s="4"/>
    </row>
    <row r="743" spans="8:10" ht="12.75" x14ac:dyDescent="0.2">
      <c r="H743" s="4"/>
      <c r="I743" s="4"/>
      <c r="J743" s="4"/>
    </row>
    <row r="744" spans="8:10" ht="12.75" x14ac:dyDescent="0.2">
      <c r="H744" s="4"/>
      <c r="I744" s="4"/>
      <c r="J744" s="4"/>
    </row>
    <row r="745" spans="8:10" ht="12.75" x14ac:dyDescent="0.2">
      <c r="H745" s="4"/>
      <c r="I745" s="4"/>
      <c r="J745" s="4"/>
    </row>
    <row r="746" spans="8:10" ht="12.75" x14ac:dyDescent="0.2">
      <c r="H746" s="4"/>
      <c r="I746" s="4"/>
      <c r="J746" s="4"/>
    </row>
    <row r="747" spans="8:10" ht="12.75" x14ac:dyDescent="0.2">
      <c r="H747" s="4"/>
      <c r="I747" s="4"/>
      <c r="J747" s="4"/>
    </row>
    <row r="748" spans="8:10" ht="12.75" x14ac:dyDescent="0.2">
      <c r="H748" s="4"/>
      <c r="I748" s="4"/>
      <c r="J748" s="4"/>
    </row>
    <row r="749" spans="8:10" ht="12.75" x14ac:dyDescent="0.2">
      <c r="H749" s="4"/>
      <c r="I749" s="4"/>
      <c r="J749" s="4"/>
    </row>
    <row r="750" spans="8:10" ht="12.75" x14ac:dyDescent="0.2">
      <c r="H750" s="4"/>
      <c r="I750" s="4"/>
      <c r="J750" s="4"/>
    </row>
    <row r="751" spans="8:10" ht="12.75" x14ac:dyDescent="0.2">
      <c r="H751" s="4"/>
      <c r="I751" s="4"/>
      <c r="J751" s="4"/>
    </row>
    <row r="752" spans="8:10" ht="12.75" x14ac:dyDescent="0.2">
      <c r="H752" s="4"/>
      <c r="I752" s="4"/>
      <c r="J752" s="4"/>
    </row>
    <row r="753" spans="8:10" ht="12.75" x14ac:dyDescent="0.2">
      <c r="H753" s="4"/>
      <c r="I753" s="4"/>
      <c r="J753" s="4"/>
    </row>
    <row r="754" spans="8:10" ht="12.75" x14ac:dyDescent="0.2">
      <c r="H754" s="4"/>
      <c r="I754" s="4"/>
      <c r="J754" s="4"/>
    </row>
    <row r="755" spans="8:10" ht="12.75" x14ac:dyDescent="0.2">
      <c r="H755" s="4"/>
      <c r="I755" s="4"/>
      <c r="J755" s="4"/>
    </row>
    <row r="756" spans="8:10" ht="12.75" x14ac:dyDescent="0.2">
      <c r="H756" s="4"/>
      <c r="I756" s="4"/>
      <c r="J756" s="4"/>
    </row>
    <row r="757" spans="8:10" ht="12.75" x14ac:dyDescent="0.2">
      <c r="H757" s="4"/>
      <c r="I757" s="4"/>
      <c r="J757" s="4"/>
    </row>
    <row r="758" spans="8:10" ht="12.75" x14ac:dyDescent="0.2">
      <c r="H758" s="4"/>
      <c r="I758" s="4"/>
      <c r="J758" s="4"/>
    </row>
    <row r="759" spans="8:10" ht="12.75" x14ac:dyDescent="0.2">
      <c r="H759" s="4"/>
      <c r="I759" s="4"/>
      <c r="J759" s="4"/>
    </row>
    <row r="760" spans="8:10" ht="12.75" x14ac:dyDescent="0.2">
      <c r="H760" s="4"/>
      <c r="I760" s="4"/>
      <c r="J760" s="4"/>
    </row>
    <row r="761" spans="8:10" ht="12.75" x14ac:dyDescent="0.2">
      <c r="H761" s="4"/>
      <c r="I761" s="4"/>
      <c r="J761" s="4"/>
    </row>
    <row r="762" spans="8:10" ht="12.75" x14ac:dyDescent="0.2">
      <c r="H762" s="4"/>
      <c r="I762" s="4"/>
      <c r="J762" s="4"/>
    </row>
    <row r="763" spans="8:10" ht="12.75" x14ac:dyDescent="0.2">
      <c r="H763" s="4"/>
      <c r="I763" s="4"/>
      <c r="J763" s="4"/>
    </row>
    <row r="764" spans="8:10" ht="12.75" x14ac:dyDescent="0.2">
      <c r="H764" s="4"/>
      <c r="I764" s="4"/>
      <c r="J764" s="4"/>
    </row>
    <row r="765" spans="8:10" ht="12.75" x14ac:dyDescent="0.2">
      <c r="H765" s="4"/>
      <c r="I765" s="4"/>
      <c r="J765" s="4"/>
    </row>
    <row r="766" spans="8:10" ht="12.75" x14ac:dyDescent="0.2">
      <c r="H766" s="4"/>
      <c r="I766" s="4"/>
      <c r="J766" s="4"/>
    </row>
    <row r="767" spans="8:10" ht="12.75" x14ac:dyDescent="0.2">
      <c r="H767" s="4"/>
      <c r="I767" s="4"/>
      <c r="J767" s="4"/>
    </row>
    <row r="768" spans="8:10" ht="12.75" x14ac:dyDescent="0.2">
      <c r="H768" s="4"/>
      <c r="I768" s="4"/>
      <c r="J768" s="4"/>
    </row>
    <row r="769" spans="8:10" ht="12.75" x14ac:dyDescent="0.2">
      <c r="H769" s="4"/>
      <c r="I769" s="4"/>
      <c r="J769" s="4"/>
    </row>
    <row r="770" spans="8:10" ht="12.75" x14ac:dyDescent="0.2">
      <c r="H770" s="4"/>
      <c r="I770" s="4"/>
      <c r="J770" s="4"/>
    </row>
    <row r="771" spans="8:10" ht="12.75" x14ac:dyDescent="0.2">
      <c r="H771" s="4"/>
      <c r="I771" s="4"/>
      <c r="J771" s="4"/>
    </row>
    <row r="772" spans="8:10" ht="12.75" x14ac:dyDescent="0.2">
      <c r="H772" s="4"/>
      <c r="I772" s="4"/>
      <c r="J772" s="4"/>
    </row>
    <row r="773" spans="8:10" ht="12.75" x14ac:dyDescent="0.2">
      <c r="H773" s="4"/>
      <c r="I773" s="4"/>
      <c r="J773" s="4"/>
    </row>
    <row r="774" spans="8:10" ht="12.75" x14ac:dyDescent="0.2">
      <c r="H774" s="4"/>
      <c r="I774" s="4"/>
      <c r="J774" s="4"/>
    </row>
    <row r="775" spans="8:10" ht="12.75" x14ac:dyDescent="0.2">
      <c r="H775" s="4"/>
      <c r="I775" s="4"/>
      <c r="J775" s="4"/>
    </row>
    <row r="776" spans="8:10" ht="12.75" x14ac:dyDescent="0.2">
      <c r="H776" s="4"/>
      <c r="I776" s="4"/>
      <c r="J776" s="4"/>
    </row>
    <row r="777" spans="8:10" ht="12.75" x14ac:dyDescent="0.2">
      <c r="H777" s="4"/>
      <c r="I777" s="4"/>
      <c r="J777" s="4"/>
    </row>
    <row r="778" spans="8:10" ht="12.75" x14ac:dyDescent="0.2">
      <c r="H778" s="4"/>
      <c r="I778" s="4"/>
      <c r="J778" s="4"/>
    </row>
    <row r="779" spans="8:10" ht="12.75" x14ac:dyDescent="0.2">
      <c r="H779" s="4"/>
      <c r="I779" s="4"/>
      <c r="J779" s="4"/>
    </row>
    <row r="780" spans="8:10" ht="12.75" x14ac:dyDescent="0.2">
      <c r="H780" s="4"/>
      <c r="I780" s="4"/>
      <c r="J780" s="4"/>
    </row>
    <row r="781" spans="8:10" ht="12.75" x14ac:dyDescent="0.2">
      <c r="H781" s="4"/>
      <c r="I781" s="4"/>
      <c r="J781" s="4"/>
    </row>
    <row r="782" spans="8:10" ht="12.75" x14ac:dyDescent="0.2">
      <c r="H782" s="4"/>
      <c r="I782" s="4"/>
      <c r="J782" s="4"/>
    </row>
    <row r="783" spans="8:10" ht="12.75" x14ac:dyDescent="0.2">
      <c r="H783" s="4"/>
      <c r="I783" s="4"/>
      <c r="J783" s="4"/>
    </row>
    <row r="784" spans="8:10" ht="12.75" x14ac:dyDescent="0.2">
      <c r="H784" s="4"/>
      <c r="I784" s="4"/>
      <c r="J784" s="4"/>
    </row>
    <row r="785" spans="8:10" ht="12.75" x14ac:dyDescent="0.2">
      <c r="H785" s="4"/>
      <c r="I785" s="4"/>
      <c r="J785" s="4"/>
    </row>
    <row r="786" spans="8:10" ht="12.75" x14ac:dyDescent="0.2">
      <c r="H786" s="4"/>
      <c r="I786" s="4"/>
      <c r="J786" s="4"/>
    </row>
    <row r="787" spans="8:10" ht="12.75" x14ac:dyDescent="0.2">
      <c r="H787" s="4"/>
      <c r="I787" s="4"/>
      <c r="J787" s="4"/>
    </row>
    <row r="788" spans="8:10" ht="12.75" x14ac:dyDescent="0.2">
      <c r="H788" s="4"/>
      <c r="I788" s="4"/>
      <c r="J788" s="4"/>
    </row>
    <row r="789" spans="8:10" ht="12.75" x14ac:dyDescent="0.2">
      <c r="H789" s="4"/>
      <c r="I789" s="4"/>
      <c r="J789" s="4"/>
    </row>
    <row r="790" spans="8:10" ht="12.75" x14ac:dyDescent="0.2">
      <c r="H790" s="4"/>
      <c r="I790" s="4"/>
      <c r="J790" s="4"/>
    </row>
    <row r="791" spans="8:10" ht="12.75" x14ac:dyDescent="0.2">
      <c r="H791" s="4"/>
      <c r="I791" s="4"/>
      <c r="J791" s="4"/>
    </row>
    <row r="792" spans="8:10" ht="12.75" x14ac:dyDescent="0.2">
      <c r="H792" s="4"/>
      <c r="I792" s="4"/>
      <c r="J792" s="4"/>
    </row>
    <row r="793" spans="8:10" ht="12.75" x14ac:dyDescent="0.2">
      <c r="H793" s="4"/>
      <c r="I793" s="4"/>
      <c r="J793" s="4"/>
    </row>
    <row r="794" spans="8:10" ht="12.75" x14ac:dyDescent="0.2">
      <c r="H794" s="4"/>
      <c r="I794" s="4"/>
      <c r="J794" s="4"/>
    </row>
    <row r="795" spans="8:10" ht="12.75" x14ac:dyDescent="0.2">
      <c r="H795" s="4"/>
      <c r="I795" s="4"/>
      <c r="J795" s="4"/>
    </row>
    <row r="796" spans="8:10" ht="12.75" x14ac:dyDescent="0.2">
      <c r="H796" s="4"/>
      <c r="I796" s="4"/>
      <c r="J796" s="4"/>
    </row>
    <row r="797" spans="8:10" ht="12.75" x14ac:dyDescent="0.2">
      <c r="H797" s="4"/>
      <c r="I797" s="4"/>
      <c r="J797" s="4"/>
    </row>
    <row r="798" spans="8:10" ht="12.75" x14ac:dyDescent="0.2">
      <c r="H798" s="4"/>
      <c r="I798" s="4"/>
      <c r="J798" s="4"/>
    </row>
    <row r="799" spans="8:10" ht="12.75" x14ac:dyDescent="0.2">
      <c r="H799" s="4"/>
      <c r="I799" s="4"/>
      <c r="J799" s="4"/>
    </row>
    <row r="800" spans="8:10" ht="12.75" x14ac:dyDescent="0.2">
      <c r="H800" s="4"/>
      <c r="I800" s="4"/>
      <c r="J800" s="4"/>
    </row>
    <row r="801" spans="8:10" ht="12.75" x14ac:dyDescent="0.2">
      <c r="H801" s="4"/>
      <c r="I801" s="4"/>
      <c r="J801" s="4"/>
    </row>
    <row r="802" spans="8:10" ht="12.75" x14ac:dyDescent="0.2">
      <c r="H802" s="4"/>
      <c r="I802" s="4"/>
      <c r="J802" s="4"/>
    </row>
    <row r="803" spans="8:10" ht="12.75" x14ac:dyDescent="0.2">
      <c r="H803" s="4"/>
      <c r="I803" s="4"/>
      <c r="J803" s="4"/>
    </row>
    <row r="804" spans="8:10" ht="12.75" x14ac:dyDescent="0.2">
      <c r="H804" s="4"/>
      <c r="I804" s="4"/>
      <c r="J804" s="4"/>
    </row>
    <row r="805" spans="8:10" ht="12.75" x14ac:dyDescent="0.2">
      <c r="H805" s="4"/>
      <c r="I805" s="4"/>
      <c r="J805" s="4"/>
    </row>
    <row r="806" spans="8:10" ht="12.75" x14ac:dyDescent="0.2">
      <c r="H806" s="4"/>
      <c r="I806" s="4"/>
      <c r="J806" s="4"/>
    </row>
    <row r="807" spans="8:10" ht="12.75" x14ac:dyDescent="0.2">
      <c r="H807" s="4"/>
      <c r="I807" s="4"/>
      <c r="J807" s="4"/>
    </row>
    <row r="808" spans="8:10" ht="12.75" x14ac:dyDescent="0.2">
      <c r="H808" s="4"/>
      <c r="I808" s="4"/>
      <c r="J808" s="4"/>
    </row>
    <row r="809" spans="8:10" ht="12.75" x14ac:dyDescent="0.2">
      <c r="H809" s="4"/>
      <c r="I809" s="4"/>
      <c r="J809" s="4"/>
    </row>
    <row r="810" spans="8:10" ht="12.75" x14ac:dyDescent="0.2">
      <c r="H810" s="4"/>
      <c r="I810" s="4"/>
      <c r="J810" s="4"/>
    </row>
    <row r="811" spans="8:10" ht="12.75" x14ac:dyDescent="0.2">
      <c r="H811" s="4"/>
      <c r="I811" s="4"/>
      <c r="J811" s="4"/>
    </row>
    <row r="812" spans="8:10" ht="12.75" x14ac:dyDescent="0.2">
      <c r="H812" s="4"/>
      <c r="I812" s="4"/>
      <c r="J812" s="4"/>
    </row>
    <row r="813" spans="8:10" ht="12.75" x14ac:dyDescent="0.2">
      <c r="H813" s="4"/>
      <c r="I813" s="4"/>
      <c r="J813" s="4"/>
    </row>
    <row r="814" spans="8:10" ht="12.75" x14ac:dyDescent="0.2">
      <c r="H814" s="4"/>
      <c r="I814" s="4"/>
      <c r="J814" s="4"/>
    </row>
    <row r="815" spans="8:10" ht="12.75" x14ac:dyDescent="0.2">
      <c r="H815" s="4"/>
      <c r="I815" s="4"/>
      <c r="J815" s="4"/>
    </row>
    <row r="816" spans="8:10" ht="12.75" x14ac:dyDescent="0.2">
      <c r="H816" s="4"/>
      <c r="I816" s="4"/>
      <c r="J816" s="4"/>
    </row>
    <row r="817" spans="8:10" ht="12.75" x14ac:dyDescent="0.2">
      <c r="H817" s="4"/>
      <c r="I817" s="4"/>
      <c r="J817" s="4"/>
    </row>
    <row r="818" spans="8:10" ht="12.75" x14ac:dyDescent="0.2">
      <c r="H818" s="4"/>
      <c r="I818" s="4"/>
      <c r="J818" s="4"/>
    </row>
    <row r="819" spans="8:10" ht="12.75" x14ac:dyDescent="0.2">
      <c r="H819" s="4"/>
      <c r="I819" s="4"/>
      <c r="J819" s="4"/>
    </row>
    <row r="820" spans="8:10" ht="12.75" x14ac:dyDescent="0.2">
      <c r="H820" s="4"/>
      <c r="I820" s="4"/>
      <c r="J820" s="4"/>
    </row>
    <row r="821" spans="8:10" ht="12.75" x14ac:dyDescent="0.2">
      <c r="H821" s="4"/>
      <c r="I821" s="4"/>
      <c r="J821" s="4"/>
    </row>
    <row r="822" spans="8:10" ht="12.75" x14ac:dyDescent="0.2">
      <c r="H822" s="4"/>
      <c r="I822" s="4"/>
      <c r="J822" s="4"/>
    </row>
    <row r="823" spans="8:10" ht="12.75" x14ac:dyDescent="0.2">
      <c r="H823" s="4"/>
      <c r="I823" s="4"/>
      <c r="J823" s="4"/>
    </row>
    <row r="824" spans="8:10" ht="12.75" x14ac:dyDescent="0.2">
      <c r="H824" s="4"/>
      <c r="I824" s="4"/>
      <c r="J824" s="4"/>
    </row>
    <row r="825" spans="8:10" ht="12.75" x14ac:dyDescent="0.2">
      <c r="H825" s="4"/>
      <c r="I825" s="4"/>
      <c r="J825" s="4"/>
    </row>
    <row r="826" spans="8:10" ht="12.75" x14ac:dyDescent="0.2">
      <c r="H826" s="4"/>
      <c r="I826" s="4"/>
      <c r="J826" s="4"/>
    </row>
    <row r="827" spans="8:10" ht="12.75" x14ac:dyDescent="0.2">
      <c r="H827" s="4"/>
      <c r="I827" s="4"/>
      <c r="J827" s="4"/>
    </row>
    <row r="828" spans="8:10" ht="12.75" x14ac:dyDescent="0.2">
      <c r="H828" s="4"/>
      <c r="I828" s="4"/>
      <c r="J828" s="4"/>
    </row>
    <row r="829" spans="8:10" ht="12.75" x14ac:dyDescent="0.2">
      <c r="H829" s="4"/>
      <c r="I829" s="4"/>
      <c r="J829" s="4"/>
    </row>
    <row r="830" spans="8:10" ht="12.75" x14ac:dyDescent="0.2">
      <c r="H830" s="4"/>
      <c r="I830" s="4"/>
      <c r="J830" s="4"/>
    </row>
    <row r="831" spans="8:10" ht="12.75" x14ac:dyDescent="0.2">
      <c r="H831" s="4"/>
      <c r="I831" s="4"/>
      <c r="J831" s="4"/>
    </row>
    <row r="832" spans="8:10" ht="12.75" x14ac:dyDescent="0.2">
      <c r="H832" s="4"/>
      <c r="I832" s="4"/>
      <c r="J832" s="4"/>
    </row>
    <row r="833" spans="8:10" ht="12.75" x14ac:dyDescent="0.2">
      <c r="H833" s="4"/>
      <c r="I833" s="4"/>
      <c r="J833" s="4"/>
    </row>
    <row r="834" spans="8:10" ht="12.75" x14ac:dyDescent="0.2">
      <c r="H834" s="4"/>
      <c r="I834" s="4"/>
      <c r="J834" s="4"/>
    </row>
    <row r="835" spans="8:10" ht="12.75" x14ac:dyDescent="0.2">
      <c r="H835" s="4"/>
      <c r="I835" s="4"/>
      <c r="J835" s="4"/>
    </row>
    <row r="836" spans="8:10" ht="12.75" x14ac:dyDescent="0.2">
      <c r="H836" s="4"/>
      <c r="I836" s="4"/>
      <c r="J836" s="4"/>
    </row>
    <row r="837" spans="8:10" ht="12.75" x14ac:dyDescent="0.2">
      <c r="H837" s="4"/>
      <c r="I837" s="4"/>
      <c r="J837" s="4"/>
    </row>
    <row r="838" spans="8:10" ht="12.75" x14ac:dyDescent="0.2">
      <c r="H838" s="4"/>
      <c r="I838" s="4"/>
      <c r="J838" s="4"/>
    </row>
    <row r="839" spans="8:10" ht="12.75" x14ac:dyDescent="0.2">
      <c r="H839" s="4"/>
      <c r="I839" s="4"/>
      <c r="J839" s="4"/>
    </row>
    <row r="840" spans="8:10" ht="12.75" x14ac:dyDescent="0.2">
      <c r="H840" s="4"/>
      <c r="I840" s="4"/>
      <c r="J840" s="4"/>
    </row>
    <row r="841" spans="8:10" ht="12.75" x14ac:dyDescent="0.2">
      <c r="H841" s="4"/>
      <c r="I841" s="4"/>
      <c r="J841" s="4"/>
    </row>
    <row r="842" spans="8:10" ht="12.75" x14ac:dyDescent="0.2">
      <c r="H842" s="4"/>
      <c r="I842" s="4"/>
      <c r="J842" s="4"/>
    </row>
    <row r="843" spans="8:10" ht="12.75" x14ac:dyDescent="0.2">
      <c r="H843" s="4"/>
      <c r="I843" s="4"/>
      <c r="J843" s="4"/>
    </row>
    <row r="844" spans="8:10" ht="12.75" x14ac:dyDescent="0.2">
      <c r="H844" s="4"/>
      <c r="I844" s="4"/>
      <c r="J844" s="4"/>
    </row>
    <row r="845" spans="8:10" ht="12.75" x14ac:dyDescent="0.2">
      <c r="H845" s="4"/>
      <c r="I845" s="4"/>
      <c r="J845" s="4"/>
    </row>
    <row r="846" spans="8:10" ht="12.75" x14ac:dyDescent="0.2">
      <c r="H846" s="4"/>
      <c r="I846" s="4"/>
      <c r="J846" s="4"/>
    </row>
    <row r="847" spans="8:10" ht="12.75" x14ac:dyDescent="0.2">
      <c r="H847" s="4"/>
      <c r="I847" s="4"/>
      <c r="J847" s="4"/>
    </row>
    <row r="848" spans="8:10" ht="12.75" x14ac:dyDescent="0.2">
      <c r="H848" s="4"/>
      <c r="I848" s="4"/>
      <c r="J848" s="4"/>
    </row>
    <row r="849" spans="8:10" ht="12.75" x14ac:dyDescent="0.2">
      <c r="H849" s="4"/>
      <c r="I849" s="4"/>
      <c r="J849" s="4"/>
    </row>
    <row r="850" spans="8:10" ht="12.75" x14ac:dyDescent="0.2">
      <c r="H850" s="4"/>
      <c r="I850" s="4"/>
      <c r="J850" s="4"/>
    </row>
    <row r="851" spans="8:10" ht="12.75" x14ac:dyDescent="0.2">
      <c r="H851" s="4"/>
      <c r="I851" s="4"/>
      <c r="J851" s="4"/>
    </row>
    <row r="852" spans="8:10" ht="12.75" x14ac:dyDescent="0.2">
      <c r="H852" s="4"/>
      <c r="I852" s="4"/>
      <c r="J852" s="4"/>
    </row>
    <row r="853" spans="8:10" ht="12.75" x14ac:dyDescent="0.2">
      <c r="H853" s="4"/>
      <c r="I853" s="4"/>
      <c r="J853" s="4"/>
    </row>
    <row r="854" spans="8:10" ht="12.75" x14ac:dyDescent="0.2">
      <c r="H854" s="4"/>
      <c r="I854" s="4"/>
      <c r="J854" s="4"/>
    </row>
    <row r="855" spans="8:10" ht="12.75" x14ac:dyDescent="0.2">
      <c r="H855" s="4"/>
      <c r="I855" s="4"/>
      <c r="J855" s="4"/>
    </row>
    <row r="856" spans="8:10" ht="12.75" x14ac:dyDescent="0.2">
      <c r="H856" s="4"/>
      <c r="I856" s="4"/>
      <c r="J856" s="4"/>
    </row>
    <row r="857" spans="8:10" ht="12.75" x14ac:dyDescent="0.2">
      <c r="H857" s="4"/>
      <c r="I857" s="4"/>
      <c r="J857" s="4"/>
    </row>
    <row r="858" spans="8:10" ht="12.75" x14ac:dyDescent="0.2">
      <c r="H858" s="4"/>
      <c r="I858" s="4"/>
      <c r="J858" s="4"/>
    </row>
    <row r="859" spans="8:10" ht="12.75" x14ac:dyDescent="0.2">
      <c r="H859" s="4"/>
      <c r="I859" s="4"/>
      <c r="J859" s="4"/>
    </row>
    <row r="860" spans="8:10" ht="12.75" x14ac:dyDescent="0.2">
      <c r="H860" s="4"/>
      <c r="I860" s="4"/>
      <c r="J860" s="4"/>
    </row>
    <row r="861" spans="8:10" ht="12.75" x14ac:dyDescent="0.2">
      <c r="H861" s="4"/>
      <c r="I861" s="4"/>
      <c r="J861" s="4"/>
    </row>
    <row r="862" spans="8:10" ht="12.75" x14ac:dyDescent="0.2">
      <c r="H862" s="4"/>
      <c r="I862" s="4"/>
      <c r="J862" s="4"/>
    </row>
    <row r="863" spans="8:10" ht="12.75" x14ac:dyDescent="0.2">
      <c r="H863" s="4"/>
      <c r="I863" s="4"/>
      <c r="J863" s="4"/>
    </row>
    <row r="864" spans="8:10" ht="12.75" x14ac:dyDescent="0.2">
      <c r="H864" s="4"/>
      <c r="I864" s="4"/>
      <c r="J864" s="4"/>
    </row>
    <row r="865" spans="8:10" ht="12.75" x14ac:dyDescent="0.2">
      <c r="H865" s="4"/>
      <c r="I865" s="4"/>
      <c r="J865" s="4"/>
    </row>
    <row r="866" spans="8:10" ht="12.75" x14ac:dyDescent="0.2">
      <c r="H866" s="4"/>
      <c r="I866" s="4"/>
      <c r="J866" s="4"/>
    </row>
    <row r="867" spans="8:10" ht="12.75" x14ac:dyDescent="0.2">
      <c r="H867" s="4"/>
      <c r="I867" s="4"/>
      <c r="J867" s="4"/>
    </row>
    <row r="868" spans="8:10" ht="12.75" x14ac:dyDescent="0.2">
      <c r="H868" s="4"/>
      <c r="I868" s="4"/>
      <c r="J868" s="4"/>
    </row>
    <row r="869" spans="8:10" ht="12.75" x14ac:dyDescent="0.2">
      <c r="H869" s="4"/>
      <c r="I869" s="4"/>
      <c r="J869" s="4"/>
    </row>
    <row r="870" spans="8:10" ht="12.75" x14ac:dyDescent="0.2">
      <c r="H870" s="4"/>
      <c r="I870" s="4"/>
      <c r="J870" s="4"/>
    </row>
    <row r="871" spans="8:10" ht="12.75" x14ac:dyDescent="0.2">
      <c r="H871" s="4"/>
      <c r="I871" s="4"/>
      <c r="J871" s="4"/>
    </row>
    <row r="872" spans="8:10" ht="12.75" x14ac:dyDescent="0.2">
      <c r="H872" s="4"/>
      <c r="I872" s="4"/>
      <c r="J872" s="4"/>
    </row>
    <row r="873" spans="8:10" ht="12.75" x14ac:dyDescent="0.2">
      <c r="H873" s="4"/>
      <c r="I873" s="4"/>
      <c r="J873" s="4"/>
    </row>
    <row r="874" spans="8:10" ht="12.75" x14ac:dyDescent="0.2">
      <c r="H874" s="4"/>
      <c r="I874" s="4"/>
      <c r="J874" s="4"/>
    </row>
    <row r="875" spans="8:10" ht="12.75" x14ac:dyDescent="0.2">
      <c r="H875" s="4"/>
      <c r="I875" s="4"/>
      <c r="J875" s="4"/>
    </row>
    <row r="876" spans="8:10" ht="12.75" x14ac:dyDescent="0.2">
      <c r="H876" s="4"/>
      <c r="I876" s="4"/>
      <c r="J876" s="4"/>
    </row>
    <row r="877" spans="8:10" ht="12.75" x14ac:dyDescent="0.2">
      <c r="H877" s="4"/>
      <c r="I877" s="4"/>
      <c r="J877" s="4"/>
    </row>
    <row r="878" spans="8:10" ht="12.75" x14ac:dyDescent="0.2">
      <c r="H878" s="4"/>
      <c r="I878" s="4"/>
      <c r="J878" s="4"/>
    </row>
    <row r="879" spans="8:10" ht="12.75" x14ac:dyDescent="0.2">
      <c r="H879" s="4"/>
      <c r="I879" s="4"/>
      <c r="J879" s="4"/>
    </row>
    <row r="880" spans="8:10" ht="12.75" x14ac:dyDescent="0.2">
      <c r="H880" s="4"/>
      <c r="I880" s="4"/>
      <c r="J880" s="4"/>
    </row>
    <row r="881" spans="8:10" ht="12.75" x14ac:dyDescent="0.2">
      <c r="H881" s="4"/>
      <c r="I881" s="4"/>
      <c r="J881" s="4"/>
    </row>
    <row r="882" spans="8:10" ht="12.75" x14ac:dyDescent="0.2">
      <c r="H882" s="4"/>
      <c r="I882" s="4"/>
      <c r="J882" s="4"/>
    </row>
    <row r="883" spans="8:10" ht="12.75" x14ac:dyDescent="0.2">
      <c r="H883" s="4"/>
      <c r="I883" s="4"/>
      <c r="J883" s="4"/>
    </row>
    <row r="884" spans="8:10" ht="12.75" x14ac:dyDescent="0.2">
      <c r="H884" s="4"/>
      <c r="I884" s="4"/>
      <c r="J884" s="4"/>
    </row>
    <row r="885" spans="8:10" ht="12.75" x14ac:dyDescent="0.2">
      <c r="H885" s="4"/>
      <c r="I885" s="4"/>
      <c r="J885" s="4"/>
    </row>
    <row r="886" spans="8:10" ht="12.75" x14ac:dyDescent="0.2">
      <c r="H886" s="4"/>
      <c r="I886" s="4"/>
      <c r="J886" s="4"/>
    </row>
    <row r="887" spans="8:10" ht="12.75" x14ac:dyDescent="0.2">
      <c r="H887" s="4"/>
      <c r="I887" s="4"/>
      <c r="J887" s="4"/>
    </row>
    <row r="888" spans="8:10" ht="12.75" x14ac:dyDescent="0.2">
      <c r="H888" s="4"/>
      <c r="I888" s="4"/>
      <c r="J888" s="4"/>
    </row>
    <row r="889" spans="8:10" ht="12.75" x14ac:dyDescent="0.2">
      <c r="H889" s="4"/>
      <c r="I889" s="4"/>
      <c r="J889" s="4"/>
    </row>
    <row r="890" spans="8:10" ht="12.75" x14ac:dyDescent="0.2">
      <c r="H890" s="4"/>
      <c r="I890" s="4"/>
      <c r="J890" s="4"/>
    </row>
    <row r="891" spans="8:10" ht="12.75" x14ac:dyDescent="0.2">
      <c r="H891" s="4"/>
      <c r="I891" s="4"/>
      <c r="J891" s="4"/>
    </row>
    <row r="892" spans="8:10" ht="12.75" x14ac:dyDescent="0.2">
      <c r="H892" s="4"/>
      <c r="I892" s="4"/>
      <c r="J892" s="4"/>
    </row>
    <row r="893" spans="8:10" ht="12.75" x14ac:dyDescent="0.2">
      <c r="H893" s="4"/>
      <c r="I893" s="4"/>
      <c r="J893" s="4"/>
    </row>
    <row r="894" spans="8:10" ht="12.75" x14ac:dyDescent="0.2">
      <c r="H894" s="4"/>
      <c r="I894" s="4"/>
      <c r="J894" s="4"/>
    </row>
    <row r="895" spans="8:10" ht="12.75" x14ac:dyDescent="0.2">
      <c r="H895" s="4"/>
      <c r="I895" s="4"/>
      <c r="J895" s="4"/>
    </row>
    <row r="896" spans="8:10" ht="12.75" x14ac:dyDescent="0.2">
      <c r="H896" s="4"/>
      <c r="I896" s="4"/>
      <c r="J896" s="4"/>
    </row>
    <row r="897" spans="8:10" ht="12.75" x14ac:dyDescent="0.2">
      <c r="H897" s="4"/>
      <c r="I897" s="4"/>
      <c r="J897" s="4"/>
    </row>
    <row r="898" spans="8:10" ht="12.75" x14ac:dyDescent="0.2">
      <c r="H898" s="4"/>
      <c r="I898" s="4"/>
      <c r="J898" s="4"/>
    </row>
    <row r="899" spans="8:10" ht="12.75" x14ac:dyDescent="0.2">
      <c r="H899" s="4"/>
      <c r="I899" s="4"/>
      <c r="J899" s="4"/>
    </row>
    <row r="900" spans="8:10" ht="12.75" x14ac:dyDescent="0.2">
      <c r="H900" s="4"/>
      <c r="I900" s="4"/>
      <c r="J900" s="4"/>
    </row>
    <row r="901" spans="8:10" ht="12.75" x14ac:dyDescent="0.2">
      <c r="H901" s="4"/>
      <c r="I901" s="4"/>
      <c r="J901" s="4"/>
    </row>
    <row r="902" spans="8:10" ht="12.75" x14ac:dyDescent="0.2">
      <c r="H902" s="4"/>
      <c r="I902" s="4"/>
      <c r="J902" s="4"/>
    </row>
    <row r="903" spans="8:10" ht="12.75" x14ac:dyDescent="0.2">
      <c r="H903" s="4"/>
      <c r="I903" s="4"/>
      <c r="J903" s="4"/>
    </row>
    <row r="904" spans="8:10" ht="12.75" x14ac:dyDescent="0.2">
      <c r="H904" s="4"/>
      <c r="I904" s="4"/>
      <c r="J904" s="4"/>
    </row>
    <row r="905" spans="8:10" ht="12.75" x14ac:dyDescent="0.2">
      <c r="H905" s="4"/>
      <c r="I905" s="4"/>
      <c r="J905" s="4"/>
    </row>
    <row r="906" spans="8:10" ht="12.75" x14ac:dyDescent="0.2">
      <c r="H906" s="4"/>
      <c r="I906" s="4"/>
      <c r="J906" s="4"/>
    </row>
    <row r="907" spans="8:10" ht="12.75" x14ac:dyDescent="0.2">
      <c r="H907" s="4"/>
      <c r="I907" s="4"/>
      <c r="J907" s="4"/>
    </row>
    <row r="908" spans="8:10" ht="12.75" x14ac:dyDescent="0.2">
      <c r="H908" s="4"/>
      <c r="I908" s="4"/>
      <c r="J908" s="4"/>
    </row>
    <row r="909" spans="8:10" ht="12.75" x14ac:dyDescent="0.2">
      <c r="H909" s="4"/>
      <c r="I909" s="4"/>
      <c r="J909" s="4"/>
    </row>
    <row r="910" spans="8:10" ht="12.75" x14ac:dyDescent="0.2">
      <c r="H910" s="4"/>
      <c r="I910" s="4"/>
      <c r="J910" s="4"/>
    </row>
    <row r="911" spans="8:10" ht="12.75" x14ac:dyDescent="0.2">
      <c r="H911" s="4"/>
      <c r="I911" s="4"/>
      <c r="J911" s="4"/>
    </row>
    <row r="912" spans="8:10" ht="12.75" x14ac:dyDescent="0.2">
      <c r="H912" s="4"/>
      <c r="I912" s="4"/>
      <c r="J912" s="4"/>
    </row>
    <row r="913" spans="8:10" ht="12.75" x14ac:dyDescent="0.2">
      <c r="H913" s="4"/>
      <c r="I913" s="4"/>
      <c r="J913" s="4"/>
    </row>
    <row r="914" spans="8:10" ht="12.75" x14ac:dyDescent="0.2">
      <c r="H914" s="4"/>
      <c r="I914" s="4"/>
      <c r="J914" s="4"/>
    </row>
    <row r="915" spans="8:10" ht="12.75" x14ac:dyDescent="0.2">
      <c r="H915" s="4"/>
      <c r="I915" s="4"/>
      <c r="J915" s="4"/>
    </row>
    <row r="916" spans="8:10" ht="12.75" x14ac:dyDescent="0.2">
      <c r="H916" s="4"/>
      <c r="I916" s="4"/>
      <c r="J916" s="4"/>
    </row>
    <row r="917" spans="8:10" ht="12.75" x14ac:dyDescent="0.2">
      <c r="H917" s="4"/>
      <c r="I917" s="4"/>
      <c r="J917" s="4"/>
    </row>
    <row r="918" spans="8:10" ht="12.75" x14ac:dyDescent="0.2">
      <c r="H918" s="4"/>
      <c r="I918" s="4"/>
      <c r="J918" s="4"/>
    </row>
    <row r="919" spans="8:10" ht="12.75" x14ac:dyDescent="0.2">
      <c r="H919" s="4"/>
      <c r="I919" s="4"/>
      <c r="J919" s="4"/>
    </row>
    <row r="920" spans="8:10" ht="12.75" x14ac:dyDescent="0.2">
      <c r="H920" s="4"/>
      <c r="I920" s="4"/>
      <c r="J920" s="4"/>
    </row>
    <row r="921" spans="8:10" ht="12.75" x14ac:dyDescent="0.2">
      <c r="H921" s="4"/>
      <c r="I921" s="4"/>
      <c r="J921" s="4"/>
    </row>
    <row r="922" spans="8:10" ht="12.75" x14ac:dyDescent="0.2">
      <c r="H922" s="4"/>
      <c r="I922" s="4"/>
      <c r="J922" s="4"/>
    </row>
    <row r="923" spans="8:10" ht="12.75" x14ac:dyDescent="0.2">
      <c r="H923" s="4"/>
      <c r="I923" s="4"/>
      <c r="J923" s="4"/>
    </row>
    <row r="924" spans="8:10" ht="12.75" x14ac:dyDescent="0.2">
      <c r="H924" s="4"/>
      <c r="I924" s="4"/>
      <c r="J924" s="4"/>
    </row>
    <row r="925" spans="8:10" ht="12.75" x14ac:dyDescent="0.2">
      <c r="H925" s="4"/>
      <c r="I925" s="4"/>
      <c r="J925" s="4"/>
    </row>
    <row r="926" spans="8:10" ht="12.75" x14ac:dyDescent="0.2">
      <c r="H926" s="4"/>
      <c r="I926" s="4"/>
      <c r="J926" s="4"/>
    </row>
    <row r="927" spans="8:10" ht="12.75" x14ac:dyDescent="0.2">
      <c r="H927" s="4"/>
      <c r="I927" s="4"/>
      <c r="J927" s="4"/>
    </row>
    <row r="928" spans="8:10" ht="12.75" x14ac:dyDescent="0.2">
      <c r="H928" s="4"/>
      <c r="I928" s="4"/>
      <c r="J928" s="4"/>
    </row>
    <row r="929" spans="8:10" ht="12.75" x14ac:dyDescent="0.2">
      <c r="H929" s="4"/>
      <c r="I929" s="4"/>
      <c r="J929" s="4"/>
    </row>
    <row r="930" spans="8:10" ht="12.75" x14ac:dyDescent="0.2">
      <c r="H930" s="4"/>
      <c r="I930" s="4"/>
      <c r="J930" s="4"/>
    </row>
    <row r="931" spans="8:10" ht="12.75" x14ac:dyDescent="0.2">
      <c r="H931" s="4"/>
      <c r="I931" s="4"/>
      <c r="J931" s="4"/>
    </row>
    <row r="932" spans="8:10" ht="12.75" x14ac:dyDescent="0.2">
      <c r="H932" s="4"/>
      <c r="I932" s="4"/>
      <c r="J932" s="4"/>
    </row>
    <row r="933" spans="8:10" ht="12.75" x14ac:dyDescent="0.2">
      <c r="H933" s="4"/>
      <c r="I933" s="4"/>
      <c r="J933" s="4"/>
    </row>
    <row r="934" spans="8:10" ht="12.75" x14ac:dyDescent="0.2">
      <c r="H934" s="4"/>
      <c r="I934" s="4"/>
      <c r="J934" s="4"/>
    </row>
    <row r="935" spans="8:10" ht="12.75" x14ac:dyDescent="0.2">
      <c r="H935" s="4"/>
      <c r="I935" s="4"/>
      <c r="J935" s="4"/>
    </row>
    <row r="936" spans="8:10" ht="12.75" x14ac:dyDescent="0.2">
      <c r="H936" s="4"/>
      <c r="I936" s="4"/>
      <c r="J936" s="4"/>
    </row>
    <row r="937" spans="8:10" ht="12.75" x14ac:dyDescent="0.2">
      <c r="H937" s="4"/>
      <c r="I937" s="4"/>
      <c r="J937" s="4"/>
    </row>
    <row r="938" spans="8:10" ht="12.75" x14ac:dyDescent="0.2">
      <c r="H938" s="4"/>
      <c r="I938" s="4"/>
      <c r="J938" s="4"/>
    </row>
    <row r="939" spans="8:10" ht="12.75" x14ac:dyDescent="0.2">
      <c r="H939" s="4"/>
      <c r="I939" s="4"/>
      <c r="J939" s="4"/>
    </row>
    <row r="940" spans="8:10" ht="12.75" x14ac:dyDescent="0.2">
      <c r="H940" s="4"/>
      <c r="I940" s="4"/>
      <c r="J940" s="4"/>
    </row>
    <row r="941" spans="8:10" ht="12.75" x14ac:dyDescent="0.2">
      <c r="H941" s="4"/>
      <c r="I941" s="4"/>
      <c r="J941" s="4"/>
    </row>
    <row r="942" spans="8:10" ht="12.75" x14ac:dyDescent="0.2">
      <c r="H942" s="4"/>
      <c r="I942" s="4"/>
      <c r="J942" s="4"/>
    </row>
    <row r="943" spans="8:10" ht="12.75" x14ac:dyDescent="0.2">
      <c r="H943" s="4"/>
      <c r="I943" s="4"/>
      <c r="J943" s="4"/>
    </row>
    <row r="944" spans="8:10" ht="12.75" x14ac:dyDescent="0.2">
      <c r="H944" s="4"/>
      <c r="I944" s="4"/>
      <c r="J944" s="4"/>
    </row>
    <row r="945" spans="8:10" ht="12.75" x14ac:dyDescent="0.2">
      <c r="H945" s="4"/>
      <c r="I945" s="4"/>
      <c r="J945" s="4"/>
    </row>
    <row r="946" spans="8:10" ht="12.75" x14ac:dyDescent="0.2">
      <c r="H946" s="4"/>
      <c r="I946" s="4"/>
      <c r="J946" s="4"/>
    </row>
    <row r="947" spans="8:10" ht="12.75" x14ac:dyDescent="0.2">
      <c r="H947" s="4"/>
      <c r="I947" s="4"/>
      <c r="J947" s="4"/>
    </row>
    <row r="948" spans="8:10" ht="12.75" x14ac:dyDescent="0.2">
      <c r="H948" s="4"/>
      <c r="I948" s="4"/>
      <c r="J948" s="4"/>
    </row>
    <row r="949" spans="8:10" ht="12.75" x14ac:dyDescent="0.2">
      <c r="H949" s="4"/>
      <c r="I949" s="4"/>
      <c r="J949" s="4"/>
    </row>
    <row r="950" spans="8:10" ht="12.75" x14ac:dyDescent="0.2">
      <c r="H950" s="4"/>
      <c r="I950" s="4"/>
      <c r="J950" s="4"/>
    </row>
    <row r="951" spans="8:10" ht="12.75" x14ac:dyDescent="0.2">
      <c r="H951" s="4"/>
      <c r="I951" s="4"/>
      <c r="J951" s="4"/>
    </row>
    <row r="952" spans="8:10" ht="12.75" x14ac:dyDescent="0.2">
      <c r="H952" s="4"/>
      <c r="I952" s="4"/>
      <c r="J952" s="4"/>
    </row>
    <row r="953" spans="8:10" ht="12.75" x14ac:dyDescent="0.2">
      <c r="H953" s="4"/>
      <c r="I953" s="4"/>
      <c r="J953" s="4"/>
    </row>
    <row r="954" spans="8:10" ht="12.75" x14ac:dyDescent="0.2">
      <c r="H954" s="4"/>
      <c r="I954" s="4"/>
      <c r="J954" s="4"/>
    </row>
    <row r="955" spans="8:10" ht="12.75" x14ac:dyDescent="0.2">
      <c r="H955" s="4"/>
      <c r="I955" s="4"/>
      <c r="J955" s="4"/>
    </row>
    <row r="956" spans="8:10" ht="12.75" x14ac:dyDescent="0.2">
      <c r="H956" s="4"/>
      <c r="I956" s="4"/>
      <c r="J956" s="4"/>
    </row>
    <row r="957" spans="8:10" ht="12.75" x14ac:dyDescent="0.2">
      <c r="H957" s="4"/>
      <c r="I957" s="4"/>
      <c r="J957" s="4"/>
    </row>
    <row r="958" spans="8:10" ht="12.75" x14ac:dyDescent="0.2">
      <c r="H958" s="4"/>
      <c r="I958" s="4"/>
      <c r="J958" s="4"/>
    </row>
    <row r="959" spans="8:10" ht="12.75" x14ac:dyDescent="0.2">
      <c r="H959" s="4"/>
      <c r="I959" s="4"/>
      <c r="J959" s="4"/>
    </row>
    <row r="960" spans="8:10" ht="12.75" x14ac:dyDescent="0.2">
      <c r="H960" s="4"/>
      <c r="I960" s="4"/>
      <c r="J960" s="4"/>
    </row>
    <row r="961" spans="8:10" ht="12.75" x14ac:dyDescent="0.2">
      <c r="H961" s="4"/>
      <c r="I961" s="4"/>
      <c r="J961" s="4"/>
    </row>
    <row r="962" spans="8:10" ht="12.75" x14ac:dyDescent="0.2">
      <c r="H962" s="4"/>
      <c r="I962" s="4"/>
      <c r="J962" s="4"/>
    </row>
    <row r="963" spans="8:10" ht="12.75" x14ac:dyDescent="0.2">
      <c r="H963" s="4"/>
      <c r="I963" s="4"/>
      <c r="J963" s="4"/>
    </row>
    <row r="964" spans="8:10" ht="12.75" x14ac:dyDescent="0.2">
      <c r="H964" s="4"/>
      <c r="I964" s="4"/>
      <c r="J964" s="4"/>
    </row>
    <row r="965" spans="8:10" ht="12.75" x14ac:dyDescent="0.2">
      <c r="H965" s="4"/>
      <c r="I965" s="4"/>
      <c r="J965" s="4"/>
    </row>
    <row r="966" spans="8:10" ht="12.75" x14ac:dyDescent="0.2">
      <c r="H966" s="4"/>
      <c r="I966" s="4"/>
      <c r="J966" s="4"/>
    </row>
    <row r="967" spans="8:10" ht="12.75" x14ac:dyDescent="0.2">
      <c r="H967" s="4"/>
      <c r="I967" s="4"/>
      <c r="J967" s="4"/>
    </row>
    <row r="968" spans="8:10" ht="12.75" x14ac:dyDescent="0.2">
      <c r="H968" s="4"/>
      <c r="I968" s="4"/>
      <c r="J968" s="4"/>
    </row>
    <row r="969" spans="8:10" ht="12.75" x14ac:dyDescent="0.2">
      <c r="H969" s="4"/>
      <c r="I969" s="4"/>
      <c r="J969" s="4"/>
    </row>
    <row r="970" spans="8:10" ht="12.75" x14ac:dyDescent="0.2">
      <c r="H970" s="4"/>
      <c r="I970" s="4"/>
      <c r="J970" s="4"/>
    </row>
    <row r="971" spans="8:10" ht="12.75" x14ac:dyDescent="0.2">
      <c r="H971" s="4"/>
      <c r="I971" s="4"/>
      <c r="J971" s="4"/>
    </row>
    <row r="972" spans="8:10" ht="12.75" x14ac:dyDescent="0.2">
      <c r="H972" s="4"/>
      <c r="I972" s="4"/>
      <c r="J972" s="4"/>
    </row>
    <row r="973" spans="8:10" ht="12.75" x14ac:dyDescent="0.2">
      <c r="H973" s="4"/>
      <c r="I973" s="4"/>
      <c r="J973" s="4"/>
    </row>
    <row r="974" spans="8:10" ht="12.75" x14ac:dyDescent="0.2">
      <c r="H974" s="4"/>
      <c r="I974" s="4"/>
      <c r="J974" s="4"/>
    </row>
    <row r="975" spans="8:10" ht="12.75" x14ac:dyDescent="0.2">
      <c r="H975" s="4"/>
      <c r="I975" s="4"/>
      <c r="J975" s="4"/>
    </row>
    <row r="976" spans="8:10" ht="12.75" x14ac:dyDescent="0.2">
      <c r="H976" s="4"/>
      <c r="I976" s="4"/>
      <c r="J976" s="4"/>
    </row>
    <row r="977" spans="8:10" ht="12.75" x14ac:dyDescent="0.2">
      <c r="H977" s="4"/>
      <c r="I977" s="4"/>
      <c r="J977" s="4"/>
    </row>
    <row r="978" spans="8:10" ht="12.75" x14ac:dyDescent="0.2">
      <c r="H978" s="4"/>
      <c r="I978" s="4"/>
      <c r="J978" s="4"/>
    </row>
    <row r="979" spans="8:10" ht="12.75" x14ac:dyDescent="0.2">
      <c r="H979" s="4"/>
      <c r="I979" s="4"/>
      <c r="J979" s="4"/>
    </row>
    <row r="980" spans="8:10" ht="12.75" x14ac:dyDescent="0.2">
      <c r="H980" s="4"/>
      <c r="I980" s="4"/>
      <c r="J980" s="4"/>
    </row>
    <row r="981" spans="8:10" ht="12.75" x14ac:dyDescent="0.2">
      <c r="H981" s="4"/>
      <c r="I981" s="4"/>
      <c r="J981" s="4"/>
    </row>
    <row r="982" spans="8:10" ht="12.75" x14ac:dyDescent="0.2">
      <c r="H982" s="4"/>
      <c r="I982" s="4"/>
      <c r="J982" s="4"/>
    </row>
    <row r="983" spans="8:10" ht="12.75" x14ac:dyDescent="0.2">
      <c r="H983" s="4"/>
      <c r="I983" s="4"/>
      <c r="J983" s="4"/>
    </row>
    <row r="984" spans="8:10" ht="12.75" x14ac:dyDescent="0.2">
      <c r="H984" s="4"/>
      <c r="I984" s="4"/>
      <c r="J984" s="4"/>
    </row>
    <row r="985" spans="8:10" ht="12.75" x14ac:dyDescent="0.2">
      <c r="H985" s="4"/>
      <c r="I985" s="4"/>
      <c r="J985" s="4"/>
    </row>
    <row r="986" spans="8:10" ht="12.75" x14ac:dyDescent="0.2">
      <c r="H986" s="4"/>
      <c r="I986" s="4"/>
      <c r="J986" s="4"/>
    </row>
    <row r="987" spans="8:10" ht="12.75" x14ac:dyDescent="0.2">
      <c r="H987" s="4"/>
      <c r="I987" s="4"/>
      <c r="J987" s="4"/>
    </row>
    <row r="988" spans="8:10" ht="12.75" x14ac:dyDescent="0.2">
      <c r="H988" s="4"/>
      <c r="I988" s="4"/>
      <c r="J988" s="4"/>
    </row>
    <row r="989" spans="8:10" ht="12.75" x14ac:dyDescent="0.2">
      <c r="H989" s="4"/>
      <c r="I989" s="4"/>
      <c r="J989" s="4"/>
    </row>
    <row r="990" spans="8:10" ht="12.75" x14ac:dyDescent="0.2">
      <c r="H990" s="4"/>
      <c r="I990" s="4"/>
      <c r="J990" s="4"/>
    </row>
    <row r="991" spans="8:10" ht="12.75" x14ac:dyDescent="0.2">
      <c r="H991" s="4"/>
      <c r="I991" s="4"/>
      <c r="J991" s="4"/>
    </row>
    <row r="992" spans="8:10" ht="12.75" x14ac:dyDescent="0.2">
      <c r="H992" s="4"/>
      <c r="I992" s="4"/>
      <c r="J992" s="4"/>
    </row>
    <row r="993" spans="8:10" ht="12.75" x14ac:dyDescent="0.2">
      <c r="H993" s="4"/>
      <c r="I993" s="4"/>
      <c r="J993" s="4"/>
    </row>
    <row r="994" spans="8:10" ht="12.75" x14ac:dyDescent="0.2">
      <c r="H994" s="4"/>
      <c r="I994" s="4"/>
      <c r="J994" s="4"/>
    </row>
    <row r="995" spans="8:10" ht="12.75" x14ac:dyDescent="0.2">
      <c r="H995" s="4"/>
      <c r="I995" s="4"/>
      <c r="J995" s="4"/>
    </row>
    <row r="996" spans="8:10" ht="12.75" x14ac:dyDescent="0.2">
      <c r="H996" s="4"/>
      <c r="I996" s="4"/>
      <c r="J996" s="4"/>
    </row>
    <row r="997" spans="8:10" ht="12.75" x14ac:dyDescent="0.2">
      <c r="H997" s="4"/>
      <c r="I997" s="4"/>
      <c r="J997" s="4"/>
    </row>
    <row r="998" spans="8:10" ht="12.75" x14ac:dyDescent="0.2">
      <c r="H998" s="4"/>
      <c r="I998" s="4"/>
      <c r="J998" s="4"/>
    </row>
    <row r="999" spans="8:10" ht="12.75" x14ac:dyDescent="0.2">
      <c r="H999" s="4"/>
      <c r="I999" s="4"/>
      <c r="J999" s="4"/>
    </row>
    <row r="1000" spans="8:10" ht="12.75" x14ac:dyDescent="0.2">
      <c r="H1000" s="4"/>
      <c r="I1000" s="4"/>
      <c r="J1000" s="4"/>
    </row>
    <row r="1001" spans="8:10" ht="12.75" x14ac:dyDescent="0.2">
      <c r="H1001" s="4"/>
      <c r="I1001" s="4"/>
      <c r="J1001" s="4"/>
    </row>
    <row r="1002" spans="8:10" ht="12.75" x14ac:dyDescent="0.2">
      <c r="H1002" s="4"/>
      <c r="I1002" s="4"/>
      <c r="J1002" s="4"/>
    </row>
    <row r="1003" spans="8:10" ht="12.75" x14ac:dyDescent="0.2">
      <c r="H1003" s="4"/>
      <c r="I1003" s="4"/>
      <c r="J1003" s="4"/>
    </row>
    <row r="1004" spans="8:10" ht="12.75" x14ac:dyDescent="0.2">
      <c r="H1004" s="4"/>
      <c r="I1004" s="4"/>
      <c r="J1004" s="4"/>
    </row>
    <row r="1005" spans="8:10" ht="12.75" x14ac:dyDescent="0.2">
      <c r="H1005" s="4"/>
      <c r="I1005" s="4"/>
      <c r="J1005" s="4"/>
    </row>
    <row r="1006" spans="8:10" ht="12.75" x14ac:dyDescent="0.2">
      <c r="H1006" s="4"/>
      <c r="I1006" s="4"/>
      <c r="J1006" s="4"/>
    </row>
    <row r="1007" spans="8:10" ht="12.75" x14ac:dyDescent="0.2">
      <c r="H1007" s="4"/>
      <c r="I1007" s="4"/>
      <c r="J1007" s="4"/>
    </row>
    <row r="1008" spans="8:10" ht="12.75" x14ac:dyDescent="0.2">
      <c r="H1008" s="4"/>
      <c r="I1008" s="4"/>
      <c r="J1008" s="4"/>
    </row>
    <row r="1009" spans="8:10" ht="12.75" x14ac:dyDescent="0.2">
      <c r="H1009" s="4"/>
      <c r="I1009" s="4"/>
      <c r="J1009" s="4"/>
    </row>
    <row r="1010" spans="8:10" ht="12.75" x14ac:dyDescent="0.2">
      <c r="H1010" s="4"/>
      <c r="I1010" s="4"/>
      <c r="J1010" s="4"/>
    </row>
    <row r="1011" spans="8:10" ht="12.75" x14ac:dyDescent="0.2">
      <c r="H1011" s="4"/>
      <c r="I1011" s="4"/>
      <c r="J1011" s="4"/>
    </row>
    <row r="1012" spans="8:10" ht="12.75" x14ac:dyDescent="0.2">
      <c r="H1012" s="4"/>
      <c r="I1012" s="4"/>
      <c r="J1012" s="4"/>
    </row>
    <row r="1013" spans="8:10" ht="12.75" x14ac:dyDescent="0.2">
      <c r="H1013" s="4"/>
      <c r="I1013" s="4"/>
      <c r="J1013" s="4"/>
    </row>
    <row r="1014" spans="8:10" ht="12.75" x14ac:dyDescent="0.2">
      <c r="H1014" s="4"/>
      <c r="I1014" s="4"/>
      <c r="J1014" s="4"/>
    </row>
    <row r="1015" spans="8:10" ht="12.75" x14ac:dyDescent="0.2">
      <c r="H1015" s="4"/>
      <c r="I1015" s="4"/>
      <c r="J1015" s="4"/>
    </row>
    <row r="1016" spans="8:10" ht="12.75" x14ac:dyDescent="0.2">
      <c r="H1016" s="4"/>
      <c r="I1016" s="4"/>
      <c r="J1016" s="4"/>
    </row>
    <row r="1017" spans="8:10" ht="12.75" x14ac:dyDescent="0.2">
      <c r="H1017" s="4"/>
      <c r="I1017" s="4"/>
      <c r="J1017" s="4"/>
    </row>
    <row r="1018" spans="8:10" ht="12.75" x14ac:dyDescent="0.2">
      <c r="H1018" s="4"/>
      <c r="I1018" s="4"/>
      <c r="J1018" s="4"/>
    </row>
    <row r="1019" spans="8:10" ht="12.75" x14ac:dyDescent="0.2">
      <c r="H1019" s="4"/>
      <c r="I1019" s="4"/>
      <c r="J1019" s="4"/>
    </row>
    <row r="1020" spans="8:10" ht="12.75" x14ac:dyDescent="0.2">
      <c r="H1020" s="4"/>
      <c r="I1020" s="4"/>
      <c r="J1020" s="4"/>
    </row>
    <row r="1021" spans="8:10" ht="12.75" x14ac:dyDescent="0.2">
      <c r="H1021" s="4"/>
      <c r="I1021" s="4"/>
      <c r="J1021" s="4"/>
    </row>
    <row r="1022" spans="8:10" ht="12.75" x14ac:dyDescent="0.2">
      <c r="H1022" s="4"/>
      <c r="I1022" s="4"/>
      <c r="J1022" s="4"/>
    </row>
    <row r="1023" spans="8:10" ht="12.75" x14ac:dyDescent="0.2">
      <c r="H1023" s="4"/>
      <c r="I1023" s="4"/>
      <c r="J1023" s="4"/>
    </row>
    <row r="1024" spans="8:10" ht="12.75" x14ac:dyDescent="0.2">
      <c r="H1024" s="4"/>
      <c r="I1024" s="4"/>
      <c r="J1024" s="4"/>
    </row>
    <row r="1025" spans="8:10" ht="12.75" x14ac:dyDescent="0.2">
      <c r="H1025" s="4"/>
      <c r="I1025" s="4"/>
      <c r="J1025" s="4"/>
    </row>
    <row r="1026" spans="8:10" ht="12.75" x14ac:dyDescent="0.2">
      <c r="H1026" s="4"/>
      <c r="I1026" s="4"/>
      <c r="J1026" s="4"/>
    </row>
    <row r="1027" spans="8:10" ht="12.75" x14ac:dyDescent="0.2">
      <c r="H1027" s="4"/>
      <c r="I1027" s="4"/>
      <c r="J1027" s="4"/>
    </row>
    <row r="1028" spans="8:10" ht="12.75" x14ac:dyDescent="0.2">
      <c r="H1028" s="4"/>
      <c r="I1028" s="4"/>
      <c r="J1028" s="4"/>
    </row>
    <row r="1029" spans="8:10" ht="12.75" x14ac:dyDescent="0.2">
      <c r="H1029" s="4"/>
      <c r="I1029" s="4"/>
      <c r="J1029" s="4"/>
    </row>
    <row r="1030" spans="8:10" ht="12.75" x14ac:dyDescent="0.2">
      <c r="H1030" s="4"/>
      <c r="I1030" s="4"/>
      <c r="J1030" s="4"/>
    </row>
    <row r="1031" spans="8:10" ht="12.75" x14ac:dyDescent="0.2">
      <c r="H1031" s="4"/>
      <c r="I1031" s="4"/>
      <c r="J1031" s="4"/>
    </row>
    <row r="1032" spans="8:10" ht="12.75" x14ac:dyDescent="0.2">
      <c r="H1032" s="4"/>
      <c r="I1032" s="4"/>
      <c r="J1032" s="4"/>
    </row>
    <row r="1033" spans="8:10" ht="12.75" x14ac:dyDescent="0.2">
      <c r="H1033" s="4"/>
      <c r="I1033" s="4"/>
      <c r="J1033" s="4"/>
    </row>
    <row r="1034" spans="8:10" ht="12.75" x14ac:dyDescent="0.2">
      <c r="H1034" s="4"/>
      <c r="I1034" s="4"/>
      <c r="J1034" s="4"/>
    </row>
    <row r="1035" spans="8:10" ht="12.75" x14ac:dyDescent="0.2">
      <c r="H1035" s="4"/>
      <c r="I1035" s="4"/>
      <c r="J1035" s="4"/>
    </row>
    <row r="1036" spans="8:10" ht="12.75" x14ac:dyDescent="0.2">
      <c r="H1036" s="4"/>
      <c r="I1036" s="4"/>
      <c r="J1036" s="4"/>
    </row>
    <row r="1037" spans="8:10" ht="12.75" x14ac:dyDescent="0.2">
      <c r="H1037" s="4"/>
      <c r="I1037" s="4"/>
      <c r="J1037" s="4"/>
    </row>
    <row r="1038" spans="8:10" ht="12.75" x14ac:dyDescent="0.2">
      <c r="H1038" s="4"/>
      <c r="I1038" s="4"/>
      <c r="J1038" s="4"/>
    </row>
    <row r="1039" spans="8:10" ht="12.75" x14ac:dyDescent="0.2">
      <c r="H1039" s="4"/>
      <c r="I1039" s="4"/>
      <c r="J1039" s="4"/>
    </row>
    <row r="1040" spans="8:10" ht="12.75" x14ac:dyDescent="0.2">
      <c r="H1040" s="4"/>
      <c r="I1040" s="4"/>
      <c r="J1040" s="4"/>
    </row>
    <row r="1041" spans="8:10" ht="12.75" x14ac:dyDescent="0.2">
      <c r="H1041" s="4"/>
      <c r="I1041" s="4"/>
      <c r="J1041" s="4"/>
    </row>
    <row r="1042" spans="8:10" ht="12.75" x14ac:dyDescent="0.2">
      <c r="H1042" s="4"/>
      <c r="I1042" s="4"/>
      <c r="J1042" s="4"/>
    </row>
    <row r="1043" spans="8:10" ht="12.75" x14ac:dyDescent="0.2">
      <c r="H1043" s="4"/>
      <c r="I1043" s="4"/>
      <c r="J1043" s="4"/>
    </row>
    <row r="1044" spans="8:10" ht="12.75" x14ac:dyDescent="0.2">
      <c r="H1044" s="4"/>
      <c r="I1044" s="4"/>
      <c r="J1044" s="4"/>
    </row>
    <row r="1045" spans="8:10" ht="12.75" x14ac:dyDescent="0.2">
      <c r="H1045" s="4"/>
      <c r="I1045" s="4"/>
      <c r="J1045" s="4"/>
    </row>
    <row r="1046" spans="8:10" ht="12.75" x14ac:dyDescent="0.2">
      <c r="H1046" s="4"/>
      <c r="I1046" s="4"/>
      <c r="J1046" s="4"/>
    </row>
    <row r="1047" spans="8:10" ht="12.75" x14ac:dyDescent="0.2">
      <c r="H1047" s="4"/>
      <c r="I1047" s="4"/>
      <c r="J1047" s="4"/>
    </row>
    <row r="1048" spans="8:10" ht="12.75" x14ac:dyDescent="0.2">
      <c r="H1048" s="4"/>
      <c r="I1048" s="4"/>
      <c r="J1048" s="4"/>
    </row>
    <row r="1049" spans="8:10" ht="12.75" x14ac:dyDescent="0.2">
      <c r="H1049" s="4"/>
      <c r="I1049" s="4"/>
      <c r="J1049" s="4"/>
    </row>
    <row r="1050" spans="8:10" ht="12.75" x14ac:dyDescent="0.2">
      <c r="H1050" s="4"/>
      <c r="I1050" s="4"/>
      <c r="J1050" s="4"/>
    </row>
    <row r="1051" spans="8:10" ht="12.75" x14ac:dyDescent="0.2">
      <c r="H1051" s="4"/>
      <c r="I1051" s="4"/>
      <c r="J1051" s="4"/>
    </row>
    <row r="1052" spans="8:10" ht="12.75" x14ac:dyDescent="0.2">
      <c r="H1052" s="4"/>
      <c r="I1052" s="4"/>
      <c r="J1052" s="4"/>
    </row>
    <row r="1053" spans="8:10" ht="12.75" x14ac:dyDescent="0.2">
      <c r="H1053" s="4"/>
      <c r="I1053" s="4"/>
      <c r="J1053" s="4"/>
    </row>
    <row r="1054" spans="8:10" ht="12.75" x14ac:dyDescent="0.2">
      <c r="H1054" s="4"/>
      <c r="I1054" s="4"/>
      <c r="J1054" s="4"/>
    </row>
    <row r="1055" spans="8:10" ht="12.75" x14ac:dyDescent="0.2">
      <c r="H1055" s="4"/>
      <c r="I1055" s="4"/>
      <c r="J1055" s="4"/>
    </row>
    <row r="1056" spans="8:10" ht="12.75" x14ac:dyDescent="0.2">
      <c r="H1056" s="4"/>
      <c r="I1056" s="4"/>
      <c r="J1056" s="4"/>
    </row>
    <row r="1057" spans="8:10" ht="12.75" x14ac:dyDescent="0.2">
      <c r="H1057" s="4"/>
      <c r="I1057" s="4"/>
      <c r="J1057" s="4"/>
    </row>
    <row r="1058" spans="8:10" ht="12.75" x14ac:dyDescent="0.2">
      <c r="H1058" s="4"/>
      <c r="I1058" s="4"/>
      <c r="J1058" s="4"/>
    </row>
    <row r="1059" spans="8:10" ht="12.75" x14ac:dyDescent="0.2">
      <c r="H1059" s="4"/>
      <c r="I1059" s="4"/>
      <c r="J1059" s="4"/>
    </row>
    <row r="1060" spans="8:10" ht="12.75" x14ac:dyDescent="0.2">
      <c r="H1060" s="4"/>
      <c r="I1060" s="4"/>
      <c r="J1060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planner</vt:lpstr>
      <vt:lpstr>product-view</vt:lpstr>
      <vt:lpstr>stock_on_hand</vt:lpstr>
      <vt:lpstr>orders</vt:lpstr>
      <vt:lpstr>material_list</vt:lpstr>
      <vt:lpstr>commodities</vt:lpstr>
      <vt:lpstr>units</vt:lpstr>
      <vt:lpstr>mynotes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2024-05-15T19:50:01Z</dcterms:modified>
</cp:coreProperties>
</file>