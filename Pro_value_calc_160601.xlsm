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rinterSettings/printerSettings1.bin" ContentType="application/vnd.openxmlformats-officedocument.spreadsheetml.printerSettings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ana\moje\programovani\Braasi\braasi_desktop\"/>
    </mc:Choice>
  </mc:AlternateContent>
  <xr:revisionPtr revIDLastSave="0" documentId="13_ncr:1_{03B23D27-E04C-4C02-B52C-ABF1B2D4CEE2}" xr6:coauthVersionLast="47" xr6:coauthVersionMax="47" xr10:uidLastSave="{00000000-0000-0000-0000-000000000000}"/>
  <bookViews>
    <workbookView xWindow="-120" yWindow="-120" windowWidth="29040" windowHeight="15720" xr2:uid="{D647EAD6-A39E-4D1C-B343-D13511072999}"/>
  </bookViews>
  <sheets>
    <sheet name="Calc" sheetId="5" r:id="rId1"/>
    <sheet name="Calc_overview" sheetId="7" r:id="rId2"/>
    <sheet name="material_value" sheetId="8" r:id="rId3"/>
    <sheet name="product_value" sheetId="9" r:id="rId4"/>
    <sheet name="source_data" sheetId="6" state="veryHidden" r:id="rId5"/>
  </sheets>
  <functionGroups builtInGroupCount="19"/>
  <definedNames>
    <definedName name="_xlnm._FilterDatabase" localSheetId="0" hidden="1">'Calc_overview'!$B$3:$I$81</definedName>
    <definedName name="_xlnm._FilterDatabase" localSheetId="1" hidden="1">'Calc_overview'!$B$3:$I$165</definedName>
    <definedName name="_xlnm._FilterDatabase" localSheetId="4" hidden="1">source_data!$A$1:$G$6000</definedName>
    <definedName name="_xlnm.Criteria" localSheetId="0">Calc!#REF!</definedName>
    <definedName name="_xlnm.Criteria" localSheetId="4">source_data!$F$1:$F$2</definedName>
    <definedName name="ExternalData_1" localSheetId="0" hidden="1">Calc!#REF!</definedName>
    <definedName name="ExternalData_1" localSheetId="1" hidden="1">'Calc_overview'!$B$4:$H$166</definedName>
    <definedName name="ExternalData_1" localSheetId="2" hidden="1">material_value!$B$4:$I$417</definedName>
    <definedName name="ExternalData_1" localSheetId="3" hidden="1">product_value!$B$4:$E$5</definedName>
    <definedName name="ExternalData_1" localSheetId="4" hidden="1">source_data!$A$1:$G$3609</definedName>
    <definedName name="ExternalData_2" localSheetId="2" hidden="1">material_value!$K$4:$M$20</definedName>
    <definedName name="ExternalData_2" localSheetId="4" hidden="1">source_data!$I$1:$J$163</definedName>
    <definedName name="ExternalData_3" localSheetId="4" hidden="1">source_data!#REF!</definedName>
    <definedName name="ExternalData_4" localSheetId="4" hidden="1">source_data!$T$1:$W$1459</definedName>
    <definedName name="ExternalData_5" localSheetId="4" hidden="1">source_data!$R$1:$R$6</definedName>
    <definedName name="ExternalData_6" localSheetId="4" hidden="1">source_data!$N$1:$N$5</definedName>
    <definedName name="_xlnm.Extract" localSheetId="0">Calc!$B$17:$H$17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22" i="7" l="1"/>
  <c r="I123" i="7"/>
  <c r="I124" i="7"/>
  <c r="I138" i="7"/>
  <c r="I139" i="7"/>
  <c r="I140" i="7"/>
  <c r="I153" i="7"/>
  <c r="I154" i="7"/>
  <c r="I162" i="7"/>
  <c r="I163" i="7"/>
  <c r="I146" i="7"/>
  <c r="I147" i="7"/>
  <c r="I148" i="7"/>
  <c r="I149" i="7"/>
  <c r="I150" i="7"/>
  <c r="I151" i="7"/>
  <c r="I152" i="7"/>
  <c r="I115" i="7"/>
  <c r="I132" i="7"/>
  <c r="I133" i="7"/>
  <c r="I134" i="7"/>
  <c r="I135" i="7"/>
  <c r="I137" i="7"/>
  <c r="I136" i="7"/>
  <c r="I159" i="7"/>
  <c r="I160" i="7"/>
  <c r="I161" i="7"/>
  <c r="I164" i="7"/>
  <c r="I157" i="7"/>
  <c r="I155" i="7"/>
  <c r="I156" i="7"/>
  <c r="I116" i="7"/>
  <c r="I158" i="7"/>
  <c r="I117" i="7"/>
  <c r="I118" i="7"/>
  <c r="I119" i="7"/>
  <c r="I120" i="7"/>
  <c r="I121" i="7"/>
  <c r="I128" i="7"/>
  <c r="I129" i="7"/>
  <c r="I130" i="7"/>
  <c r="I142" i="7"/>
  <c r="I141" i="7"/>
  <c r="I131" i="7"/>
  <c r="I143" i="7"/>
  <c r="I144" i="7"/>
  <c r="I145" i="7"/>
  <c r="I165" i="7"/>
  <c r="I126" i="7"/>
  <c r="I127" i="7"/>
  <c r="I39" i="7"/>
  <c r="I81" i="7"/>
  <c r="I83" i="7"/>
  <c r="I84" i="7"/>
  <c r="I85" i="7"/>
  <c r="I72" i="7"/>
  <c r="I16" i="7"/>
  <c r="I5" i="7"/>
  <c r="I11" i="7"/>
  <c r="I6" i="7"/>
  <c r="I9" i="7"/>
  <c r="I7" i="7"/>
  <c r="I13" i="7"/>
  <c r="I12" i="7"/>
  <c r="I10" i="7"/>
  <c r="I8" i="7"/>
  <c r="I28" i="7"/>
  <c r="I110" i="7"/>
  <c r="I113" i="7"/>
  <c r="I99" i="7"/>
  <c r="I111" i="7"/>
  <c r="I14" i="7"/>
  <c r="I21" i="7"/>
  <c r="I19" i="7"/>
  <c r="I22" i="7"/>
  <c r="I20" i="7"/>
  <c r="I41" i="7"/>
  <c r="I42" i="7"/>
  <c r="I43" i="7"/>
  <c r="I47" i="7"/>
  <c r="I44" i="7"/>
  <c r="I45" i="7"/>
  <c r="I46" i="7"/>
  <c r="I17" i="7"/>
  <c r="I34" i="7"/>
  <c r="I35" i="7"/>
  <c r="I36" i="7"/>
  <c r="I37" i="7"/>
  <c r="I18" i="7"/>
  <c r="I23" i="7"/>
  <c r="I25" i="7"/>
  <c r="I24" i="7"/>
  <c r="I86" i="7"/>
  <c r="I74" i="7"/>
  <c r="I75" i="7"/>
  <c r="I76" i="7"/>
  <c r="I77" i="7"/>
  <c r="I15" i="7"/>
  <c r="I55" i="7"/>
  <c r="I71" i="7"/>
  <c r="I27" i="7"/>
  <c r="I26" i="7"/>
  <c r="I38" i="7"/>
  <c r="I33" i="7"/>
  <c r="I60" i="7"/>
  <c r="I82" i="7"/>
  <c r="I100" i="7"/>
  <c r="I101" i="7"/>
  <c r="I102" i="7"/>
  <c r="I103" i="7"/>
  <c r="I104" i="7"/>
  <c r="I105" i="7"/>
  <c r="I106" i="7"/>
  <c r="I107" i="7"/>
  <c r="I108" i="7"/>
  <c r="I109" i="7"/>
  <c r="I125" i="7"/>
  <c r="I65" i="7"/>
  <c r="I66" i="7"/>
  <c r="I63" i="7"/>
  <c r="I67" i="7"/>
  <c r="I68" i="7"/>
  <c r="I69" i="7"/>
  <c r="I92" i="7"/>
  <c r="I70" i="7"/>
  <c r="I62" i="7"/>
  <c r="I50" i="7"/>
  <c r="I48" i="7"/>
  <c r="I49" i="7"/>
  <c r="I30" i="7"/>
  <c r="I31" i="7"/>
  <c r="I32" i="7"/>
  <c r="I29" i="7"/>
  <c r="I64" i="7"/>
  <c r="I56" i="7"/>
  <c r="I57" i="7"/>
  <c r="I58" i="7"/>
  <c r="I59" i="7"/>
  <c r="I54" i="7"/>
  <c r="I52" i="7"/>
  <c r="I51" i="7"/>
  <c r="I53" i="7"/>
  <c r="I96" i="7"/>
  <c r="I97" i="7"/>
  <c r="I95" i="7"/>
  <c r="I93" i="7"/>
  <c r="I112" i="7"/>
  <c r="I88" i="7"/>
  <c r="I89" i="7"/>
  <c r="I90" i="7"/>
  <c r="I91" i="7"/>
  <c r="I98" i="7"/>
  <c r="I79" i="7"/>
  <c r="I166" i="7"/>
  <c r="I87" i="7"/>
  <c r="I80" i="7"/>
  <c r="I94" i="7"/>
  <c r="I61" i="7"/>
  <c r="I73" i="7"/>
  <c r="I78" i="7"/>
  <c r="I40" i="7"/>
  <c r="I114" i="7"/>
  <c r="C11" i="5"/>
  <c r="D11" i="5" s="1"/>
  <c r="C12" i="5"/>
  <c r="D12" i="5" s="1"/>
  <c r="C10" i="5"/>
  <c r="D10" i="5" s="1"/>
  <c r="C9" i="5"/>
  <c r="D9" i="5" s="1"/>
  <c r="C8" i="5"/>
  <c r="C13" i="5" l="1"/>
  <c r="D13" i="5" s="1"/>
  <c r="C15" i="5" l="1"/>
  <c r="L2" i="8" l="1"/>
  <c r="D8" i="5"/>
  <c r="D15" i="5" s="1"/>
  <c r="F2" i="9" l="1"/>
  <c r="G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0806867-1D8F-4C27-A22D-87DE65751324}" keepAlive="1" name="Query - bom_costs" description="Connection to the 'bom_costs' query in the workbook." type="5" refreshedVersion="8" background="1" saveData="1">
    <dbPr connection="Provider=Microsoft.Mashup.OleDb.1;Data Source=$Workbook$;Location=bom_costs;Extended Properties=&quot;&quot;" command="SELECT * FROM [bom_costs]"/>
  </connection>
  <connection id="2" xr16:uid="{9E27132A-069E-4FB5-AA49-33C0331DBE11}" keepAlive="1" name="Query - Calc_overview" description="Connection to the 'Calc_overview' query in the workbook." type="5" refreshedVersion="8" background="1" saveData="1">
    <dbPr connection="Provider=Microsoft.Mashup.OleDb.1;Data Source=$Workbook$;Location=Calc_overview;Extended Properties=&quot;&quot;" command="SELECT * FROM [Calc_overview]"/>
  </connection>
  <connection id="3" xr16:uid="{BD582080-C5A4-4CB4-B35E-D57AC30C9338}" keepAlive="1" name="Query - material_com_value" description="Connection to the 'material_com_value' query in the workbook." type="5" refreshedVersion="8" background="1" saveData="1">
    <dbPr connection="Provider=Microsoft.Mashup.OleDb.1;Data Source=$Workbook$;Location=material_com_value;Extended Properties=&quot;&quot;" command="SELECT * FROM [material_com_value]"/>
  </connection>
  <connection id="4" xr16:uid="{C29309B5-D5A7-493F-95B3-B5AF0A670442}" keepAlive="1" name="Query - material_value" description="Connection to the 'material_value' query in the workbook." type="5" refreshedVersion="8" background="1" saveData="1">
    <dbPr connection="Provider=Microsoft.Mashup.OleDb.1;Data Source=$Workbook$;Location=material_value;Extended Properties=&quot;&quot;" command="SELECT * FROM [material_value]"/>
  </connection>
  <connection id="5" xr16:uid="{D6D685E8-F50A-4120-B3E9-2008E9162343}" keepAlive="1" name="Query - other_costs" description="Connection to the 'other_costs' query in the workbook." type="5" refreshedVersion="8" background="1" saveData="1">
    <dbPr connection="Provider=Microsoft.Mashup.OleDb.1;Data Source=$Workbook$;Location=other_costs;Extended Properties=&quot;&quot;" command="SELECT * FROM [other_costs]"/>
  </connection>
  <connection id="6" xr16:uid="{4A9A8F6D-ED2F-458D-ABA7-C2C87757F0E6}" keepAlive="1" name="Query - overview" description="Connection to the 'overview' query in the workbook." type="5" refreshedVersion="8" background="1" saveData="1">
    <dbPr connection="Provider=Microsoft.Mashup.OleDb.1;Data Source=$Workbook$;Location=overview;Extended Properties=&quot;&quot;" command="SELECT * FROM [overview]"/>
  </connection>
  <connection id="7" xr16:uid="{C32EDCEE-191E-4606-BF2B-51BFF67C07AA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8" xr16:uid="{040A1FC9-8C41-47B5-B2F9-2A76C3BDB8E9}" keepAlive="1" name="Query - transport" description="Connection to the 'transport' query in the workbook." type="5" refreshedVersion="8" background="1" saveData="1">
    <dbPr connection="Provider=Microsoft.Mashup.OleDb.1;Data Source=$Workbook$;Location=transport;Extended Properties=&quot;&quot;" command="SELECT * FROM [transport]"/>
  </connection>
  <connection id="9" xr16:uid="{6A0F6497-8AE5-4240-90B0-77094F4BA6BF}" keepAlive="1" name="Query - values" description="Connection to the 'values' query in the workbook." type="5" refreshedVersion="8" background="1" saveData="1">
    <dbPr connection="Provider=Microsoft.Mashup.OleDb.1;Data Source=$Workbook$;Location=values;Extended Properties=&quot;&quot;" command="SELECT * FROM [values]"/>
  </connection>
</connections>
</file>

<file path=xl/sharedStrings.xml><?xml version="1.0" encoding="utf-8"?>
<sst xmlns="http://schemas.openxmlformats.org/spreadsheetml/2006/main" count="21748" uniqueCount="1060">
  <si>
    <t>part_number</t>
  </si>
  <si>
    <t>description</t>
  </si>
  <si>
    <t>STRP000001</t>
  </si>
  <si>
    <t>STRP000002</t>
  </si>
  <si>
    <t>STRP000003</t>
  </si>
  <si>
    <t>STRP000004</t>
  </si>
  <si>
    <t>STRP000005</t>
  </si>
  <si>
    <t>STRP000006</t>
  </si>
  <si>
    <t>STRP000007</t>
  </si>
  <si>
    <t>STRP000015</t>
  </si>
  <si>
    <t>STRP000025</t>
  </si>
  <si>
    <t>STRP000031</t>
  </si>
  <si>
    <t>STRP000052</t>
  </si>
  <si>
    <t>STRP000053</t>
  </si>
  <si>
    <t>STRP000060</t>
  </si>
  <si>
    <t>STRP000061</t>
  </si>
  <si>
    <t>STRP000062</t>
  </si>
  <si>
    <t>HRDW000001</t>
  </si>
  <si>
    <t>HRDW000002</t>
  </si>
  <si>
    <t>HRDW000005</t>
  </si>
  <si>
    <t>HRDW000006</t>
  </si>
  <si>
    <t>HRDW000009</t>
  </si>
  <si>
    <t>HRDW000010</t>
  </si>
  <si>
    <t>HRDW000011</t>
  </si>
  <si>
    <t>HRDW000012</t>
  </si>
  <si>
    <t>HRDW000013</t>
  </si>
  <si>
    <t>HRDW000014</t>
  </si>
  <si>
    <t>HRDW000015</t>
  </si>
  <si>
    <t>HRDW000017</t>
  </si>
  <si>
    <t>HRDW000018</t>
  </si>
  <si>
    <t>HRDW000019</t>
  </si>
  <si>
    <t>HRDW000020</t>
  </si>
  <si>
    <t>HRDW000039</t>
  </si>
  <si>
    <t>HRDW000040</t>
  </si>
  <si>
    <t>HRDW000054</t>
  </si>
  <si>
    <t>HRDW000055</t>
  </si>
  <si>
    <t>HRDW000058</t>
  </si>
  <si>
    <t>HRDW000059</t>
  </si>
  <si>
    <t>HRDW000060</t>
  </si>
  <si>
    <t>HRDW000061</t>
  </si>
  <si>
    <t>HRDW000064</t>
  </si>
  <si>
    <t>HRDW000067</t>
  </si>
  <si>
    <t>HRDW000092</t>
  </si>
  <si>
    <t>HRDW000093</t>
  </si>
  <si>
    <t>FBRK000001</t>
  </si>
  <si>
    <t>FBRK000002</t>
  </si>
  <si>
    <t>FBRK000003</t>
  </si>
  <si>
    <t>FLNG000001</t>
  </si>
  <si>
    <t>FLNG000002</t>
  </si>
  <si>
    <t>FLNG000003</t>
  </si>
  <si>
    <t>FBRK000010</t>
  </si>
  <si>
    <t>FBRK000011</t>
  </si>
  <si>
    <t>FBRK000012</t>
  </si>
  <si>
    <t>FBRK000013</t>
  </si>
  <si>
    <t>FBRK000014</t>
  </si>
  <si>
    <t>FBRK000015</t>
  </si>
  <si>
    <t>FBRK000017</t>
  </si>
  <si>
    <t>FBRK000021</t>
  </si>
  <si>
    <t>FBRK000022</t>
  </si>
  <si>
    <t>FBRK000029</t>
  </si>
  <si>
    <t>FBRK000033</t>
  </si>
  <si>
    <t>FBRK000046</t>
  </si>
  <si>
    <t>FBRK000047</t>
  </si>
  <si>
    <t>FBRK000048</t>
  </si>
  <si>
    <t>FBRK000049</t>
  </si>
  <si>
    <t>FBRK000053</t>
  </si>
  <si>
    <t>FBRK000054</t>
  </si>
  <si>
    <t>FBRK000059</t>
  </si>
  <si>
    <t>FBRK000062</t>
  </si>
  <si>
    <t>FBRK000069</t>
  </si>
  <si>
    <t>FBRK000070</t>
  </si>
  <si>
    <t>FBRK000071</t>
  </si>
  <si>
    <t>FBRK000072</t>
  </si>
  <si>
    <t>FBRK000073</t>
  </si>
  <si>
    <t>FBRK000074</t>
  </si>
  <si>
    <t>FBRK000075</t>
  </si>
  <si>
    <t>FBRK000076</t>
  </si>
  <si>
    <t>FBRK000082</t>
  </si>
  <si>
    <t>FBRK000085</t>
  </si>
  <si>
    <t>FBRK000086</t>
  </si>
  <si>
    <t>FBRK000087</t>
  </si>
  <si>
    <t>FBRK000088</t>
  </si>
  <si>
    <t>FBRK000089</t>
  </si>
  <si>
    <t>FBRK000096</t>
  </si>
  <si>
    <t>FBRK000101</t>
  </si>
  <si>
    <t>FBRK000102</t>
  </si>
  <si>
    <t>FBRK000103</t>
  </si>
  <si>
    <t>FBRK000104</t>
  </si>
  <si>
    <t>FBRK000106</t>
  </si>
  <si>
    <t>FBRK000108</t>
  </si>
  <si>
    <t>FBRK000109</t>
  </si>
  <si>
    <t>FBRK000110</t>
  </si>
  <si>
    <t>FBRK000113</t>
  </si>
  <si>
    <t>FBRK000114</t>
  </si>
  <si>
    <t>BRND000001</t>
  </si>
  <si>
    <t>BRND000003</t>
  </si>
  <si>
    <t>BRND000006</t>
  </si>
  <si>
    <t>BRND000007</t>
  </si>
  <si>
    <t>BRND000021</t>
  </si>
  <si>
    <t>BRND000023</t>
  </si>
  <si>
    <t>BRND000024</t>
  </si>
  <si>
    <t>LTHR000001</t>
  </si>
  <si>
    <t>LTHR000002</t>
  </si>
  <si>
    <t>LTHR000003</t>
  </si>
  <si>
    <t>LTHR000004</t>
  </si>
  <si>
    <t>THRD000001</t>
  </si>
  <si>
    <t>THRD000002</t>
  </si>
  <si>
    <t>THRD000003</t>
  </si>
  <si>
    <t>THRD000004</t>
  </si>
  <si>
    <t>THRD000005</t>
  </si>
  <si>
    <t>THRD000007</t>
  </si>
  <si>
    <t>THRD000008</t>
  </si>
  <si>
    <t>THRD000009</t>
  </si>
  <si>
    <t>THRD000010</t>
  </si>
  <si>
    <t>THRD000011</t>
  </si>
  <si>
    <t>THRD000012</t>
  </si>
  <si>
    <t>THRD000013</t>
  </si>
  <si>
    <t>THRD000014</t>
  </si>
  <si>
    <t>THRD000015</t>
  </si>
  <si>
    <t>THRD000017</t>
  </si>
  <si>
    <t>THRD000018</t>
  </si>
  <si>
    <t>PCKG000001</t>
  </si>
  <si>
    <t>PCKG000002</t>
  </si>
  <si>
    <t>Noir</t>
  </si>
  <si>
    <t>Wicker black světla</t>
  </si>
  <si>
    <t>Wicker black</t>
  </si>
  <si>
    <t>Wicker Navy blue</t>
  </si>
  <si>
    <t>Wicker orange</t>
  </si>
  <si>
    <t>Wicker tan</t>
  </si>
  <si>
    <t>Wicker khaki</t>
  </si>
  <si>
    <t>Wicker Dark grey</t>
  </si>
  <si>
    <t>Wicker navy/black</t>
  </si>
  <si>
    <t>Henry black světla</t>
  </si>
  <si>
    <t>Hertil black</t>
  </si>
  <si>
    <t>Hertil khaki</t>
  </si>
  <si>
    <t>Hertil navy</t>
  </si>
  <si>
    <t>Rolltop Basic black</t>
  </si>
  <si>
    <t>Rolltop Basic grey</t>
  </si>
  <si>
    <t>Rolltop Basic Side Grey</t>
  </si>
  <si>
    <t>Rolltop Basic Side black</t>
  </si>
  <si>
    <t>Wicker x-Pac black</t>
  </si>
  <si>
    <t>Wicker x-Pac white</t>
  </si>
  <si>
    <t>Wicker x-Pac purple</t>
  </si>
  <si>
    <t>Wicker x-Pac yellow</t>
  </si>
  <si>
    <t>Henry black</t>
  </si>
  <si>
    <t>Henry tan</t>
  </si>
  <si>
    <t>Henry khaki</t>
  </si>
  <si>
    <t>Henry orange</t>
  </si>
  <si>
    <t>Henry dark grey</t>
  </si>
  <si>
    <t>Henry Bot AI</t>
  </si>
  <si>
    <t>Arne Black</t>
  </si>
  <si>
    <t>Klopista black</t>
  </si>
  <si>
    <t>Klopista khaki</t>
  </si>
  <si>
    <t>webbing black</t>
  </si>
  <si>
    <t>webbing khaki</t>
  </si>
  <si>
    <t>webbing tan</t>
  </si>
  <si>
    <t>webbing orange</t>
  </si>
  <si>
    <t>webbing navy</t>
  </si>
  <si>
    <t>webbing grey</t>
  </si>
  <si>
    <t>webbing dark grey</t>
  </si>
  <si>
    <t>webbing khaki/orange</t>
  </si>
  <si>
    <t>webbing white</t>
  </si>
  <si>
    <t>Nico</t>
  </si>
  <si>
    <t>Purista ecru/black</t>
  </si>
  <si>
    <t>Purista ecru/nude</t>
  </si>
  <si>
    <t>Rolltop cordura tan/navy</t>
  </si>
  <si>
    <t>Rolltop cordura tan/khaki</t>
  </si>
  <si>
    <t>Rolltop cordura tan/black</t>
  </si>
  <si>
    <t>Rolltop cordura tan/red</t>
  </si>
  <si>
    <t>Rolltop cordura navy/red</t>
  </si>
  <si>
    <t>Rolltop cordura navy/black</t>
  </si>
  <si>
    <t>Rolltop cordura red/navy</t>
  </si>
  <si>
    <t>Rolltop cordura orange/navy</t>
  </si>
  <si>
    <t>Rolltop cordura yellow/black</t>
  </si>
  <si>
    <t>Rolltop cordura blue/orange</t>
  </si>
  <si>
    <t>rolltop canvas yellow/nude</t>
  </si>
  <si>
    <t>rolltop canvas magenta/nude</t>
  </si>
  <si>
    <t>rolltop canvas khaki/nude</t>
  </si>
  <si>
    <t>rolltop canvas black/nude</t>
  </si>
  <si>
    <t>rolltop canvas grey/nude</t>
  </si>
  <si>
    <t>rolltop canvas khaki/black</t>
  </si>
  <si>
    <t>rolltop canvas magenta/black</t>
  </si>
  <si>
    <t>rolltop canvas grey/black</t>
  </si>
  <si>
    <t>rolltop canvas red/black</t>
  </si>
  <si>
    <t>rolltop canvas blue/nude</t>
  </si>
  <si>
    <t>Rolltop X-Pac black</t>
  </si>
  <si>
    <t>Rolltop X-Pac yellow</t>
  </si>
  <si>
    <t>Rolltop X-Pac purple</t>
  </si>
  <si>
    <t>Henry canvas black</t>
  </si>
  <si>
    <t>Henry canvas ecru/nude</t>
  </si>
  <si>
    <t>Foxy</t>
  </si>
  <si>
    <t>usage</t>
  </si>
  <si>
    <t>BGPK000028</t>
  </si>
  <si>
    <t>BGPK000066</t>
  </si>
  <si>
    <t>BGPK000065</t>
  </si>
  <si>
    <t>BGPK000069</t>
  </si>
  <si>
    <t>BGPK000071</t>
  </si>
  <si>
    <t>BGPK000072</t>
  </si>
  <si>
    <t>BGPK000068</t>
  </si>
  <si>
    <t>BGPK000067</t>
  </si>
  <si>
    <t>BGPK000070</t>
  </si>
  <si>
    <t>BGPK000014</t>
  </si>
  <si>
    <t>BGPK000022</t>
  </si>
  <si>
    <t>BGPK000023</t>
  </si>
  <si>
    <t>BGPK000024</t>
  </si>
  <si>
    <t>BGPK000031</t>
  </si>
  <si>
    <t>BGPK000032</t>
  </si>
  <si>
    <t>BGPK000034</t>
  </si>
  <si>
    <t>BGPK000033</t>
  </si>
  <si>
    <t>BGPK000073</t>
  </si>
  <si>
    <t>BGPK000074</t>
  </si>
  <si>
    <t>BGPK000076</t>
  </si>
  <si>
    <t>BGPK000075</t>
  </si>
  <si>
    <t>BGPK000013</t>
  </si>
  <si>
    <t>BGPK000021</t>
  </si>
  <si>
    <t>BGPK000019</t>
  </si>
  <si>
    <t>BGPK000020</t>
  </si>
  <si>
    <t>BGPK000018</t>
  </si>
  <si>
    <t>BGPK000015</t>
  </si>
  <si>
    <t>BGPK000001</t>
  </si>
  <si>
    <t>BGPK000008</t>
  </si>
  <si>
    <t>BGPK000010</t>
  </si>
  <si>
    <t>BGPK000009</t>
  </si>
  <si>
    <t>BGPK000002</t>
  </si>
  <si>
    <t>BGPK000003</t>
  </si>
  <si>
    <t>BGPK000005</t>
  </si>
  <si>
    <t>BGPK000007</t>
  </si>
  <si>
    <t>BGPK000006</t>
  </si>
  <si>
    <t>BGPK000004</t>
  </si>
  <si>
    <t>BGPK000025</t>
  </si>
  <si>
    <t>BGPK000026</t>
  </si>
  <si>
    <t>BGPK000058</t>
  </si>
  <si>
    <t>BGPK000061</t>
  </si>
  <si>
    <t>BGPK000064</t>
  </si>
  <si>
    <t>BGPK000063</t>
  </si>
  <si>
    <t>BGPK000062</t>
  </si>
  <si>
    <t>BGPK000060</t>
  </si>
  <si>
    <t>BGPK000059</t>
  </si>
  <si>
    <t>BGPK000077</t>
  </si>
  <si>
    <t>BGPK000078</t>
  </si>
  <si>
    <t>BGPK000027</t>
  </si>
  <si>
    <t>BGPK000029</t>
  </si>
  <si>
    <t>BGPK000030</t>
  </si>
  <si>
    <t>BGPK000052</t>
  </si>
  <si>
    <t>BGPK000051</t>
  </si>
  <si>
    <t>BGPK000050</t>
  </si>
  <si>
    <t>BGPK000053</t>
  </si>
  <si>
    <t>BGPK000047</t>
  </si>
  <si>
    <t>BGPK000046</t>
  </si>
  <si>
    <t>BGPK000049</t>
  </si>
  <si>
    <t>BGPK000048</t>
  </si>
  <si>
    <t>BGPK000054</t>
  </si>
  <si>
    <t>BGPK000045</t>
  </si>
  <si>
    <t>BGPK000044</t>
  </si>
  <si>
    <t>BGPK000042</t>
  </si>
  <si>
    <t>BGPK000040</t>
  </si>
  <si>
    <t>BGPK000035</t>
  </si>
  <si>
    <t>BGPK000038</t>
  </si>
  <si>
    <t>BGPK000039</t>
  </si>
  <si>
    <t>BGPK000041</t>
  </si>
  <si>
    <t>BGPK000037</t>
  </si>
  <si>
    <t>BGPK000043</t>
  </si>
  <si>
    <t>BGPK000036</t>
  </si>
  <si>
    <t>BGPK000055</t>
  </si>
  <si>
    <t>BGPK000057</t>
  </si>
  <si>
    <t>BGPK000056</t>
  </si>
  <si>
    <t>BGPK000016</t>
  </si>
  <si>
    <t>BGPK000017</t>
  </si>
  <si>
    <t>BGPK000012</t>
  </si>
  <si>
    <t>BGPK000011</t>
  </si>
  <si>
    <t>Materiál</t>
  </si>
  <si>
    <t>product_name</t>
  </si>
  <si>
    <t>Šití</t>
  </si>
  <si>
    <t>product_code</t>
  </si>
  <si>
    <t>inv_value</t>
  </si>
  <si>
    <t>total</t>
  </si>
  <si>
    <t>Náklad</t>
  </si>
  <si>
    <t>type</t>
  </si>
  <si>
    <t>price</t>
  </si>
  <si>
    <t>Total</t>
  </si>
  <si>
    <t>tkaná etiketa kosočtv. ČB Braasi Industry</t>
  </si>
  <si>
    <t>tkaná etiketa přežehlená černobílá B/IN</t>
  </si>
  <si>
    <t>tkaná etiketa X-PAC</t>
  </si>
  <si>
    <t>tkaná etiketa OUTLAST</t>
  </si>
  <si>
    <t>Kartička Outlast</t>
  </si>
  <si>
    <t>Kartička x-pac</t>
  </si>
  <si>
    <t>Outlast</t>
  </si>
  <si>
    <t>Ulsedan zářivě oranžová</t>
  </si>
  <si>
    <t>Cordura CZ 500 černá PU zátěr</t>
  </si>
  <si>
    <t>Xpac VX21 black</t>
  </si>
  <si>
    <t>Eva pěna 6 mm</t>
  </si>
  <si>
    <t>YKK zip černý pogumovaný</t>
  </si>
  <si>
    <t>YKK 5 zip černý reverzní</t>
  </si>
  <si>
    <t>YKK jezdec 5EJ černá</t>
  </si>
  <si>
    <t>WeTool kovový žebříček 25 mm černá</t>
  </si>
  <si>
    <t>WeTool kovový G-Hook 20 mm levá černá</t>
  </si>
  <si>
    <t>WeTool kovový H-Hook 25 mm černá</t>
  </si>
  <si>
    <t>WeTool kovový karabina 20 mm černá</t>
  </si>
  <si>
    <t>WeTool kovová karabina obdélníková 20 mm černá</t>
  </si>
  <si>
    <t>cordlock</t>
  </si>
  <si>
    <t>Tyčky</t>
  </si>
  <si>
    <t>papírová karta příběh + označení batohu</t>
  </si>
  <si>
    <t>igelitový pytel s logem</t>
  </si>
  <si>
    <t>popruh černý PAD 10 mm</t>
  </si>
  <si>
    <t>popruh černý PAD 20 mm</t>
  </si>
  <si>
    <t>popruh černý PAD 25 mm</t>
  </si>
  <si>
    <t>popruh černý PAD 40 mm</t>
  </si>
  <si>
    <t>lemovka černá PAD 25 mm</t>
  </si>
  <si>
    <t>paracorde červený 3,5 mm</t>
  </si>
  <si>
    <t>paracorde černý 3,5 mm</t>
  </si>
  <si>
    <t>suché zipy 30 mm háček</t>
  </si>
  <si>
    <t>suché zipy 30 mm plyš</t>
  </si>
  <si>
    <t>suché zipy 50 mm plyš</t>
  </si>
  <si>
    <t>Ultrapoly 30 černá 999</t>
  </si>
  <si>
    <t>Ultrapoly 30 neon oranžová 215</t>
  </si>
  <si>
    <t>Xpac LS21 grey</t>
  </si>
  <si>
    <t>Ultrapoly 30 světle šedá 882</t>
  </si>
  <si>
    <t>Xpac VX21 purple</t>
  </si>
  <si>
    <t>Ultrapoly 30 fialová 458</t>
  </si>
  <si>
    <t>Xpac VX21 white</t>
  </si>
  <si>
    <t>Ultrapoly 30 bílá 001</t>
  </si>
  <si>
    <t>Ubeon žlutá</t>
  </si>
  <si>
    <t>Xpac VX21 yellow</t>
  </si>
  <si>
    <t>Ultrapoly 30 žlutá 125</t>
  </si>
  <si>
    <t>Kortexin černý</t>
  </si>
  <si>
    <t>Ubeon světle šedá</t>
  </si>
  <si>
    <t>Bavlna IT oranžová</t>
  </si>
  <si>
    <t>podložení molitanu záda</t>
  </si>
  <si>
    <t>Molitan 2 cm</t>
  </si>
  <si>
    <t>YKK samice 20 mm černá</t>
  </si>
  <si>
    <t>YKK samec 20 mm černá</t>
  </si>
  <si>
    <t>YKK žebříček 20 mm černá</t>
  </si>
  <si>
    <t>YKK jezdec 5E černá</t>
  </si>
  <si>
    <t>SILK 0842 černá</t>
  </si>
  <si>
    <t>Ultrapoly 30 foxy 273</t>
  </si>
  <si>
    <t>Kožené logo pilsner</t>
  </si>
  <si>
    <t>Ulsedan zelená plzeňská</t>
  </si>
  <si>
    <t>Uzaron černá</t>
  </si>
  <si>
    <t>Bavlna CZ khaki</t>
  </si>
  <si>
    <t>SILK 0250 rezavá</t>
  </si>
  <si>
    <t>Ultrapoly 30 khaki</t>
  </si>
  <si>
    <t>Cordura DE 1100 černá AC zátěr</t>
  </si>
  <si>
    <t>Cordura DE 500 černá PU zátěr</t>
  </si>
  <si>
    <t>VENICE 64100 Black černá</t>
  </si>
  <si>
    <t>optic fibre lighting</t>
  </si>
  <si>
    <t>Fidlock V-BUCKLE 20 mm jednostranně nastavitelná</t>
  </si>
  <si>
    <t>Bavlna IT impregnace černá</t>
  </si>
  <si>
    <t>popruh černý bavlna 20 mm</t>
  </si>
  <si>
    <t>Bavlna IT přírodní</t>
  </si>
  <si>
    <t>VENICE 64080 Albicocca</t>
  </si>
  <si>
    <t>Ultrapoly 30 přírodní 710</t>
  </si>
  <si>
    <t>Cordura DE 1100 tmavě šedá AC zátěr</t>
  </si>
  <si>
    <t>Ultrapoly 30 tmavě šedá 888</t>
  </si>
  <si>
    <t>Cordura DE 1100 khaki AC zátěr</t>
  </si>
  <si>
    <t>Cordura DE 1100 oranžová AC zátěr</t>
  </si>
  <si>
    <t>Cordura DE 1100 tan AC zátěr</t>
  </si>
  <si>
    <t>Ultrapoly 30 desertní 1222</t>
  </si>
  <si>
    <t>3D tkanina</t>
  </si>
  <si>
    <t>Ubeon modrá</t>
  </si>
  <si>
    <t>EVA pěna 10 mm</t>
  </si>
  <si>
    <t>YKK žebříček 25 mm černá WICKER</t>
  </si>
  <si>
    <t>YKK očko 20 mm černá</t>
  </si>
  <si>
    <t>Ultrapoly 30 modrá podšívka 658</t>
  </si>
  <si>
    <t>Cordura DE 1100 navy AC zátěr</t>
  </si>
  <si>
    <t>Ultrapoly 30 modrá 549</t>
  </si>
  <si>
    <t>Ulsedan khaki</t>
  </si>
  <si>
    <t>YKK žebříček 16 mm černá</t>
  </si>
  <si>
    <t>YKK žebříček 25 mm černá</t>
  </si>
  <si>
    <t>YKK očko 18 mm černá</t>
  </si>
  <si>
    <t>Fidlock V-BUCKLE 25 mm jednostranně nastavitelná</t>
  </si>
  <si>
    <t>popruh černý PAD 16 mm</t>
  </si>
  <si>
    <t>Ubeon se zátěrem bílá</t>
  </si>
  <si>
    <t>Uzaron červená</t>
  </si>
  <si>
    <t>Ultrapoly 30 červená 337</t>
  </si>
  <si>
    <t>Kortexin žlutý</t>
  </si>
  <si>
    <t>lemovka černá PES 25 mm</t>
  </si>
  <si>
    <t>Cordura DE 500 šedá PU zátěr</t>
  </si>
  <si>
    <t>Bavlna CZ modrá</t>
  </si>
  <si>
    <t>Ultrapoly 30 královská modrá 556</t>
  </si>
  <si>
    <t>Bavlna CZ magenta</t>
  </si>
  <si>
    <t>Bavlna IT šedá</t>
  </si>
  <si>
    <t>Ultrapoly 30 vínová 344</t>
  </si>
  <si>
    <t>Bavlna CZ červená</t>
  </si>
  <si>
    <t>Bavlna CZ žlutá</t>
  </si>
  <si>
    <t>Cordura DE 500 světle modrá AC zátěr</t>
  </si>
  <si>
    <t>Cordura DE 500 navy AC zátěr</t>
  </si>
  <si>
    <t>Cordura DE 1100 červená AC zátěr</t>
  </si>
  <si>
    <t>Cordura DE 500 oranžová AC zátěr</t>
  </si>
  <si>
    <t>Cordura DE 500 červená AC zátěr</t>
  </si>
  <si>
    <t>Cordura DE 500 tan AC zátěr</t>
  </si>
  <si>
    <t>Cordura DE 500 žlutá AC zátěr</t>
  </si>
  <si>
    <t>WeTool kovový protikus karabina 20 mm černá</t>
  </si>
  <si>
    <t>WeTool kovové D-očko 20 mm černá</t>
  </si>
  <si>
    <t>Cordura DE 1100 šedá AC zátěr</t>
  </si>
  <si>
    <t>YKK samice 25 mm černá</t>
  </si>
  <si>
    <t>YKK samec 25 mm černá</t>
  </si>
  <si>
    <t>YKK očko 25 mm černá</t>
  </si>
  <si>
    <t>popruh modrý PAD 20 mm</t>
  </si>
  <si>
    <t>Kortexin bílý</t>
  </si>
  <si>
    <t>popruh oranžový PAD 20 mm</t>
  </si>
  <si>
    <t>Cordura DE 500 bílá AC zátěr</t>
  </si>
  <si>
    <t>Amortizace</t>
  </si>
  <si>
    <t>Příprava výroby</t>
  </si>
  <si>
    <t>Hodnota CZK</t>
  </si>
  <si>
    <t>Hodnota EUR</t>
  </si>
  <si>
    <t>Balení</t>
  </si>
  <si>
    <t>qty</t>
  </si>
  <si>
    <t>unit_code</t>
  </si>
  <si>
    <t>ks</t>
  </si>
  <si>
    <t>BRND000002</t>
  </si>
  <si>
    <t>tkaná etiketa kosočtv. ČB Braasi Industry baby</t>
  </si>
  <si>
    <t>BRND000004</t>
  </si>
  <si>
    <t>tkaná etiketa přežehlená úzká čepice</t>
  </si>
  <si>
    <t>BRND000005</t>
  </si>
  <si>
    <t>tkaná etiketa kosočtv. meděná Braasi Industry</t>
  </si>
  <si>
    <t>BRND000008</t>
  </si>
  <si>
    <t>tkaná etiketa ROBE</t>
  </si>
  <si>
    <t>BRND000009</t>
  </si>
  <si>
    <t>tkaná etiketa DIRECT</t>
  </si>
  <si>
    <t>BRND000010</t>
  </si>
  <si>
    <t>tkaná etiketa SEYFOR</t>
  </si>
  <si>
    <t>BRND000011</t>
  </si>
  <si>
    <t>tkaná etiketa PPF/ BRAASI</t>
  </si>
  <si>
    <t>BRND000012</t>
  </si>
  <si>
    <t>tkaná etiketa ČESKO DIGITAL</t>
  </si>
  <si>
    <t>BRND000013</t>
  </si>
  <si>
    <t>tkaná etiketa WE ARE PUBLICIS</t>
  </si>
  <si>
    <t>BRND000014</t>
  </si>
  <si>
    <t>tkaná etiketa CLEVERHOOD</t>
  </si>
  <si>
    <t>BRND000015</t>
  </si>
  <si>
    <t>tkaná etiketa CLEVERHOOD/ BRAASI</t>
  </si>
  <si>
    <t>BRND000016</t>
  </si>
  <si>
    <t>tkaná etiketa WINQS</t>
  </si>
  <si>
    <t>BRND000017</t>
  </si>
  <si>
    <t>tkaná etiketa GARAGE 22</t>
  </si>
  <si>
    <t>BRND000018</t>
  </si>
  <si>
    <t>tkaná etiketa BEEFEATER</t>
  </si>
  <si>
    <t>BRND000019</t>
  </si>
  <si>
    <t>tkaná etiketa JOHNNIE WALKER</t>
  </si>
  <si>
    <t>BRND000020</t>
  </si>
  <si>
    <t>tkaná etiketa HORALKY</t>
  </si>
  <si>
    <t>BRND000022</t>
  </si>
  <si>
    <t>tkaná etiketa CANVA</t>
  </si>
  <si>
    <t>m2</t>
  </si>
  <si>
    <t>FBRK000004</t>
  </si>
  <si>
    <t>Kortexin červený</t>
  </si>
  <si>
    <t>FBRK000005</t>
  </si>
  <si>
    <t>Kortexin sv.šedá</t>
  </si>
  <si>
    <t>FBRK000006</t>
  </si>
  <si>
    <t>Kortexin hnědý</t>
  </si>
  <si>
    <t>FBRK000007</t>
  </si>
  <si>
    <t>Kortexin oranžový</t>
  </si>
  <si>
    <t>FBRK000008</t>
  </si>
  <si>
    <t>černý PES s PVC zátěrem</t>
  </si>
  <si>
    <t>FBRK000009</t>
  </si>
  <si>
    <t>žlutý PES s PVC zátěrem</t>
  </si>
  <si>
    <t>FBRK000016</t>
  </si>
  <si>
    <t>Ulsedan zářivě žlutá</t>
  </si>
  <si>
    <t>FBRK000018</t>
  </si>
  <si>
    <t>Ulsedan zářivě zelená</t>
  </si>
  <si>
    <t>FBRK000019</t>
  </si>
  <si>
    <t>Ulsedan modrá</t>
  </si>
  <si>
    <t>FBRK000020</t>
  </si>
  <si>
    <t>Ulsedan černá</t>
  </si>
  <si>
    <t>FBRK000023</t>
  </si>
  <si>
    <t>Ulsedan olivová</t>
  </si>
  <si>
    <t>FBRK000024</t>
  </si>
  <si>
    <t>Ulsedan červená</t>
  </si>
  <si>
    <t>FBRK000025</t>
  </si>
  <si>
    <t>Ulsedan fialová</t>
  </si>
  <si>
    <t>FBRK000026</t>
  </si>
  <si>
    <t>Ulsedan limetkově zelená</t>
  </si>
  <si>
    <t>FBRK000027</t>
  </si>
  <si>
    <t>Ulsedan aquamarin modrá</t>
  </si>
  <si>
    <t>FBRK000028</t>
  </si>
  <si>
    <t>Uzaron fialová</t>
  </si>
  <si>
    <t>FBRK000030</t>
  </si>
  <si>
    <t>Uzaron růžová</t>
  </si>
  <si>
    <t>FBRK000031</t>
  </si>
  <si>
    <t>Uzaron žlutá</t>
  </si>
  <si>
    <t>FBRK000032</t>
  </si>
  <si>
    <t>Uzaron královská modrá</t>
  </si>
  <si>
    <t>FBRK000034</t>
  </si>
  <si>
    <t>Uzaron zářivě žlutá</t>
  </si>
  <si>
    <t>FBRK000035</t>
  </si>
  <si>
    <t>Uzaron tmavě šedá</t>
  </si>
  <si>
    <t>FBRK000036</t>
  </si>
  <si>
    <t>Padákovina černá</t>
  </si>
  <si>
    <t>FBRK000037</t>
  </si>
  <si>
    <t>Padákovina khaki</t>
  </si>
  <si>
    <t>FBRK000038</t>
  </si>
  <si>
    <t>Padákovina stříbrná</t>
  </si>
  <si>
    <t>FBRK000039</t>
  </si>
  <si>
    <t>Padákovina navy</t>
  </si>
  <si>
    <t>FBRK000040</t>
  </si>
  <si>
    <t>Padákovina bílá</t>
  </si>
  <si>
    <t>FBRK000041</t>
  </si>
  <si>
    <t>Cordura CZ 1100 černá PU zátěr</t>
  </si>
  <si>
    <t>FBRK000042</t>
  </si>
  <si>
    <t>Cordura CZ 1100 khaki PU zátěr</t>
  </si>
  <si>
    <t>FBRK000043</t>
  </si>
  <si>
    <t>Cordura CZ 500 ripstop černá</t>
  </si>
  <si>
    <t>FBRK000044</t>
  </si>
  <si>
    <t>Cordura CZ 500 ripstop khaki</t>
  </si>
  <si>
    <t>FBRK000045</t>
  </si>
  <si>
    <t>Cordura Belgická "UKORET" 1100 černá</t>
  </si>
  <si>
    <t>FBRK000050</t>
  </si>
  <si>
    <t>Cordura DE 1100 modrá AC zátěr</t>
  </si>
  <si>
    <t>FBRK000051</t>
  </si>
  <si>
    <t>Cordura DE 1100 žlutá AC zátěr</t>
  </si>
  <si>
    <t>FBRK000052</t>
  </si>
  <si>
    <t>Cordura DE 1100 ecru AC zátěr</t>
  </si>
  <si>
    <t>FBRK000055</t>
  </si>
  <si>
    <t>Cordura DE 1100 kávová AC zátěr</t>
  </si>
  <si>
    <t>FBRK000056</t>
  </si>
  <si>
    <t>Cordura DE 1100 trávově zelená AC zátěr</t>
  </si>
  <si>
    <t>FBRK000057</t>
  </si>
  <si>
    <t>Cordura DE 1100 coyote AC zátěr</t>
  </si>
  <si>
    <t>FBRK000058</t>
  </si>
  <si>
    <t>Cordura DE 1100 jarní zelená AC zátěr</t>
  </si>
  <si>
    <t>FBRK000060</t>
  </si>
  <si>
    <t>Cordura DE 1100 akvamarin AC zátěr</t>
  </si>
  <si>
    <t>FBRK000061</t>
  </si>
  <si>
    <t>Cordura DE 1100 khaki PVC zátěr</t>
  </si>
  <si>
    <t>FBRK000063</t>
  </si>
  <si>
    <t>Cordura DE 1100 fialová AC zátěr</t>
  </si>
  <si>
    <t>FBRK000064</t>
  </si>
  <si>
    <t>Cordura DE 1100 zlatá AC zátěr</t>
  </si>
  <si>
    <t>FBRK000065</t>
  </si>
  <si>
    <t>Cordura DE 1100 tmavě zelená AC zátěr</t>
  </si>
  <si>
    <t>FBRK000066</t>
  </si>
  <si>
    <t>Cordura DE 1100 armádní zelená AC zátěr</t>
  </si>
  <si>
    <t>FBRK000067</t>
  </si>
  <si>
    <t>Cordura DE 1100 olivově zelená AC zátěr</t>
  </si>
  <si>
    <t>FBRK000068</t>
  </si>
  <si>
    <t>Cordura DE 1100 růžová AC zátěr</t>
  </si>
  <si>
    <t>FBRK000077</t>
  </si>
  <si>
    <t>Cordura DE 500 tmavě šedá/zelená AC zátěr</t>
  </si>
  <si>
    <t>FBRK000078</t>
  </si>
  <si>
    <t>Cordura DE 500 hnědá AC zátěr</t>
  </si>
  <si>
    <t>FBRK000079</t>
  </si>
  <si>
    <t>Cordura DE 500 zářivě žlutá AC zátěr</t>
  </si>
  <si>
    <t>FBRK000080</t>
  </si>
  <si>
    <t>Cordura DE 500 blankytně modrá AC zátěr</t>
  </si>
  <si>
    <t>FBRK000081</t>
  </si>
  <si>
    <t>Cordura DE 500 světle šedá AC zátěr</t>
  </si>
  <si>
    <t>FBRK000083</t>
  </si>
  <si>
    <t>Cordura DE 500 khaki AC zátěr</t>
  </si>
  <si>
    <t>FBRK000084</t>
  </si>
  <si>
    <t>Cordura DE 500 vínová AC zátěr</t>
  </si>
  <si>
    <t>FBRK000090</t>
  </si>
  <si>
    <t>Xpac RX36/DWR black</t>
  </si>
  <si>
    <t>FBRK000091</t>
  </si>
  <si>
    <t>Xpac RX36/DWR white</t>
  </si>
  <si>
    <t>FBRK000092</t>
  </si>
  <si>
    <t>Xpac RX30/DWR black</t>
  </si>
  <si>
    <t>FBRK000093</t>
  </si>
  <si>
    <t>Xpac RX15/DWR white</t>
  </si>
  <si>
    <t>FBRK000094</t>
  </si>
  <si>
    <t>Xpac VX07 RS black (ripstop)</t>
  </si>
  <si>
    <t>FBRK000095</t>
  </si>
  <si>
    <t>Xpac X10/DWR naturale</t>
  </si>
  <si>
    <t>FBRK000097</t>
  </si>
  <si>
    <t>Xpac LS21 black</t>
  </si>
  <si>
    <t>FBRK000098</t>
  </si>
  <si>
    <t>Patrik Antzcak tisk</t>
  </si>
  <si>
    <t>FBRK000099</t>
  </si>
  <si>
    <t>Paperjoe tisk</t>
  </si>
  <si>
    <t>FBRK000100</t>
  </si>
  <si>
    <t>Bavlna CZ černá</t>
  </si>
  <si>
    <t>FBRK000105</t>
  </si>
  <si>
    <t>FBRK000107</t>
  </si>
  <si>
    <t>Bavlna CZ tmavě žlutá</t>
  </si>
  <si>
    <t>FBRK000111</t>
  </si>
  <si>
    <t>Bavlna England (monocle) khaki</t>
  </si>
  <si>
    <t>FBRK000112</t>
  </si>
  <si>
    <t>Bavlna England (monocle) navy</t>
  </si>
  <si>
    <t>FLNG000004</t>
  </si>
  <si>
    <t>Eva pěna 2 mm</t>
  </si>
  <si>
    <t>HRDW000003</t>
  </si>
  <si>
    <t>YKK samec 25 mm černá EVO</t>
  </si>
  <si>
    <t>HRDW000004</t>
  </si>
  <si>
    <t>YKK samice 25 mm černá EVO</t>
  </si>
  <si>
    <t>HRDW000007</t>
  </si>
  <si>
    <t>YKK samec 16 mm černá</t>
  </si>
  <si>
    <t>HRDW000008</t>
  </si>
  <si>
    <t>YKK samice 16 mm černá</t>
  </si>
  <si>
    <t>HRDW000016</t>
  </si>
  <si>
    <t>YKK očko 40 mm černá</t>
  </si>
  <si>
    <t>m</t>
  </si>
  <si>
    <t>HRDW000021</t>
  </si>
  <si>
    <t>YKK klíčenka černá</t>
  </si>
  <si>
    <t>HRDW000022</t>
  </si>
  <si>
    <t>YKK D-kroužek černá</t>
  </si>
  <si>
    <t>HRDW000023</t>
  </si>
  <si>
    <t>YKK karabina černá</t>
  </si>
  <si>
    <t>HRDW000024</t>
  </si>
  <si>
    <t>YKK trojzubec 50 mm černá (samec+samice)</t>
  </si>
  <si>
    <t>HRDW000025</t>
  </si>
  <si>
    <t>YKK bikeroller přezka</t>
  </si>
  <si>
    <t>HRDW000026</t>
  </si>
  <si>
    <t>YKK jezdec 5E bílý</t>
  </si>
  <si>
    <t>HRDW000027</t>
  </si>
  <si>
    <t>YKK průvleky 20 mm</t>
  </si>
  <si>
    <t>HRDW000028</t>
  </si>
  <si>
    <t>trojzubec 40 mm černá (samec+samice)</t>
  </si>
  <si>
    <t>HRDW000029</t>
  </si>
  <si>
    <t>žebříček 40 mm černá CROSSBODY</t>
  </si>
  <si>
    <t>HRDW000030</t>
  </si>
  <si>
    <t>YKK zip 28 cm žlutý</t>
  </si>
  <si>
    <t>HRDW000031</t>
  </si>
  <si>
    <t>YKK zip 28 cm bílý</t>
  </si>
  <si>
    <t>HRDW000032</t>
  </si>
  <si>
    <t>YKK zip kovový 18 cm černý</t>
  </si>
  <si>
    <t>HRDW000033</t>
  </si>
  <si>
    <t>YKK zip kovový 18 cm bílý</t>
  </si>
  <si>
    <t>HRDW000034</t>
  </si>
  <si>
    <t>Massag zip kovový 18 cm černý</t>
  </si>
  <si>
    <t>HRDW000035</t>
  </si>
  <si>
    <t>YKK zip spirálový reverzní 5 CI černá</t>
  </si>
  <si>
    <t>HRDW000036</t>
  </si>
  <si>
    <t>YKK zip kovový 46 cm černý</t>
  </si>
  <si>
    <t>HRDW000037</t>
  </si>
  <si>
    <t>YKK zip kovový 29 cm černý</t>
  </si>
  <si>
    <t>HRDW000038</t>
  </si>
  <si>
    <t>YKK zip kovový 25 cm černý</t>
  </si>
  <si>
    <t>HRDW000041</t>
  </si>
  <si>
    <t>Fidlock V-BUCKLE 40 LL 40 mm nastavitelná černá</t>
  </si>
  <si>
    <t>HRDW000042</t>
  </si>
  <si>
    <t>Fidlock V-BUCKLE 40 SB 40 mm fix černá</t>
  </si>
  <si>
    <t>HRDW000043</t>
  </si>
  <si>
    <t>Fidlock HOOK 40 belt LL</t>
  </si>
  <si>
    <t>HRDW000044</t>
  </si>
  <si>
    <t>Fidlock přezka 20 mm stříbrná</t>
  </si>
  <si>
    <t>HRDW000045</t>
  </si>
  <si>
    <t>Fidlock Stripe X3</t>
  </si>
  <si>
    <t>HRDW000046</t>
  </si>
  <si>
    <t>Fidlock Coinstrap 15 mm na helmu</t>
  </si>
  <si>
    <t>HRDW000047</t>
  </si>
  <si>
    <t>Fidlock SNAP špuntík samec M kulatá nízká černá</t>
  </si>
  <si>
    <t>HRDW000048</t>
  </si>
  <si>
    <t>Fidlock SNAP špuntík samice M kulatá nízká černá</t>
  </si>
  <si>
    <t>HRDW000049</t>
  </si>
  <si>
    <t>Fidlock SNAP samec S na gumičku</t>
  </si>
  <si>
    <t>HRDW000050</t>
  </si>
  <si>
    <t>Fidlock SNAP samice S kulatá nízká černá</t>
  </si>
  <si>
    <t>HRDW000051</t>
  </si>
  <si>
    <t>Fidlock SNAP male M 25 adjuster k rolce</t>
  </si>
  <si>
    <t>HRDW000052</t>
  </si>
  <si>
    <t>Fidlock HOOK 20 na gumičku černá</t>
  </si>
  <si>
    <t>HRDW000053</t>
  </si>
  <si>
    <t>WeTool kovový žebříček 20 mm černá</t>
  </si>
  <si>
    <t>HRDW000056</t>
  </si>
  <si>
    <t>WeTool kovový G-Hook 20 mm pravá černá</t>
  </si>
  <si>
    <t>HRDW000057</t>
  </si>
  <si>
    <t>WeTool kovový G-Hook 25 mm pravá otvírák černý</t>
  </si>
  <si>
    <t>HRDW000062</t>
  </si>
  <si>
    <t>WeTool kovová karabina obdélníková 10 mm černá</t>
  </si>
  <si>
    <t>HRDW000063</t>
  </si>
  <si>
    <t>WeTool kovová karabina otočná 20 mm černá</t>
  </si>
  <si>
    <t>HRDW000065</t>
  </si>
  <si>
    <t>WeTool kovové hawkeye toggle 25 mm černá</t>
  </si>
  <si>
    <t>HRDW000066</t>
  </si>
  <si>
    <t>titanová žabka Austere 20 mm</t>
  </si>
  <si>
    <t>HRDW000068</t>
  </si>
  <si>
    <t>PJ trojzubec 25 mm bílá (samec+samice)</t>
  </si>
  <si>
    <t>HRDW000069</t>
  </si>
  <si>
    <t>PJ žebříček 25 mm bílá</t>
  </si>
  <si>
    <t>HRDW000070</t>
  </si>
  <si>
    <t>PJ žebříček 20 mm bílá</t>
  </si>
  <si>
    <t>HRDW000071</t>
  </si>
  <si>
    <t>PJ samec 20 mm bílá</t>
  </si>
  <si>
    <t>HRDW000072</t>
  </si>
  <si>
    <t>PJ samice 20 mm bílá</t>
  </si>
  <si>
    <t>HRDW000073</t>
  </si>
  <si>
    <t>PJ očko 20 mm bílá</t>
  </si>
  <si>
    <t>HRDW000074</t>
  </si>
  <si>
    <t>PJ očko 20 mm černá</t>
  </si>
  <si>
    <t>HRDW000075</t>
  </si>
  <si>
    <t>PJ očko 40 mm černá</t>
  </si>
  <si>
    <t>HRDW000076</t>
  </si>
  <si>
    <t>PJ spona 20 mm bílá</t>
  </si>
  <si>
    <t>HRDW000077</t>
  </si>
  <si>
    <t>PJ trojzubec 10 mm bílá (samec+samice)</t>
  </si>
  <si>
    <t>HRDW000078</t>
  </si>
  <si>
    <t>PJ trojzubec 10 mm khaki (samec+samice)</t>
  </si>
  <si>
    <t>HRDW000079</t>
  </si>
  <si>
    <t>PJ trojzubec 20 mm bílá (samec+samice)</t>
  </si>
  <si>
    <t>HRDW000080</t>
  </si>
  <si>
    <t>PJ trojzubec 10 mm černá</t>
  </si>
  <si>
    <t>HRDW000081</t>
  </si>
  <si>
    <t>PJ karabina 20 mm černá</t>
  </si>
  <si>
    <t>HRDW000082</t>
  </si>
  <si>
    <t>PJ karabina 30 mm černá</t>
  </si>
  <si>
    <t>HRDW000083</t>
  </si>
  <si>
    <t>PJ trojzubec 30 mm černá</t>
  </si>
  <si>
    <t>HRDW000084</t>
  </si>
  <si>
    <t>PJ žebříček 40 mm černá</t>
  </si>
  <si>
    <t>HRDW000085</t>
  </si>
  <si>
    <t>PJ D-kroužek černá 20 mm</t>
  </si>
  <si>
    <t>HRDW000086</t>
  </si>
  <si>
    <t>Massag kovový zebříček 20 mm měděný</t>
  </si>
  <si>
    <t>HRDW000087</t>
  </si>
  <si>
    <t>Massag kovový žebříček 20 mm černá</t>
  </si>
  <si>
    <t>HRDW000088</t>
  </si>
  <si>
    <t>Massag auto druk černá</t>
  </si>
  <si>
    <t>HRDW000089</t>
  </si>
  <si>
    <t>Metal clash hook</t>
  </si>
  <si>
    <t>HRDW000090</t>
  </si>
  <si>
    <t>Massag vsuvka kovová černá</t>
  </si>
  <si>
    <t>HRDW000091</t>
  </si>
  <si>
    <t>Massag vsuvka kovová černá 20mm</t>
  </si>
  <si>
    <t>LTHR000005</t>
  </si>
  <si>
    <t>VENICE 64030 Ecrú písková</t>
  </si>
  <si>
    <t>LTHR000006</t>
  </si>
  <si>
    <t>VENICE 64150 Pervinca lila</t>
  </si>
  <si>
    <t>LTHR000007</t>
  </si>
  <si>
    <t>VENICE 64150 Cloud Pink nude</t>
  </si>
  <si>
    <t>LTHR000008</t>
  </si>
  <si>
    <t>VENICE 64110 Corallo lososová</t>
  </si>
  <si>
    <t>LTHR000009</t>
  </si>
  <si>
    <t>VENICE 64040 Cappuccino bílá káva</t>
  </si>
  <si>
    <t>PCKG000003</t>
  </si>
  <si>
    <t>krabice 51x38x7</t>
  </si>
  <si>
    <t>PCKG000004</t>
  </si>
  <si>
    <t>lepící páska Braasi Industry</t>
  </si>
  <si>
    <t>PCKG000005</t>
  </si>
  <si>
    <t>štítek Zásilkovna</t>
  </si>
  <si>
    <t>PCKG000006</t>
  </si>
  <si>
    <t>štítek GLS</t>
  </si>
  <si>
    <t>PCKG000007</t>
  </si>
  <si>
    <t>košilka</t>
  </si>
  <si>
    <t>STRP000008</t>
  </si>
  <si>
    <t>pruženka černá 40 mm</t>
  </si>
  <si>
    <t>STRP000009</t>
  </si>
  <si>
    <t>pruženka černá 25 mm</t>
  </si>
  <si>
    <t>STRP000010</t>
  </si>
  <si>
    <t>popruh černý POP 10 mm</t>
  </si>
  <si>
    <t>STRP000011</t>
  </si>
  <si>
    <t>popruh černý struktura POP 16 mm</t>
  </si>
  <si>
    <t>STRP000012</t>
  </si>
  <si>
    <t>popruh černý hladký POP 16 mm</t>
  </si>
  <si>
    <t>STRP000013</t>
  </si>
  <si>
    <t>popruh černý vroubkatý POP 25 mm</t>
  </si>
  <si>
    <t>STRP000014</t>
  </si>
  <si>
    <t>popruh černý dutinka PES 55 mm</t>
  </si>
  <si>
    <t>STRP000016</t>
  </si>
  <si>
    <t>popruh černý bavlna 25 mm</t>
  </si>
  <si>
    <t>STRP000017</t>
  </si>
  <si>
    <t>popruh černý bavlna 40 mm</t>
  </si>
  <si>
    <t>STRP000018</t>
  </si>
  <si>
    <t>popruh bílý POP 10 mm</t>
  </si>
  <si>
    <t>STRP000019</t>
  </si>
  <si>
    <t>popruh bílý PAD 20 mm</t>
  </si>
  <si>
    <t>STRP000020</t>
  </si>
  <si>
    <t>popruh bílý POP 20 mm</t>
  </si>
  <si>
    <t>STRP000021</t>
  </si>
  <si>
    <t>popruh bílý POP 25 mm</t>
  </si>
  <si>
    <t>STRP000022</t>
  </si>
  <si>
    <t>popruh přírodní bavlna 20 mm</t>
  </si>
  <si>
    <t>STRP000023</t>
  </si>
  <si>
    <t>popruh přírodní bavlna 30 mm</t>
  </si>
  <si>
    <t>STRP000024</t>
  </si>
  <si>
    <t>popruh královsky modrý POP 10 mm</t>
  </si>
  <si>
    <t>STRP000026</t>
  </si>
  <si>
    <t>popruh blankytně modrý POP 20 mm</t>
  </si>
  <si>
    <t>STRP000027</t>
  </si>
  <si>
    <t>popruh zářivě oranžový PES 10 mm</t>
  </si>
  <si>
    <t>STRP000028</t>
  </si>
  <si>
    <t>popruh zářivě oranžový PES 16 mm</t>
  </si>
  <si>
    <t>STRP000029</t>
  </si>
  <si>
    <t>popruh zářivě oranžový PES 20 mm</t>
  </si>
  <si>
    <t>STRP000030</t>
  </si>
  <si>
    <t>popruh zářivě oranžový PES 25 mm</t>
  </si>
  <si>
    <t>STRP000032</t>
  </si>
  <si>
    <t>popruh červený POP 10 mm</t>
  </si>
  <si>
    <t>STRP000033</t>
  </si>
  <si>
    <t>popruh červený POP 20 mm</t>
  </si>
  <si>
    <t>STRP000034</t>
  </si>
  <si>
    <t>popruh červený POP 25 mm</t>
  </si>
  <si>
    <t>STRP000035</t>
  </si>
  <si>
    <t>popruh zářivě zelený PES 10 mm</t>
  </si>
  <si>
    <t>STRP000036</t>
  </si>
  <si>
    <t>popruh žlutý POP 10 mm</t>
  </si>
  <si>
    <t>STRP000037</t>
  </si>
  <si>
    <t>popruh tmavě šedý POP 10 mm</t>
  </si>
  <si>
    <t>STRP000038</t>
  </si>
  <si>
    <t>popruh světle šedý PAD 20 mm</t>
  </si>
  <si>
    <t>STRP000039</t>
  </si>
  <si>
    <t>popruh desertní PES 20 mm</t>
  </si>
  <si>
    <t>STRP000040</t>
  </si>
  <si>
    <t>popruh fialový POP 20 mm</t>
  </si>
  <si>
    <t>STRP000041</t>
  </si>
  <si>
    <t>popruh fialový POP 25 mm</t>
  </si>
  <si>
    <t>STRP000042</t>
  </si>
  <si>
    <t>popruh khaki bavlna 35 mm</t>
  </si>
  <si>
    <t>STRP000043</t>
  </si>
  <si>
    <t>popruh pruhovaný č,o,z,m,ž 25 mm</t>
  </si>
  <si>
    <t>STRP000044</t>
  </si>
  <si>
    <t>popruh pruhovaný š,f,š 30 mm</t>
  </si>
  <si>
    <t>STRP000045</t>
  </si>
  <si>
    <t>pryžové vlákno černá PES</t>
  </si>
  <si>
    <t>STRP000046</t>
  </si>
  <si>
    <t>gumolano červené 4mm</t>
  </si>
  <si>
    <t>STRP000047</t>
  </si>
  <si>
    <t>gumolano černé 4mm</t>
  </si>
  <si>
    <t>STRP000048</t>
  </si>
  <si>
    <t>oděvní vázačka bílý PES 3,5mm</t>
  </si>
  <si>
    <t>STRP000049</t>
  </si>
  <si>
    <t>oděvní vázačka černý PES 3,5 mm</t>
  </si>
  <si>
    <t>STRP000050</t>
  </si>
  <si>
    <t>oděvní vázačka žlutý PES 3,5 mm</t>
  </si>
  <si>
    <t>STRP000051</t>
  </si>
  <si>
    <t>paracorde modrá 3,5 mm</t>
  </si>
  <si>
    <t>STRP000054</t>
  </si>
  <si>
    <t>automobilové pásy 45mm</t>
  </si>
  <si>
    <t>STRP000055</t>
  </si>
  <si>
    <t>dutinka zlatá PAD 20 mm</t>
  </si>
  <si>
    <t>STRP000056</t>
  </si>
  <si>
    <t>suché zipy 10 mm háček</t>
  </si>
  <si>
    <t>STRP000057</t>
  </si>
  <si>
    <t>suché zipy 10 mm plyš</t>
  </si>
  <si>
    <t>STRP000058</t>
  </si>
  <si>
    <t>suché zipy 25 mm háček</t>
  </si>
  <si>
    <t>STRP000059</t>
  </si>
  <si>
    <t>suché zipy 25 mm plyš</t>
  </si>
  <si>
    <t>STRP000063</t>
  </si>
  <si>
    <t>suché zipy 50 mm háček</t>
  </si>
  <si>
    <t>THRD000006</t>
  </si>
  <si>
    <t>Ultrapoly 30 zářivě růžová 345</t>
  </si>
  <si>
    <t>THRD000016</t>
  </si>
  <si>
    <t>Ultrapoly 30 neon žlutá 115</t>
  </si>
  <si>
    <t>pn</t>
  </si>
  <si>
    <t>com_name</t>
  </si>
  <si>
    <t>subcom_name</t>
  </si>
  <si>
    <t>Branding</t>
  </si>
  <si>
    <t/>
  </si>
  <si>
    <t>Látky</t>
  </si>
  <si>
    <t>Látky Asie</t>
  </si>
  <si>
    <t>Funkční látky</t>
  </si>
  <si>
    <t>Podšívkovina</t>
  </si>
  <si>
    <t>Padákovina</t>
  </si>
  <si>
    <t>Cordura</t>
  </si>
  <si>
    <t>X-Pac</t>
  </si>
  <si>
    <t>Potisklý PES</t>
  </si>
  <si>
    <t>Bavlna</t>
  </si>
  <si>
    <t>Podklad</t>
  </si>
  <si>
    <t>Výplně</t>
  </si>
  <si>
    <t>Hardware</t>
  </si>
  <si>
    <t>Kůže</t>
  </si>
  <si>
    <t>Popruh</t>
  </si>
  <si>
    <t>Nitě</t>
  </si>
  <si>
    <t>location_code</t>
  </si>
  <si>
    <t>SUM(QTY)</t>
  </si>
  <si>
    <t>Value_without labor CZK</t>
  </si>
  <si>
    <t>Value_with labor CZK</t>
  </si>
  <si>
    <t>Arsenale Black X-Pac</t>
  </si>
  <si>
    <t>ACSR000001</t>
  </si>
  <si>
    <t>Arsenale Yellow X-Pac</t>
  </si>
  <si>
    <t>ACSR000002</t>
  </si>
  <si>
    <t>Arsenale Purple X-Pac</t>
  </si>
  <si>
    <t>ACSR000003</t>
  </si>
  <si>
    <t>Kpz Black X-Pac</t>
  </si>
  <si>
    <t>ACSR000004</t>
  </si>
  <si>
    <t>Kpz Yellow X-Pac</t>
  </si>
  <si>
    <t>ACSR000005</t>
  </si>
  <si>
    <t>Kpz Purple X-Pac</t>
  </si>
  <si>
    <t>ACSR000006</t>
  </si>
  <si>
    <t>Canvas bag black</t>
  </si>
  <si>
    <t>ACSR000007</t>
  </si>
  <si>
    <t>Canvas bag ecru</t>
  </si>
  <si>
    <t>ACSR000008</t>
  </si>
  <si>
    <t>Cosmetic bag men black</t>
  </si>
  <si>
    <t>ACSR000009</t>
  </si>
  <si>
    <t>Cosmetic bag men khaki</t>
  </si>
  <si>
    <t>ACSR000010</t>
  </si>
  <si>
    <t>crossbody black</t>
  </si>
  <si>
    <t>ACSR000011</t>
  </si>
  <si>
    <t>crossbody dark grey</t>
  </si>
  <si>
    <t>ACSR000012</t>
  </si>
  <si>
    <t>crossbody navy</t>
  </si>
  <si>
    <t>ACSR000013</t>
  </si>
  <si>
    <t>crossbody khaki</t>
  </si>
  <si>
    <t>ACSR000014</t>
  </si>
  <si>
    <t>crossbody yellow</t>
  </si>
  <si>
    <t>ACSR000015</t>
  </si>
  <si>
    <t>crossbody grey</t>
  </si>
  <si>
    <t>ACSR000016</t>
  </si>
  <si>
    <t>crossbody tan</t>
  </si>
  <si>
    <t>ACSR000017</t>
  </si>
  <si>
    <t>Taska</t>
  </si>
  <si>
    <t>ACSR000018</t>
  </si>
  <si>
    <t>Georgina černá/šedá</t>
  </si>
  <si>
    <t>ACSR000019</t>
  </si>
  <si>
    <t>Georgina černá/zářivě oranžová</t>
  </si>
  <si>
    <t>ACSR000020</t>
  </si>
  <si>
    <t>Georgina bílá/žlutá</t>
  </si>
  <si>
    <t>ACSR000021</t>
  </si>
  <si>
    <t>Georgina bílá/oranžová</t>
  </si>
  <si>
    <t>ACSR000022</t>
  </si>
  <si>
    <t>Georgina khaki/šedá</t>
  </si>
  <si>
    <t>ACSR000023</t>
  </si>
  <si>
    <t>Georgina khaki/oranžová</t>
  </si>
  <si>
    <t>ACSR000024</t>
  </si>
  <si>
    <t>Pouche cordur black</t>
  </si>
  <si>
    <t>ACSR000025</t>
  </si>
  <si>
    <t>Pouche cordur khaki</t>
  </si>
  <si>
    <t>ACSR000026</t>
  </si>
  <si>
    <t>Pouche cordur purple</t>
  </si>
  <si>
    <t>ACSR000027</t>
  </si>
  <si>
    <t>Tyvek Cosmetic bag men</t>
  </si>
  <si>
    <t>ACSR000028</t>
  </si>
  <si>
    <t>Tyvek Cosmetic S</t>
  </si>
  <si>
    <t>ACSR000029</t>
  </si>
  <si>
    <t>Tyvek Cosmetic M</t>
  </si>
  <si>
    <t>ACSR000030</t>
  </si>
  <si>
    <t>Tyvek Cosmetic L</t>
  </si>
  <si>
    <t>ACSR000031</t>
  </si>
  <si>
    <t>Sacoche tyvek</t>
  </si>
  <si>
    <t>ACSR000032</t>
  </si>
  <si>
    <t>Tyvek Snackbag</t>
  </si>
  <si>
    <t>ACSR000033</t>
  </si>
  <si>
    <t>Sacoche parachute black</t>
  </si>
  <si>
    <t>ACSR000034</t>
  </si>
  <si>
    <t>Sacoche parachute khaki</t>
  </si>
  <si>
    <t>ACSR000035</t>
  </si>
  <si>
    <t>Sacoche x-pac black</t>
  </si>
  <si>
    <t>ACSR000036</t>
  </si>
  <si>
    <t>Sacoche x-pac yellow</t>
  </si>
  <si>
    <t>ACSR000037</t>
  </si>
  <si>
    <t>Sacoche x-pac purple</t>
  </si>
  <si>
    <t>ACSR000038</t>
  </si>
  <si>
    <t>Handlebar bag x-pac black</t>
  </si>
  <si>
    <t>ACSR000039</t>
  </si>
  <si>
    <t>Handlebar bag x-pac yellow</t>
  </si>
  <si>
    <t>ACSR000040</t>
  </si>
  <si>
    <t>Handlebar bag x-pac purple</t>
  </si>
  <si>
    <t>ACSR000041</t>
  </si>
  <si>
    <t>Cargo bag black</t>
  </si>
  <si>
    <t>ACSR000042</t>
  </si>
  <si>
    <t>Cargo bag khaki</t>
  </si>
  <si>
    <t>ACSR000043</t>
  </si>
  <si>
    <t>Handlebar bag cordura khaki</t>
  </si>
  <si>
    <t>ACSR000044</t>
  </si>
  <si>
    <t>Crossbody X-Pac black</t>
  </si>
  <si>
    <t>ACSR000045</t>
  </si>
  <si>
    <t>Crossbody X-Pac yellow</t>
  </si>
  <si>
    <t>ACSR000046</t>
  </si>
  <si>
    <t>Crossbody X-Pac purple</t>
  </si>
  <si>
    <t>ACSR000047</t>
  </si>
  <si>
    <t>Chest Buckle Closing</t>
  </si>
  <si>
    <t>ACSR000048</t>
  </si>
  <si>
    <t>Bederní pás S</t>
  </si>
  <si>
    <t>ACSR000049</t>
  </si>
  <si>
    <t>Bederní pás M</t>
  </si>
  <si>
    <t>ACSR000050</t>
  </si>
  <si>
    <t>Ayo canvas</t>
  </si>
  <si>
    <t>Ayo cordura black</t>
  </si>
  <si>
    <t>Ayo cordura grey/black</t>
  </si>
  <si>
    <t>Ayo cordura navy/black</t>
  </si>
  <si>
    <t>Ayo cordura tan/black</t>
  </si>
  <si>
    <t>Ayo cordura khlaki/black</t>
  </si>
  <si>
    <t>Arne x-pac Black</t>
  </si>
  <si>
    <t>Arne x-pac NTB Black</t>
  </si>
  <si>
    <t>Arne x-pac purple</t>
  </si>
  <si>
    <t>Arne x-pac NTB purple</t>
  </si>
  <si>
    <t>Arne x-pac yellow</t>
  </si>
  <si>
    <t>Arne x-pac NTB yellow</t>
  </si>
  <si>
    <t>Arne x-pac grey</t>
  </si>
  <si>
    <t>Arne x-pac NTB grey</t>
  </si>
  <si>
    <t>Arne x-pac white</t>
  </si>
  <si>
    <t>Arne x-pac NTB white</t>
  </si>
  <si>
    <t>Wicker AI x-Pac</t>
  </si>
  <si>
    <t>Evo II black</t>
  </si>
  <si>
    <t>Evo II khaki</t>
  </si>
  <si>
    <t>Evo II tan</t>
  </si>
  <si>
    <t>Evo II navy</t>
  </si>
  <si>
    <t>Evo II Black X-Pac</t>
  </si>
  <si>
    <t>Evo II yellow X-Pac</t>
  </si>
  <si>
    <t>Evo II purple X-Pac</t>
  </si>
  <si>
    <t>Evo II white X-Pac</t>
  </si>
  <si>
    <t>Roger black</t>
  </si>
  <si>
    <t>Roger khaki</t>
  </si>
  <si>
    <t>Haak</t>
  </si>
  <si>
    <t>Hanna</t>
  </si>
  <si>
    <t>BGPK000079</t>
  </si>
  <si>
    <t>Hertil x-pac black</t>
  </si>
  <si>
    <t>BGPK000080</t>
  </si>
  <si>
    <t>Hertil x-pac yellow</t>
  </si>
  <si>
    <t>BGPK000081</t>
  </si>
  <si>
    <t>Hertil x-pac purple</t>
  </si>
  <si>
    <t>BGPK000082</t>
  </si>
  <si>
    <t>Hertil x-pac white</t>
  </si>
  <si>
    <t>BGPK000083</t>
  </si>
  <si>
    <t>Kira black</t>
  </si>
  <si>
    <t>BGPK000084</t>
  </si>
  <si>
    <t>Kira khaki</t>
  </si>
  <si>
    <t>BGPK000085</t>
  </si>
  <si>
    <t>Kira orange</t>
  </si>
  <si>
    <t>BGPK000086</t>
  </si>
  <si>
    <t>Kira navy</t>
  </si>
  <si>
    <t>BGPK000087</t>
  </si>
  <si>
    <t>Kira dark grey</t>
  </si>
  <si>
    <t>BGPK000088</t>
  </si>
  <si>
    <t>Levo black</t>
  </si>
  <si>
    <t>BGPK000089</t>
  </si>
  <si>
    <t>Levo dark grey</t>
  </si>
  <si>
    <t>BGPK000090</t>
  </si>
  <si>
    <t>Levo khaki</t>
  </si>
  <si>
    <t>BGPK000091</t>
  </si>
  <si>
    <t>Levo navy</t>
  </si>
  <si>
    <t>BGPK000092</t>
  </si>
  <si>
    <t>BGPK000093</t>
  </si>
  <si>
    <t>BGPK000094</t>
  </si>
  <si>
    <t>BGPK000095</t>
  </si>
  <si>
    <t>BGPK000096</t>
  </si>
  <si>
    <t>BGPK000097</t>
  </si>
  <si>
    <t>BGPK000098</t>
  </si>
  <si>
    <t>BGPK000099</t>
  </si>
  <si>
    <t>BGPK000100</t>
  </si>
  <si>
    <t>BGPK000101</t>
  </si>
  <si>
    <t>BGPK000102</t>
  </si>
  <si>
    <t>BGPK000103</t>
  </si>
  <si>
    <t>Mika black</t>
  </si>
  <si>
    <t>BGPK000104</t>
  </si>
  <si>
    <t>BGPK000105</t>
  </si>
  <si>
    <t>BGPK000106</t>
  </si>
  <si>
    <t>BGPK000107</t>
  </si>
  <si>
    <t>BGPK000108</t>
  </si>
  <si>
    <t>BGPK000109</t>
  </si>
  <si>
    <t>BGPK000110</t>
  </si>
  <si>
    <t>BGPK000111</t>
  </si>
  <si>
    <t>Ayo S</t>
  </si>
  <si>
    <t>BGPK000112</t>
  </si>
  <si>
    <t>FBRK000116</t>
  </si>
  <si>
    <t>Tyvek</t>
  </si>
  <si>
    <t>FLNG000005</t>
  </si>
  <si>
    <t>PP 2,5mm plastkarton</t>
  </si>
  <si>
    <t>STRP000064</t>
  </si>
  <si>
    <t>popruh kroucený</t>
  </si>
  <si>
    <t>Bavlna CZ přírodní</t>
  </si>
  <si>
    <t>CZK/EUR:</t>
  </si>
  <si>
    <t>AMO01</t>
  </si>
  <si>
    <t>LAB01</t>
  </si>
  <si>
    <t>PAC01</t>
  </si>
  <si>
    <t>PRE01</t>
  </si>
  <si>
    <t>TRA01</t>
  </si>
  <si>
    <t>TRA02</t>
  </si>
  <si>
    <t>TRA03</t>
  </si>
  <si>
    <t>TRA04</t>
  </si>
  <si>
    <t>TRA05</t>
  </si>
  <si>
    <t>Doprava ČR Zásilkovna</t>
  </si>
  <si>
    <t>Doprava ČR GLS</t>
  </si>
  <si>
    <t>Doprava GLS EU</t>
  </si>
  <si>
    <t>Doprava Svět</t>
  </si>
  <si>
    <t>Bez dopravy</t>
  </si>
  <si>
    <t>Siti</t>
  </si>
  <si>
    <t>Priprava_vyroby</t>
  </si>
  <si>
    <t>Total_CZK</t>
  </si>
  <si>
    <t>Total_EUR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</si>
</sst>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Kč&quot;"/>
    <numFmt numFmtId="165" formatCode="_-* #,##0.00\ [$€-1]_-;\-* #,##0.00\ [$€-1]_-;_-* &quot;-&quot;??\ [$€-1]_-;_-@_-"/>
    <numFmt numFmtId="166" formatCode="_-* #,##0.00\ [$Kč-405]_-;\-* #,##0.00\ [$Kč-405]_-;_-* &quot;-&quot;??\ [$Kč-405]_-;_-@_-"/>
  </numFmts>
  <fonts count="8" x14ac:knownFonts="1">
    <font>
      <sz val="10"/>
      <color theme="1"/>
      <name val="Calibri"/>
      <family val="2"/>
      <charset val="238"/>
    </font>
    <font>
      <b/>
      <sz val="10"/>
      <color theme="0"/>
      <name val="Calibri"/>
      <family val="2"/>
      <charset val="238"/>
    </font>
    <font>
      <sz val="8"/>
      <name val="Calibri"/>
      <family val="2"/>
      <charset val="238"/>
    </font>
    <font>
      <b/>
      <sz val="10"/>
      <color rgb="FFFFFFFF"/>
      <name val="Calibri"/>
      <family val="2"/>
    </font>
    <font>
      <b/>
      <sz val="14"/>
      <color rgb="FFFFFFFF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i/>
      <sz val="10"/>
      <color rgb="FF7F7F7F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156082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1" xfId="0" applyBorder="1"/>
    <xf numFmtId="0" fontId="3" fillId="3" borderId="0" xfId="0" applyFont="1" applyFill="1"/>
    <xf numFmtId="0" fontId="1" fillId="2" borderId="2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165" fontId="0" fillId="0" borderId="0" xfId="0" applyNumberForma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4" fillId="3" borderId="3" xfId="0" applyFont="1" applyFill="1" applyBorder="1"/>
    <xf numFmtId="164" fontId="5" fillId="4" borderId="2" xfId="0" applyNumberFormat="1" applyFont="1" applyFill="1" applyBorder="1" applyAlignment="1">
      <alignment horizontal="center"/>
    </xf>
    <xf numFmtId="165" fontId="5" fillId="4" borderId="4" xfId="0" applyNumberFormat="1" applyFont="1" applyFill="1" applyBorder="1"/>
    <xf numFmtId="166" fontId="0" fillId="0" borderId="0" xfId="0" applyNumberFormat="1"/>
    <xf numFmtId="165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166" fontId="4" fillId="3" borderId="3" xfId="0" applyNumberFormat="1" applyFont="1" applyFill="1" applyBorder="1"/>
    <xf numFmtId="0" fontId="6" fillId="0" borderId="0" xfId="0" applyFont="1" applyAlignment="1" applyProtection="1">
      <alignment horizontal="right" vertical="center"/>
      <protection locked="0"/>
    </xf>
    <xf numFmtId="166" fontId="6" fillId="0" borderId="0" xfId="0" applyNumberFormat="1" applyFont="1" applyAlignment="1" applyProtection="1">
      <alignment horizontal="left" vertical="center"/>
      <protection locked="0"/>
    </xf>
    <xf numFmtId="0" fontId="7" fillId="0" borderId="0" xfId="1" applyProtection="1">
      <protection locked="0"/>
    </xf>
    <xf numFmtId="164" fontId="5" fillId="4" borderId="1" xfId="0" applyNumberFormat="1" applyFont="1" applyFill="1" applyBorder="1" applyAlignment="1">
      <alignment horizontal="center"/>
    </xf>
    <xf numFmtId="164" fontId="5" fillId="4" borderId="2" xfId="0" applyNumberFormat="1" applyFont="1" applyFill="1" applyBorder="1" applyAlignment="1">
      <alignment horizontal="center"/>
    </xf>
  </cellXfs>
  <cellStyles count="2">
    <cellStyle name="Explanatory Text" xfId="1" builtinId="53"/>
    <cellStyle name="Normal" xfId="0" builtinId="0"/>
  </cellStyles>
  <dxfs count="3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_-* #,##0.00\ [$Kč-405]_-;\-* #,##0.00\ [$Kč-405]_-;_-* &quot;-&quot;??\ [$Kč-405]_-;_-@_-"/>
    </dxf>
    <dxf>
      <numFmt numFmtId="166" formatCode="_-* #,##0.00\ [$Kč-405]_-;\-* #,##0.00\ [$Kč-405]_-;_-* &quot;-&quot;??\ [$Kč-405]_-;_-@_-"/>
    </dxf>
    <dxf>
      <numFmt numFmtId="166" formatCode="_-* #,##0.00\ [$Kč-405]_-;\-* #,##0.00\ [$Kč-405]_-;_-* &quot;-&quot;??\ [$Kč-405]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_-* #,##0.00\ [$€-1]_-;\-* #,##0.00\ [$€-1]_-;_-* &quot;-&quot;??\ [$€-1]_-;_-@_-"/>
      <alignment horizontal="center" vertical="bottom" textRotation="0" wrapText="0" indent="0" justifyLastLine="0" shrinkToFit="0" readingOrder="0"/>
      <protection locked="0" hidden="0"/>
    </dxf>
    <dxf>
      <numFmt numFmtId="166" formatCode="_-* #,##0.00\ [$Kč-405]_-;\-* #,##0.00\ [$Kč-405]_-;_-* &quot;-&quot;??\ [$Kč-405]_-;_-@_-"/>
      <alignment horizontal="center" vertical="bottom" textRotation="0" wrapText="0" indent="0" justifyLastLine="0" shrinkToFit="0" readingOrder="0"/>
      <protection locked="0" hidden="0"/>
    </dxf>
    <dxf>
      <numFmt numFmtId="166" formatCode="_-* #,##0.00\ [$Kč-405]_-;\-* #,##0.00\ [$Kč-405]_-;_-* &quot;-&quot;??\ [$Kč-405]_-;_-@_-"/>
      <alignment horizontal="center" vertical="bottom" textRotation="0" wrapText="0" indent="0" justifyLastLine="0" shrinkToFit="0" readingOrder="0"/>
      <protection locked="0" hidden="0"/>
    </dxf>
    <dxf>
      <numFmt numFmtId="166" formatCode="_-* #,##0.00\ [$Kč-405]_-;\-* #,##0.00\ [$Kč-405]_-;_-* &quot;-&quot;??\ [$Kč-405]_-;_-@_-"/>
      <alignment horizontal="center" vertical="bottom" textRotation="0" wrapText="0" indent="0" justifyLastLine="0" shrinkToFit="0" readingOrder="0"/>
      <protection locked="0" hidden="0"/>
    </dxf>
    <dxf>
      <numFmt numFmtId="166" formatCode="_-* #,##0.00\ [$Kč-405]_-;\-* #,##0.00\ [$Kč-405]_-;_-* &quot;-&quot;??\ [$Kč-405]_-;_-@_-"/>
      <alignment horizontal="center" vertical="bottom" textRotation="0" wrapText="0" indent="0" justifyLastLine="0" shrinkToFit="0" readingOrder="0"/>
      <protection locked="0" hidden="0"/>
    </dxf>
    <dxf>
      <numFmt numFmtId="166" formatCode="_-* #,##0.00\ [$Kč-405]_-;\-* #,##0.00\ [$Kč-405]_-;_-* &quot;-&quot;??\ [$Kč-405]_-;_-@_-"/>
      <alignment horizontal="center" vertical="bottom" textRotation="0" wrapText="0" indent="0" justifyLastLine="0" shrinkToFit="0" readingOrder="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6" formatCode="_-* #,##0.00\ [$Kč-405]_-;\-* #,##0.00\ [$Kč-405]_-;_-* &quot;-&quot;??\ [$Kč-405]_-;_-@_-"/>
      <alignment horizontal="center" vertical="bottom" textRotation="0" wrapText="0" indent="0" justifyLastLine="0" shrinkToFit="0" readingOrder="0"/>
      <protection locked="0" hidden="0"/>
    </dxf>
    <dxf>
      <numFmt numFmtId="165" formatCode="_-* #,##0.00\ [$€-1]_-;\-* #,##0.00\ [$€-1]_-;_-* &quot;-&quot;??\ [$€-1]_-;_-@_-"/>
      <protection locked="0" hidden="0"/>
    </dxf>
    <dxf>
      <numFmt numFmtId="164" formatCode="#,##0.00\ &quot;Kč&quot;"/>
      <alignment horizontal="center" vertical="bottom" textRotation="0" wrapText="0" indent="0" justifyLastLine="0" shrinkToFit="0" readingOrder="0"/>
      <protection locked="1" hidden="0"/>
    </dxf>
    <dxf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762000</xdr:colOff>
          <xdr:row>3</xdr:row>
          <xdr:rowOff>9525</xdr:rowOff>
        </xdr:from>
        <xdr:to>
          <xdr:col>1</xdr:col>
          <xdr:colOff>1914525</xdr:colOff>
          <xdr:row>4</xdr:row>
          <xdr:rowOff>66675</xdr:rowOff>
        </xdr:to>
        <xdr:sp macro="" textlink="">
          <xdr:nvSpPr>
            <xdr:cNvPr id="4099" name="ComboBox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</xdr:row>
          <xdr:rowOff>28575</xdr:rowOff>
        </xdr:from>
        <xdr:to>
          <xdr:col>2</xdr:col>
          <xdr:colOff>1085850</xdr:colOff>
          <xdr:row>4</xdr:row>
          <xdr:rowOff>76200</xdr:rowOff>
        </xdr:to>
        <xdr:sp macro="" textlink="">
          <xdr:nvSpPr>
            <xdr:cNvPr id="4100" name="ComboBox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1114425</xdr:colOff>
          <xdr:row>5</xdr:row>
          <xdr:rowOff>28575</xdr:rowOff>
        </xdr:from>
        <xdr:to>
          <xdr:col>6</xdr:col>
          <xdr:colOff>47625</xdr:colOff>
          <xdr:row>7</xdr:row>
          <xdr:rowOff>95250</xdr:rowOff>
        </xdr:to>
        <xdr:sp macro="" textlink="">
          <xdr:nvSpPr>
            <xdr:cNvPr id="4103" name="Cost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1104900</xdr:colOff>
          <xdr:row>8</xdr:row>
          <xdr:rowOff>28575</xdr:rowOff>
        </xdr:from>
        <xdr:to>
          <xdr:col>6</xdr:col>
          <xdr:colOff>38100</xdr:colOff>
          <xdr:row>10</xdr:row>
          <xdr:rowOff>95250</xdr:rowOff>
        </xdr:to>
        <xdr:sp macro="" textlink="">
          <xdr:nvSpPr>
            <xdr:cNvPr id="4106" name="EditPriceButto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1095375</xdr:colOff>
          <xdr:row>11</xdr:row>
          <xdr:rowOff>19050</xdr:rowOff>
        </xdr:from>
        <xdr:to>
          <xdr:col>6</xdr:col>
          <xdr:colOff>28575</xdr:colOff>
          <xdr:row>13</xdr:row>
          <xdr:rowOff>85725</xdr:rowOff>
        </xdr:to>
        <xdr:sp macro="" textlink="">
          <xdr:nvSpPr>
            <xdr:cNvPr id="4107" name="RefreshCalcButto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57150</xdr:rowOff>
        </xdr:from>
        <xdr:to>
          <xdr:col>1</xdr:col>
          <xdr:colOff>1666875</xdr:colOff>
          <xdr:row>1</xdr:row>
          <xdr:rowOff>190500</xdr:rowOff>
        </xdr:to>
        <xdr:sp macro="" textlink="">
          <xdr:nvSpPr>
            <xdr:cNvPr id="5121" name="RefreshCalcOverviewButto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79FE8EC-D603-4A3B-AB02-E29B0645833B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product_name" tableColumnId="1"/>
      <queryTableField id="2" name="product_code" tableColumnId="2"/>
      <queryTableField id="3" name="Materiál" tableColumnId="3"/>
      <queryTableField id="4" name="Amortizace" tableColumnId="4"/>
      <queryTableField id="5" name="Siti" tableColumnId="5"/>
      <queryTableField id="6" name="Priprava_vyroby" tableColumnId="6"/>
      <queryTableField id="7" name="Total_CZK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D88AADC-0CCB-47E1-BD7A-8AF232FA79B8}" autoFormatId="16" applyNumberFormats="0" applyBorderFormats="0" applyFontFormats="0" applyPatternFormats="0" applyAlignmentFormats="0" applyWidthHeightFormats="0">
  <queryTableRefresh nextId="11">
    <queryTableFields count="8">
      <queryTableField id="7" name="pn" tableColumnId="7"/>
      <queryTableField id="2" name="description" tableColumnId="2"/>
      <queryTableField id="3" name="qty" tableColumnId="3"/>
      <queryTableField id="4" name="unit_code" tableColumnId="4"/>
      <queryTableField id="5" name="inv_value" tableColumnId="5"/>
      <queryTableField id="6" name="total" tableColumnId="6"/>
      <queryTableField id="8" name="com_name" tableColumnId="8"/>
      <queryTableField id="9" name="subcom_name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15D3C75D-EB8C-46F2-B9A0-98F961205094}" autoFormatId="16" applyNumberFormats="0" applyBorderFormats="0" applyFontFormats="0" applyPatternFormats="0" applyAlignmentFormats="0" applyWidthHeightFormats="0">
  <queryTableRefresh nextId="6">
    <queryTableFields count="3">
      <queryTableField id="1" name="com_name" tableColumnId="1"/>
      <queryTableField id="2" name="subcom_name" tableColumnId="2"/>
      <queryTableField id="5" name="total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80F2EB34-C0C0-4362-B482-9772C52B4ADB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product_code" tableColumnId="1"/>
      <queryTableField id="2" name="product_name" tableColumnId="2"/>
      <queryTableField id="3" name="location_code" tableColumnId="3"/>
      <queryTableField id="4" name="SUM(QTY)" tableColumnId="4"/>
      <queryTableField id="5" dataBound="0" tableColumnId="5"/>
      <queryTableField id="6" dataBound="0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8F99A095-6335-4DF1-BDEF-2D95024BFDA6}" autoFormatId="16" applyNumberFormats="0" applyBorderFormats="0" applyFontFormats="0" applyPatternFormats="0" applyAlignmentFormats="0" applyWidthHeightFormats="0">
  <queryTableRefresh nextId="10">
    <queryTableFields count="7">
      <queryTableField id="2" name="product_name" tableColumnId="2"/>
      <queryTableField id="1" name="product_code" tableColumnId="1"/>
      <queryTableField id="3" name="part_number" tableColumnId="3"/>
      <queryTableField id="8" name="description" tableColumnId="7"/>
      <queryTableField id="4" name="usage" tableColumnId="4"/>
      <queryTableField id="5" name="inv_value" tableColumnId="5"/>
      <queryTableField id="6" name="total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853DD509-71F8-4910-B132-E3EB9DE885AC}" autoFormatId="16" applyNumberFormats="0" applyBorderFormats="0" applyFontFormats="0" applyPatternFormats="0" applyAlignmentFormats="0" applyWidthHeightFormats="0">
  <queryTableRefresh nextId="7">
    <queryTableFields count="2">
      <queryTableField id="5" name="product_name" tableColumnId="4"/>
      <queryTableField id="1" name="product_code" tableColumnId="1"/>
    </queryTableFields>
    <queryTableDeletedFields count="1">
      <deletedField name="product_name"/>
    </queryTableDeleted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52632B13-31F8-4052-8F1B-234B68BB4728}" autoFormatId="16" applyNumberFormats="0" applyBorderFormats="0" applyFontFormats="0" applyPatternFormats="0" applyAlignmentFormats="0" applyWidthHeightFormats="0">
  <queryTableRefresh nextId="6">
    <queryTableFields count="4">
      <queryTableField id="1" name="product_code" tableColumnId="1"/>
      <queryTableField id="2" name="type" tableColumnId="2"/>
      <queryTableField id="4" name="description" tableColumnId="4"/>
      <queryTableField id="3" name="price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CB30A6F5-AD3B-4F6D-B2F9-9D0AE1F2E4CF}" autoFormatId="16" applyNumberFormats="0" applyBorderFormats="0" applyFontFormats="0" applyPatternFormats="0" applyAlignmentFormats="0" applyWidthHeightFormats="0">
  <queryTableRefresh nextId="2">
    <queryTableFields count="1">
      <queryTableField id="1" name="description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5" xr16:uid="{4E49ADCF-A3D7-4A3F-8BAA-6F41E99169C3}" autoFormatId="16" applyNumberFormats="0" applyBorderFormats="0" applyFontFormats="0" applyPatternFormats="0" applyAlignmentFormats="0" applyWidthHeightFormats="0">
  <queryTableRefresh nextId="2">
    <queryTableFields count="1">
      <queryTableField id="1" name="description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467DF2-9DB1-4371-910D-350F186000C5}" name="Table3" displayName="Table3" ref="B7:D13" totalsRowShown="0" headerRowDxfId="33" dataDxfId="32">
  <tableColumns count="3">
    <tableColumn id="1" xr3:uid="{EC033580-864E-4A76-8221-9BD25C959786}" name="Náklad" dataDxfId="31"/>
    <tableColumn id="2" xr3:uid="{54BBDE23-A8B7-47FD-858B-8E413E2F70B7}" name="Hodnota CZK" dataDxfId="30">
      <calculatedColumnFormula>SUBTOTAL(9,G22:G103)</calculatedColumnFormula>
    </tableColumn>
    <tableColumn id="3" xr3:uid="{671AB8B1-0814-4B24-8B3A-D54456922EB4}" name="Hodnota EUR" dataDxfId="29">
      <calculatedColumnFormula>IFERROR(Table3[[#This Row],[Hodnota CZK]]/$D$1,"")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9D43AEA-9BFD-4C1A-A2F2-81FEF5B375B4}" name="Calc_overview" displayName="Calc_overview" ref="B4:I166" tableType="queryTable" totalsRowShown="0" headerRowDxfId="28" dataDxfId="27">
  <autoFilter ref="B4:I166" xr:uid="{29D43AEA-9BFD-4C1A-A2F2-81FEF5B375B4}"/>
  <sortState xmlns:xlrd2="http://schemas.microsoft.com/office/spreadsheetml/2017/richdata2" ref="B5:I166">
    <sortCondition descending="1" ref="H4:H166"/>
  </sortState>
  <tableColumns count="8">
    <tableColumn id="1" xr3:uid="{9B6C5F72-D05F-4A9F-9D41-C56D34EA16E0}" uniqueName="1" name="product_name" queryTableFieldId="1" dataDxfId="26"/>
    <tableColumn id="2" xr3:uid="{750BD741-AB36-47E2-88B5-34B0D80AB41C}" uniqueName="2" name="product_code" queryTableFieldId="2" dataDxfId="25"/>
    <tableColumn id="3" xr3:uid="{796FAB5F-7EFF-42D3-92A1-8FBC8DC79638}" uniqueName="3" name="Materiál" queryTableFieldId="3" dataDxfId="24"/>
    <tableColumn id="4" xr3:uid="{0B039EA4-9F14-472E-B39E-F778B0497495}" uniqueName="4" name="Amortizace" queryTableFieldId="4" dataDxfId="23"/>
    <tableColumn id="5" xr3:uid="{1CB33BF5-F8F4-43BE-A51F-C52805D3806A}" uniqueName="5" name="Siti" queryTableFieldId="5" dataDxfId="22"/>
    <tableColumn id="6" xr3:uid="{47C64A1E-C422-45AF-B119-0D85B5E84B24}" uniqueName="6" name="Priprava_vyroby" queryTableFieldId="6" dataDxfId="21"/>
    <tableColumn id="7" xr3:uid="{AB08B70B-DBC9-49F4-940F-B4FD68823CE3}" uniqueName="7" name="Total_CZK" queryTableFieldId="7" dataDxfId="20"/>
    <tableColumn id="8" xr3:uid="{0E6B1A68-AAF8-4F0B-8FB3-32979F76F0C9}" uniqueName="8" name="Total_EUR" queryTableFieldId="8" dataDxfId="19">
      <calculatedColumnFormula>Calc_overview[[#This Row],[Total_CZK]]/Calc!$D$1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F14239-F971-4C3B-A61B-18B4C546E2A7}" name="material_value" displayName="material_value" ref="B4:I417" tableType="queryTable" totalsRowShown="0">
  <sortState xmlns:xlrd2="http://schemas.microsoft.com/office/spreadsheetml/2017/richdata2" ref="B5:I417">
    <sortCondition descending="1" ref="G4:G417"/>
  </sortState>
  <tableColumns count="8">
    <tableColumn id="7" xr3:uid="{8E185A57-C964-43E0-9E4A-FA14209F08FB}" uniqueName="7" name="pn" queryTableFieldId="7" dataDxfId="18"/>
    <tableColumn id="2" xr3:uid="{8A84B29F-02C9-469B-93EF-24E7313FB93F}" uniqueName="2" name="description" queryTableFieldId="2" dataDxfId="17"/>
    <tableColumn id="3" xr3:uid="{38DB2DAA-E3AB-4A37-88FB-D4EA31495BD8}" uniqueName="3" name="qty" queryTableFieldId="3"/>
    <tableColumn id="4" xr3:uid="{32E685F7-7745-4AC3-8139-DDFFCA4C967E}" uniqueName="4" name="unit_code" queryTableFieldId="4" dataDxfId="16"/>
    <tableColumn id="5" xr3:uid="{73ED43B7-0E39-4E71-A401-28E1FE6AEFEB}" uniqueName="5" name="inv_value" queryTableFieldId="5"/>
    <tableColumn id="6" xr3:uid="{73DC75F0-6B61-4ABC-B2FE-D2E666D85FD1}" uniqueName="6" name="total" queryTableFieldId="6"/>
    <tableColumn id="8" xr3:uid="{15F44B56-5F03-44BE-A53F-D499D4B34998}" uniqueName="8" name="com_name" queryTableFieldId="8" dataDxfId="15"/>
    <tableColumn id="9" xr3:uid="{F46B4A6D-E198-4CA8-A8CB-03B1170480B2}" uniqueName="9" name="subcom_name" queryTableFieldId="9" dataDxfId="1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3CEF91-FEB4-4176-AEA9-48AFA33F3CBE}" name="material_com_value" displayName="material_com_value" ref="K4:M20" tableType="queryTable" totalsRowShown="0">
  <autoFilter ref="K4:M20" xr:uid="{753CEF91-FEB4-4176-AEA9-48AFA33F3CBE}"/>
  <tableColumns count="3">
    <tableColumn id="1" xr3:uid="{6FFF70EF-014D-4F40-B4D6-01FD57471846}" uniqueName="1" name="com_name" queryTableFieldId="1" dataDxfId="13"/>
    <tableColumn id="2" xr3:uid="{9FECAC06-C0A4-44F5-84CF-962F20FD01F8}" uniqueName="2" name="subcom_name" queryTableFieldId="2" dataDxfId="12"/>
    <tableColumn id="5" xr3:uid="{4858F65D-B992-476A-83FA-63CA07990E7E}" uniqueName="5" name="total" queryTableFieldId="5" dataDxfId="11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26380C9-A2B7-4A7F-BD9E-B221DC31250E}" name="Query1" displayName="Query1" ref="B4:G5" tableType="queryTable" insertRow="1" totalsRowShown="0">
  <tableColumns count="6">
    <tableColumn id="1" xr3:uid="{92600D9D-DB0A-423D-AB92-5C4F1BF71A1C}" uniqueName="1" name="product_code" queryTableFieldId="1"/>
    <tableColumn id="2" xr3:uid="{26625AD7-773E-4719-8109-73AC3EB3C442}" uniqueName="2" name="product_name" queryTableFieldId="2"/>
    <tableColumn id="3" xr3:uid="{92336ACF-E8D8-4E63-9EBE-961E99624C43}" uniqueName="3" name="location_code" queryTableFieldId="3"/>
    <tableColumn id="4" xr3:uid="{7E370A60-2DAC-48CE-B645-94275223B01D}" uniqueName="4" name="SUM(QTY)" queryTableFieldId="4"/>
    <tableColumn id="5" xr3:uid="{0DF1ED82-8FAE-4AA0-9FD4-4E2C18386467}" uniqueName="5" name="Value_without labor CZK" queryTableFieldId="5" dataDxfId="10">
      <calculatedColumnFormula>IFERROR(VLOOKUP(Query1[[#This Row],[product_code]],'Calc_overview'!C:D,2,0),"not defined")*Query1[[#This Row],[SUM(QTY)]]</calculatedColumnFormula>
    </tableColumn>
    <tableColumn id="6" xr3:uid="{3A4EFF33-1007-4DA3-B77A-A2076D51C10F}" uniqueName="6" name="Value_with labor CZK" queryTableFieldId="6" dataDxfId="9">
      <calculatedColumnFormula>IFERROR(VLOOKUP(Query1[[#This Row],[product_code]],'Calc_overview'!C:H,6,0),"not defined")*Query1[[#This Row],[SUM(QTY)]]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EF25D4-AB0C-4AF0-961E-846B1552675C}" name="values" displayName="values" ref="A1:G3609" tableType="queryTable" totalsRowShown="0">
  <tableColumns count="7">
    <tableColumn id="2" xr3:uid="{0795BB4A-1F30-48C1-9781-023A5E45E317}" uniqueName="2" name="product_name" queryTableFieldId="2" dataDxfId="8"/>
    <tableColumn id="1" xr3:uid="{9CB94743-23BF-44CB-9973-623AB6E5555E}" uniqueName="1" name="product_code" queryTableFieldId="1" dataDxfId="7"/>
    <tableColumn id="3" xr3:uid="{FD6BA08F-C7FE-4A5E-A901-1BA3CA56A1E1}" uniqueName="3" name="part_number" queryTableFieldId="3" dataDxfId="6"/>
    <tableColumn id="7" xr3:uid="{B7E57CC4-AEFE-4026-8F5F-CCDD5D265ACB}" uniqueName="7" name="description" queryTableFieldId="8" dataDxfId="5"/>
    <tableColumn id="4" xr3:uid="{2CAC9033-53DA-40CC-93B1-E2774C09E4CA}" uniqueName="4" name="usage" queryTableFieldId="4"/>
    <tableColumn id="5" xr3:uid="{3EEAE442-4E96-4768-8ACB-4A1B9D4D8FB8}" uniqueName="5" name="inv_value" queryTableFieldId="5"/>
    <tableColumn id="6" xr3:uid="{FAFDDBB8-DF32-49AF-BEE3-9EC46A335733}" uniqueName="6" name="total" queryTableField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4AAF33-A01B-42A7-8F75-1B0E00CA8146}" name="overview" displayName="overview" ref="I1:J163" tableType="queryTable" totalsRowShown="0">
  <tableColumns count="2">
    <tableColumn id="4" xr3:uid="{77EFF69F-DD42-49E5-BEF3-9CF9F16817FF}" uniqueName="4" name="product_name" queryTableFieldId="5" dataDxfId="4"/>
    <tableColumn id="1" xr3:uid="{2F43FA58-65B9-408F-9711-C44E20DAEC3B}" uniqueName="1" name="product_code" queryTableFieldId="1" dataDxfId="3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261017-B3A4-4ECD-A62F-4DFF0F8DCA82}" name="bom_costs" displayName="bom_costs" ref="T1:W1459" tableType="queryTable" totalsRowShown="0">
  <tableColumns count="4">
    <tableColumn id="1" xr3:uid="{AB4FF6A9-A4C2-425A-9691-C5F3DA8ED87C}" uniqueName="1" name="product_code" queryTableFieldId="1" dataDxfId="2"/>
    <tableColumn id="2" xr3:uid="{A0B4CD49-9DC8-4708-B347-DCF2597D8D8D}" uniqueName="2" name="type" queryTableFieldId="2" dataDxfId="1"/>
    <tableColumn id="4" xr3:uid="{D415EF2B-94C4-4148-B549-A180BA69716A}" uniqueName="4" name="description" queryTableFieldId="4"/>
    <tableColumn id="3" xr3:uid="{46F4CE05-BB69-4AC0-BFAE-728FEE9E889B}" uniqueName="3" name="price" queryTableFieldId="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8A51A8-1D7C-4798-BCE7-25BFB6B083A2}" name="transport" displayName="transport" ref="R1:R6" tableType="queryTable" totalsRowShown="0">
  <tableColumns count="1">
    <tableColumn id="1" xr3:uid="{B93E1862-80F8-4E06-9247-32668CCBFC7B}" uniqueName="1" name="description" queryTableFieldId="1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AFDEA0A-838A-4A92-8DF3-33D2A97A2228}" name="other_costs" displayName="other_costs" ref="N1:N5" tableType="queryTable" totalsRowShown="0">
  <tableColumns count="1">
    <tableColumn id="1" xr3:uid="{05E3EA5C-7917-4EE4-B0A2-725836304F7E}" uniqueName="1" name="description" queryTableFieldId="1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1B3BA-7CB1-486D-920F-187FA59E8567}">
  <sheetPr codeName="Sheet1"/>
  <dimension ref="B1:J48"/>
  <sheetViews>
    <sheetView showGridLines="0" tabSelected="1" zoomScaleNormal="100" workbookViewId="0">
      <selection activeCell="D4" sqref="D4"/>
    </sheetView>
  </sheetViews>
  <sheetFormatPr defaultRowHeight="12.75" x14ac:dyDescent="0.2"/>
  <cols>
    <col min="1" max="1" width="11.7109375" style="4" bestFit="1" customWidth="1"/>
    <col min="2" max="2" width="30.28515625" style="4" customWidth="1"/>
    <col min="3" max="3" width="17.140625" style="4" customWidth="1"/>
    <col min="4" max="4" width="14.5703125" style="4" customWidth="1"/>
    <col min="5" max="5" width="33.85546875" style="4" bestFit="1" customWidth="1"/>
    <col min="6" max="6" width="6" style="4" bestFit="1" customWidth="1"/>
    <col min="7" max="7" width="8.28515625" style="4" bestFit="1" customWidth="1"/>
    <col min="8" max="8" width="6" style="4" bestFit="1" customWidth="1"/>
    <col min="9" max="10" width="9.140625" style="4"/>
    <col min="11" max="11" width="25" style="4" bestFit="1" customWidth="1"/>
    <col min="12" max="12" width="11.7109375" style="4" bestFit="1" customWidth="1"/>
    <col min="13" max="13" width="11.28515625" style="4" bestFit="1" customWidth="1"/>
    <col min="14" max="14" width="9.7109375" style="4" bestFit="1" customWidth="1"/>
    <col min="15" max="15" width="9.85546875" style="4" bestFit="1" customWidth="1"/>
    <col min="16" max="16" width="13.5703125" style="4" bestFit="1" customWidth="1"/>
    <col min="17" max="17" width="11.28515625" style="4" bestFit="1" customWidth="1"/>
    <col min="18" max="18" width="9.85546875" style="4" bestFit="1" customWidth="1"/>
    <col min="19" max="16384" width="9.140625" style="4"/>
  </cols>
  <sheetData>
    <row r="1" spans="2:10" ht="18" customHeight="1" x14ac:dyDescent="0.2">
      <c r="C1" s="20" t="s">
        <v>1041</v>
      </c>
      <c r="D1" s="21">
        <v>25</v>
      </c>
    </row>
    <row r="2" spans="2:10" ht="18" customHeight="1" x14ac:dyDescent="0.2"/>
    <row r="3" spans="2:10" x14ac:dyDescent="0.2">
      <c r="B3" s="3" t="s">
        <v>271</v>
      </c>
      <c r="C3" s="3" t="s">
        <v>271</v>
      </c>
    </row>
    <row r="6" spans="2:10" x14ac:dyDescent="0.2">
      <c r="D6" s="6"/>
    </row>
    <row r="7" spans="2:10" x14ac:dyDescent="0.2">
      <c r="B7" s="5" t="s">
        <v>276</v>
      </c>
      <c r="C7" s="6" t="s">
        <v>403</v>
      </c>
      <c r="D7" s="4" t="s">
        <v>404</v>
      </c>
    </row>
    <row r="8" spans="2:10" x14ac:dyDescent="0.2">
      <c r="B8" s="5" t="s">
        <v>270</v>
      </c>
      <c r="C8" s="7">
        <f>SUBTOTAL(9,H18:H195)</f>
        <v>844.62100000000021</v>
      </c>
      <c r="D8" s="8">
        <f>IFERROR(Table3[[#This Row],[Hodnota CZK]]/$D$1,"")</f>
        <v>33.78484000000001</v>
      </c>
    </row>
    <row r="9" spans="2:10" x14ac:dyDescent="0.2">
      <c r="B9" s="5" t="s">
        <v>401</v>
      </c>
      <c r="C9" s="7">
        <f>SUMIFS(source_data!$W:$W,source_data!$T:$T,Calc!$C$24,source_data!$V:$V,Table3[[#This Row],[Náklad]])</f>
        <v>50</v>
      </c>
      <c r="D9" s="8">
        <f>IFERROR(Table3[[#This Row],[Hodnota CZK]]/$D$1,"")</f>
        <v>2</v>
      </c>
      <c r="J9" s="22"/>
    </row>
    <row r="10" spans="2:10" x14ac:dyDescent="0.2">
      <c r="B10" s="5" t="s">
        <v>272</v>
      </c>
      <c r="C10" s="7">
        <f>SUMIFS(source_data!$W:$W,source_data!$T:$T,Calc!$C$24,source_data!$V:$V,Table3[[#This Row],[Náklad]])</f>
        <v>580</v>
      </c>
      <c r="D10" s="8">
        <f>IFERROR(Table3[[#This Row],[Hodnota CZK]]/$D$1,"")</f>
        <v>23.2</v>
      </c>
      <c r="J10" s="22"/>
    </row>
    <row r="11" spans="2:10" x14ac:dyDescent="0.2">
      <c r="B11" s="5" t="s">
        <v>402</v>
      </c>
      <c r="C11" s="7">
        <f>SUMIFS(source_data!$W:$W,source_data!$T:$T,Calc!$C$24,source_data!$V:$V,Table3[[#This Row],[Náklad]])</f>
        <v>60</v>
      </c>
      <c r="D11" s="8">
        <f>IFERROR(Table3[[#This Row],[Hodnota CZK]]/$D$1,"")</f>
        <v>2.4</v>
      </c>
    </row>
    <row r="12" spans="2:10" x14ac:dyDescent="0.2">
      <c r="B12" s="5" t="s">
        <v>1055</v>
      </c>
      <c r="C12" s="7">
        <f>SUMIFS(source_data!$W:$W,source_data!$T:$T,Calc!$C$24,source_data!$V:$V,Table3[[#This Row],[Náklad]])</f>
        <v>0</v>
      </c>
      <c r="D12" s="8">
        <f>IFERROR(Table3[[#This Row],[Hodnota CZK]]/$D$1,"")</f>
        <v>0</v>
      </c>
    </row>
    <row r="13" spans="2:10" x14ac:dyDescent="0.2">
      <c r="B13" s="5" t="s">
        <v>405</v>
      </c>
      <c r="C13" s="7">
        <f>IF(C12=0,0,SUMIFS(source_data!$W:$W,source_data!$T:$T,Calc!$C$24,source_data!$V:$V,Table3[[#This Row],[Náklad]]))</f>
        <v>0</v>
      </c>
      <c r="D13" s="8">
        <f>IFERROR(Table3[[#This Row],[Hodnota CZK]]/$D$1,"")</f>
        <v>0</v>
      </c>
    </row>
    <row r="14" spans="2:10" x14ac:dyDescent="0.2">
      <c r="B14" s="5"/>
    </row>
    <row r="15" spans="2:10" ht="18.75" x14ac:dyDescent="0.3">
      <c r="B15" s="10" t="s">
        <v>279</v>
      </c>
      <c r="C15" s="11">
        <f>SUM(C8:C14)</f>
        <v>1534.6210000000001</v>
      </c>
      <c r="D15" s="12">
        <f>SUM(D8:D14)</f>
        <v>61.384840000000004</v>
      </c>
    </row>
    <row r="16" spans="2:10" x14ac:dyDescent="0.2">
      <c r="B16" s="5"/>
      <c r="C16" s="7"/>
      <c r="D16" s="8"/>
    </row>
    <row r="17" spans="2:8" x14ac:dyDescent="0.2">
      <c r="B17" s="2" t="s">
        <v>271</v>
      </c>
      <c r="C17" s="2" t="s">
        <v>273</v>
      </c>
      <c r="D17" s="2" t="s">
        <v>0</v>
      </c>
      <c r="E17" s="2" t="s">
        <v>1</v>
      </c>
      <c r="F17" s="2" t="s">
        <v>191</v>
      </c>
      <c r="G17" s="2" t="s">
        <v>274</v>
      </c>
      <c r="H17" s="2" t="s">
        <v>275</v>
      </c>
    </row>
    <row r="18" spans="2:8" x14ac:dyDescent="0.2">
      <c r="B18" s="4" t="s">
        <v>975</v>
      </c>
      <c r="C18" t="s">
        <v>260</v>
      </c>
      <c r="D18" s="4" t="s">
        <v>94</v>
      </c>
      <c r="E18" s="4" t="s">
        <v>280</v>
      </c>
      <c r="F18" s="4">
        <v>1</v>
      </c>
      <c r="G18" s="4">
        <v>3.5</v>
      </c>
      <c r="H18" s="4">
        <v>3.5</v>
      </c>
    </row>
    <row r="19" spans="2:8" x14ac:dyDescent="0.2">
      <c r="B19" s="4" t="s">
        <v>975</v>
      </c>
      <c r="C19" s="4" t="s">
        <v>260</v>
      </c>
      <c r="D19" s="4" t="s">
        <v>95</v>
      </c>
      <c r="E19" s="4" t="s">
        <v>281</v>
      </c>
      <c r="F19" s="4">
        <v>2</v>
      </c>
      <c r="G19" s="4">
        <v>2</v>
      </c>
      <c r="H19" s="4">
        <v>4</v>
      </c>
    </row>
    <row r="20" spans="2:8" x14ac:dyDescent="0.2">
      <c r="B20" t="s">
        <v>975</v>
      </c>
      <c r="C20" t="s">
        <v>260</v>
      </c>
      <c r="D20" t="s">
        <v>44</v>
      </c>
      <c r="E20" s="4" t="s">
        <v>324</v>
      </c>
      <c r="F20" s="4">
        <v>0.25</v>
      </c>
      <c r="G20" s="4">
        <v>65</v>
      </c>
      <c r="H20" s="4">
        <v>16.25</v>
      </c>
    </row>
    <row r="21" spans="2:8" x14ac:dyDescent="0.2">
      <c r="B21" s="4" t="s">
        <v>975</v>
      </c>
      <c r="C21" s="4" t="s">
        <v>260</v>
      </c>
      <c r="D21" s="4" t="s">
        <v>50</v>
      </c>
      <c r="E21" s="4" t="s">
        <v>357</v>
      </c>
      <c r="F21" s="4">
        <v>0.25</v>
      </c>
      <c r="G21" s="4">
        <v>151</v>
      </c>
      <c r="H21" s="4">
        <v>37.75</v>
      </c>
    </row>
    <row r="22" spans="2:8" x14ac:dyDescent="0.2">
      <c r="B22" s="4" t="s">
        <v>975</v>
      </c>
      <c r="C22" s="4" t="s">
        <v>260</v>
      </c>
      <c r="D22" s="4" t="s">
        <v>53</v>
      </c>
      <c r="E22" s="4" t="s">
        <v>325</v>
      </c>
      <c r="F22" s="4">
        <v>1.45</v>
      </c>
      <c r="G22" s="4">
        <v>120</v>
      </c>
      <c r="H22" s="4">
        <v>174</v>
      </c>
    </row>
    <row r="23" spans="2:8" x14ac:dyDescent="0.2">
      <c r="B23" t="s">
        <v>975</v>
      </c>
      <c r="C23" t="s">
        <v>260</v>
      </c>
      <c r="D23" t="s">
        <v>60</v>
      </c>
      <c r="E23" t="s">
        <v>337</v>
      </c>
      <c r="F23">
        <v>0.02</v>
      </c>
      <c r="G23">
        <v>130</v>
      </c>
      <c r="H23">
        <v>2.6</v>
      </c>
    </row>
    <row r="24" spans="2:8" x14ac:dyDescent="0.2">
      <c r="B24" s="4" t="s">
        <v>975</v>
      </c>
      <c r="C24" s="4" t="s">
        <v>260</v>
      </c>
      <c r="D24" s="4" t="s">
        <v>496</v>
      </c>
      <c r="E24" s="4" t="s">
        <v>497</v>
      </c>
      <c r="F24" s="4">
        <v>0.2</v>
      </c>
      <c r="G24" s="4">
        <v>190</v>
      </c>
      <c r="H24" s="4">
        <v>38</v>
      </c>
    </row>
    <row r="25" spans="2:8" x14ac:dyDescent="0.2">
      <c r="B25" s="4" t="s">
        <v>975</v>
      </c>
      <c r="C25" s="4" t="s">
        <v>260</v>
      </c>
      <c r="D25" s="4" t="s">
        <v>67</v>
      </c>
      <c r="E25" s="4" t="s">
        <v>355</v>
      </c>
      <c r="F25" s="4">
        <v>0.95</v>
      </c>
      <c r="G25" s="4">
        <v>190</v>
      </c>
      <c r="H25" s="4">
        <v>180.5</v>
      </c>
    </row>
    <row r="26" spans="2:8" x14ac:dyDescent="0.2">
      <c r="B26" s="4" t="s">
        <v>975</v>
      </c>
      <c r="C26" s="4" t="s">
        <v>260</v>
      </c>
      <c r="D26" s="4" t="s">
        <v>69</v>
      </c>
      <c r="E26" s="4" t="s">
        <v>288</v>
      </c>
      <c r="F26" s="4">
        <v>0.25</v>
      </c>
      <c r="G26" s="4">
        <v>190</v>
      </c>
      <c r="H26" s="4">
        <v>47.5</v>
      </c>
    </row>
    <row r="27" spans="2:8" x14ac:dyDescent="0.2">
      <c r="B27" s="4" t="s">
        <v>975</v>
      </c>
      <c r="C27" s="4" t="s">
        <v>260</v>
      </c>
      <c r="D27" s="4" t="s">
        <v>47</v>
      </c>
      <c r="E27" s="4" t="s">
        <v>328</v>
      </c>
      <c r="F27" s="4">
        <v>0.15</v>
      </c>
      <c r="G27" s="4">
        <v>235</v>
      </c>
      <c r="H27" s="4">
        <v>35.25</v>
      </c>
    </row>
    <row r="28" spans="2:8" x14ac:dyDescent="0.2">
      <c r="B28" s="4" t="s">
        <v>975</v>
      </c>
      <c r="C28" s="4" t="s">
        <v>260</v>
      </c>
      <c r="D28" s="4" t="s">
        <v>48</v>
      </c>
      <c r="E28" s="4" t="s">
        <v>359</v>
      </c>
      <c r="F28" s="4">
        <v>7.4999999999999997E-2</v>
      </c>
      <c r="G28" s="4">
        <v>412</v>
      </c>
      <c r="H28" s="4">
        <v>30.9</v>
      </c>
    </row>
    <row r="29" spans="2:8" x14ac:dyDescent="0.2">
      <c r="B29" s="4" t="s">
        <v>975</v>
      </c>
      <c r="C29" s="4" t="s">
        <v>260</v>
      </c>
      <c r="D29" s="4" t="s">
        <v>49</v>
      </c>
      <c r="E29" s="4" t="s">
        <v>290</v>
      </c>
      <c r="F29" s="4">
        <v>7.0000000000000001E-3</v>
      </c>
      <c r="G29" s="4">
        <v>248</v>
      </c>
      <c r="H29" s="4">
        <v>1.736</v>
      </c>
    </row>
    <row r="30" spans="2:8" x14ac:dyDescent="0.2">
      <c r="B30" s="4" t="s">
        <v>975</v>
      </c>
      <c r="C30" s="4" t="s">
        <v>260</v>
      </c>
      <c r="D30" s="4" t="s">
        <v>579</v>
      </c>
      <c r="E30" s="4" t="s">
        <v>580</v>
      </c>
      <c r="F30" s="4">
        <v>1</v>
      </c>
      <c r="G30" s="4">
        <v>4</v>
      </c>
      <c r="H30" s="4">
        <v>4</v>
      </c>
    </row>
    <row r="31" spans="2:8" x14ac:dyDescent="0.2">
      <c r="B31" s="4" t="s">
        <v>975</v>
      </c>
      <c r="C31" s="4" t="s">
        <v>260</v>
      </c>
      <c r="D31" s="4" t="s">
        <v>581</v>
      </c>
      <c r="E31" s="4" t="s">
        <v>582</v>
      </c>
      <c r="F31" s="4">
        <v>1</v>
      </c>
      <c r="G31" s="4">
        <v>4</v>
      </c>
      <c r="H31" s="4">
        <v>4</v>
      </c>
    </row>
    <row r="32" spans="2:8" x14ac:dyDescent="0.2">
      <c r="B32" s="4" t="s">
        <v>975</v>
      </c>
      <c r="C32" s="4" t="s">
        <v>260</v>
      </c>
      <c r="D32" s="4" t="s">
        <v>19</v>
      </c>
      <c r="E32" s="4" t="s">
        <v>329</v>
      </c>
      <c r="F32" s="4">
        <v>3</v>
      </c>
      <c r="G32" s="4">
        <v>2.9</v>
      </c>
      <c r="H32" s="4">
        <v>8.6999999999999993</v>
      </c>
    </row>
    <row r="33" spans="2:8" x14ac:dyDescent="0.2">
      <c r="B33" s="4" t="s">
        <v>975</v>
      </c>
      <c r="C33" s="4" t="s">
        <v>260</v>
      </c>
      <c r="D33" s="4" t="s">
        <v>20</v>
      </c>
      <c r="E33" s="4" t="s">
        <v>330</v>
      </c>
      <c r="F33" s="4">
        <v>3</v>
      </c>
      <c r="G33" s="4">
        <v>2.9</v>
      </c>
      <c r="H33" s="4">
        <v>8.6999999999999993</v>
      </c>
    </row>
    <row r="34" spans="2:8" x14ac:dyDescent="0.2">
      <c r="B34" s="4" t="s">
        <v>975</v>
      </c>
      <c r="C34" s="4" t="s">
        <v>260</v>
      </c>
      <c r="D34" s="4" t="s">
        <v>24</v>
      </c>
      <c r="E34" s="4" t="s">
        <v>360</v>
      </c>
      <c r="F34" s="4">
        <v>2</v>
      </c>
      <c r="G34" s="4">
        <v>2.2000000000000002</v>
      </c>
      <c r="H34" s="4">
        <v>4.4000000000000004</v>
      </c>
    </row>
    <row r="35" spans="2:8" x14ac:dyDescent="0.2">
      <c r="B35" s="4" t="s">
        <v>975</v>
      </c>
      <c r="C35" s="4" t="s">
        <v>260</v>
      </c>
      <c r="D35" s="4" t="s">
        <v>26</v>
      </c>
      <c r="E35" s="4" t="s">
        <v>361</v>
      </c>
      <c r="F35" s="4">
        <v>16</v>
      </c>
      <c r="G35" s="4">
        <v>1.5</v>
      </c>
      <c r="H35" s="4">
        <v>24</v>
      </c>
    </row>
    <row r="36" spans="2:8" x14ac:dyDescent="0.2">
      <c r="B36" s="4" t="s">
        <v>975</v>
      </c>
      <c r="C36" s="4" t="s">
        <v>260</v>
      </c>
      <c r="D36" s="4" t="s">
        <v>29</v>
      </c>
      <c r="E36" s="4" t="s">
        <v>292</v>
      </c>
      <c r="F36" s="4">
        <v>0.76</v>
      </c>
      <c r="G36" s="4">
        <v>27</v>
      </c>
      <c r="H36" s="4">
        <v>20.52</v>
      </c>
    </row>
    <row r="37" spans="2:8" x14ac:dyDescent="0.2">
      <c r="B37" s="4" t="s">
        <v>975</v>
      </c>
      <c r="C37" s="4" t="s">
        <v>260</v>
      </c>
      <c r="D37" s="4" t="s">
        <v>30</v>
      </c>
      <c r="E37" s="4" t="s">
        <v>332</v>
      </c>
      <c r="F37" s="4">
        <v>2</v>
      </c>
      <c r="G37" s="4">
        <v>6</v>
      </c>
      <c r="H37" s="4">
        <v>12</v>
      </c>
    </row>
    <row r="38" spans="2:8" x14ac:dyDescent="0.2">
      <c r="B38" s="4" t="s">
        <v>975</v>
      </c>
      <c r="C38" s="4" t="s">
        <v>260</v>
      </c>
      <c r="D38" s="4" t="s">
        <v>104</v>
      </c>
      <c r="E38" s="4" t="s">
        <v>343</v>
      </c>
      <c r="F38" s="4">
        <v>1.4999999999999999E-2</v>
      </c>
      <c r="G38" s="4">
        <v>890</v>
      </c>
      <c r="H38" s="4">
        <v>13.35</v>
      </c>
    </row>
    <row r="39" spans="2:8" x14ac:dyDescent="0.2">
      <c r="B39" s="4" t="s">
        <v>975</v>
      </c>
      <c r="C39" s="4" t="s">
        <v>260</v>
      </c>
      <c r="D39" s="4" t="s">
        <v>121</v>
      </c>
      <c r="E39" s="4" t="s">
        <v>301</v>
      </c>
      <c r="F39" s="4">
        <v>1</v>
      </c>
      <c r="G39" s="4">
        <v>0.95</v>
      </c>
      <c r="H39" s="4">
        <v>0.95</v>
      </c>
    </row>
    <row r="40" spans="2:8" x14ac:dyDescent="0.2">
      <c r="B40" s="4" t="s">
        <v>975</v>
      </c>
      <c r="C40" s="4" t="s">
        <v>260</v>
      </c>
      <c r="D40" s="4" t="s">
        <v>122</v>
      </c>
      <c r="E40" s="4" t="s">
        <v>302</v>
      </c>
      <c r="F40" s="4">
        <v>1</v>
      </c>
      <c r="G40" s="4">
        <v>4.2</v>
      </c>
      <c r="H40" s="4">
        <v>4.2</v>
      </c>
    </row>
    <row r="41" spans="2:8" x14ac:dyDescent="0.2">
      <c r="B41" s="4" t="s">
        <v>975</v>
      </c>
      <c r="C41" s="4" t="s">
        <v>260</v>
      </c>
      <c r="D41" s="4" t="s">
        <v>4</v>
      </c>
      <c r="E41" s="4" t="s">
        <v>304</v>
      </c>
      <c r="F41" s="4">
        <v>7.3</v>
      </c>
      <c r="G41" s="4">
        <v>10.1</v>
      </c>
      <c r="H41" s="4">
        <v>73.73</v>
      </c>
    </row>
    <row r="42" spans="2:8" x14ac:dyDescent="0.2">
      <c r="B42" s="4" t="s">
        <v>975</v>
      </c>
      <c r="C42" s="4" t="s">
        <v>260</v>
      </c>
      <c r="D42" s="4" t="s">
        <v>5</v>
      </c>
      <c r="E42" s="4" t="s">
        <v>305</v>
      </c>
      <c r="F42" s="4">
        <v>4.0999999999999996</v>
      </c>
      <c r="G42" s="4">
        <v>11.5</v>
      </c>
      <c r="H42" s="4">
        <v>47.15</v>
      </c>
    </row>
    <row r="43" spans="2:8" x14ac:dyDescent="0.2">
      <c r="B43" s="4" t="s">
        <v>975</v>
      </c>
      <c r="C43" s="4" t="s">
        <v>260</v>
      </c>
      <c r="D43" s="4" t="s">
        <v>6</v>
      </c>
      <c r="E43" s="4" t="s">
        <v>306</v>
      </c>
      <c r="F43" s="4">
        <v>0.8</v>
      </c>
      <c r="G43" s="4">
        <v>16.8</v>
      </c>
      <c r="H43" s="4">
        <v>13.44</v>
      </c>
    </row>
    <row r="44" spans="2:8" x14ac:dyDescent="0.2">
      <c r="B44" s="4" t="s">
        <v>975</v>
      </c>
      <c r="C44" s="4" t="s">
        <v>260</v>
      </c>
      <c r="D44" s="4" t="s">
        <v>7</v>
      </c>
      <c r="E44" s="4" t="s">
        <v>307</v>
      </c>
      <c r="F44" s="4">
        <v>0.35</v>
      </c>
      <c r="G44" s="4">
        <v>6.7</v>
      </c>
      <c r="H44" s="4">
        <v>2.3450000000000002</v>
      </c>
    </row>
    <row r="45" spans="2:8" x14ac:dyDescent="0.2">
      <c r="B45" s="4" t="s">
        <v>975</v>
      </c>
      <c r="C45" s="4" t="s">
        <v>260</v>
      </c>
      <c r="D45" s="4" t="s">
        <v>12</v>
      </c>
      <c r="E45" s="4" t="s">
        <v>308</v>
      </c>
      <c r="F45" s="4">
        <v>0.45</v>
      </c>
      <c r="G45" s="4">
        <v>7</v>
      </c>
      <c r="H45" s="4">
        <v>3.15</v>
      </c>
    </row>
    <row r="46" spans="2:8" x14ac:dyDescent="0.2">
      <c r="B46" s="4" t="s">
        <v>975</v>
      </c>
      <c r="C46" s="4" t="s">
        <v>260</v>
      </c>
      <c r="D46" s="4" t="s">
        <v>105</v>
      </c>
      <c r="E46" s="4" t="s">
        <v>313</v>
      </c>
      <c r="F46" s="4">
        <v>50</v>
      </c>
      <c r="G46" s="4">
        <v>0.1</v>
      </c>
      <c r="H46" s="4">
        <v>5</v>
      </c>
    </row>
    <row r="47" spans="2:8" x14ac:dyDescent="0.2">
      <c r="B47" s="4" t="s">
        <v>975</v>
      </c>
      <c r="C47" s="4" t="s">
        <v>260</v>
      </c>
      <c r="D47" s="4" t="s">
        <v>107</v>
      </c>
      <c r="E47" s="4" t="s">
        <v>316</v>
      </c>
      <c r="F47" s="4">
        <v>30</v>
      </c>
      <c r="G47" s="4">
        <v>0.1</v>
      </c>
      <c r="H47" s="4">
        <v>3</v>
      </c>
    </row>
    <row r="48" spans="2:8" x14ac:dyDescent="0.2">
      <c r="B48" s="4" t="s">
        <v>975</v>
      </c>
      <c r="C48" s="4" t="s">
        <v>260</v>
      </c>
      <c r="D48" s="4" t="s">
        <v>118</v>
      </c>
      <c r="E48" s="4" t="s">
        <v>356</v>
      </c>
      <c r="F48" s="4">
        <v>200</v>
      </c>
      <c r="G48" s="4">
        <v>0.1</v>
      </c>
      <c r="H48" s="4">
        <v>20</v>
      </c>
    </row>
  </sheetData>
  <phoneticPr fontId="2" type="noConversion"/>
  <conditionalFormatting sqref="G24:G105">
    <cfRule type="cellIs" dxfId="35" priority="1" operator="equal">
      <formula>""</formula>
    </cfRule>
    <cfRule type="cellIs" dxfId="34" priority="2" operator="equal">
      <formula>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boBox1">
          <controlPr defaultSize="0" autoLine="0" listFillRange="source_data!I2:I200" r:id="rId4">
            <anchor moveWithCells="1">
              <from>
                <xdr:col>0</xdr:col>
                <xdr:colOff>762000</xdr:colOff>
                <xdr:row>3</xdr:row>
                <xdr:rowOff>9525</xdr:rowOff>
              </from>
              <to>
                <xdr:col>1</xdr:col>
                <xdr:colOff>1914525</xdr:colOff>
                <xdr:row>4</xdr:row>
                <xdr:rowOff>66675</xdr:rowOff>
              </to>
            </anchor>
          </controlPr>
        </control>
      </mc:Choice>
      <mc:Fallback>
        <control shapeId="4099" r:id="rId3" name="ComboBox1"/>
      </mc:Fallback>
    </mc:AlternateContent>
    <mc:AlternateContent xmlns:mc="http://schemas.openxmlformats.org/markup-compatibility/2006">
      <mc:Choice Requires="x14">
        <control shapeId="4100" r:id="rId5" name="ComboBox2">
          <controlPr defaultSize="0" autoLine="0" listFillRange="source_data!J2:J200" r:id="rId6">
            <anchor moveWithCells="1">
              <from>
                <xdr:col>2</xdr:col>
                <xdr:colOff>28575</xdr:colOff>
                <xdr:row>3</xdr:row>
                <xdr:rowOff>28575</xdr:rowOff>
              </from>
              <to>
                <xdr:col>2</xdr:col>
                <xdr:colOff>1085850</xdr:colOff>
                <xdr:row>4</xdr:row>
                <xdr:rowOff>76200</xdr:rowOff>
              </to>
            </anchor>
          </controlPr>
        </control>
      </mc:Choice>
      <mc:Fallback>
        <control shapeId="4100" r:id="rId5" name="ComboBox2"/>
      </mc:Fallback>
    </mc:AlternateContent>
    <mc:AlternateContent xmlns:mc="http://schemas.openxmlformats.org/markup-compatibility/2006">
      <mc:Choice Requires="x14">
        <control shapeId="4103" r:id="rId7" name="CostButton">
          <controlPr defaultSize="0" autoLine="0" r:id="rId8">
            <anchor moveWithCells="1">
              <from>
                <xdr:col>4</xdr:col>
                <xdr:colOff>1114425</xdr:colOff>
                <xdr:row>5</xdr:row>
                <xdr:rowOff>28575</xdr:rowOff>
              </from>
              <to>
                <xdr:col>6</xdr:col>
                <xdr:colOff>47625</xdr:colOff>
                <xdr:row>7</xdr:row>
                <xdr:rowOff>95250</xdr:rowOff>
              </to>
            </anchor>
          </controlPr>
        </control>
      </mc:Choice>
      <mc:Fallback>
        <control shapeId="4103" r:id="rId7" name="CostButton"/>
      </mc:Fallback>
    </mc:AlternateContent>
    <mc:AlternateContent xmlns:mc="http://schemas.openxmlformats.org/markup-compatibility/2006">
      <mc:Choice Requires="x14">
        <control shapeId="4106" r:id="rId9" name="EditPriceButton">
          <controlPr defaultSize="0" autoLine="0" r:id="rId10">
            <anchor moveWithCells="1">
              <from>
                <xdr:col>4</xdr:col>
                <xdr:colOff>1104900</xdr:colOff>
                <xdr:row>8</xdr:row>
                <xdr:rowOff>28575</xdr:rowOff>
              </from>
              <to>
                <xdr:col>6</xdr:col>
                <xdr:colOff>38100</xdr:colOff>
                <xdr:row>10</xdr:row>
                <xdr:rowOff>95250</xdr:rowOff>
              </to>
            </anchor>
          </controlPr>
        </control>
      </mc:Choice>
      <mc:Fallback>
        <control shapeId="4106" r:id="rId9" name="EditPriceButton"/>
      </mc:Fallback>
    </mc:AlternateContent>
    <mc:AlternateContent xmlns:mc="http://schemas.openxmlformats.org/markup-compatibility/2006">
      <mc:Choice Requires="x14">
        <control shapeId="4107" r:id="rId11" name="RefreshCalcButton">
          <controlPr defaultSize="0" autoLine="0" r:id="rId12">
            <anchor moveWithCells="1">
              <from>
                <xdr:col>4</xdr:col>
                <xdr:colOff>1095375</xdr:colOff>
                <xdr:row>11</xdr:row>
                <xdr:rowOff>19050</xdr:rowOff>
              </from>
              <to>
                <xdr:col>6</xdr:col>
                <xdr:colOff>28575</xdr:colOff>
                <xdr:row>13</xdr:row>
                <xdr:rowOff>85725</xdr:rowOff>
              </to>
            </anchor>
          </controlPr>
        </control>
      </mc:Choice>
      <mc:Fallback>
        <control shapeId="4107" r:id="rId11" name="RefreshCalcButton"/>
      </mc:Fallback>
    </mc:AlternateContent>
  </controls>
  <tableParts count="1"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F2C6C8-16BA-4173-A718-07A9CF315A71}">
          <x14:formula1>
            <xm:f>source_data!$R$2:$R$23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A53F5-2178-446C-8D27-3481CB309EDF}">
  <sheetPr codeName="Sheet2"/>
  <dimension ref="B1:I166"/>
  <sheetViews>
    <sheetView showGridLines="0" workbookViewId="0">
      <selection activeCell="C36" sqref="C36"/>
    </sheetView>
  </sheetViews>
  <sheetFormatPr defaultRowHeight="12.75" x14ac:dyDescent="0.2"/>
  <cols>
    <col min="2" max="2" width="26.7109375" bestFit="1" customWidth="1"/>
    <col min="3" max="3" width="17.42578125" bestFit="1" customWidth="1"/>
    <col min="4" max="4" width="13.28515625" bestFit="1" customWidth="1"/>
    <col min="5" max="5" width="15.5703125" bestFit="1" customWidth="1"/>
    <col min="6" max="6" width="9.140625" bestFit="1" customWidth="1"/>
    <col min="7" max="7" width="19.42578125" bestFit="1" customWidth="1"/>
    <col min="8" max="8" width="14.28515625" bestFit="1" customWidth="1"/>
    <col min="9" max="9" width="14.42578125" bestFit="1" customWidth="1"/>
  </cols>
  <sheetData>
    <row r="1" spans="2:9" ht="20.25" customHeight="1" x14ac:dyDescent="0.2"/>
    <row r="2" spans="2:9" ht="20.25" customHeight="1" x14ac:dyDescent="0.2"/>
    <row r="4" spans="2:9" x14ac:dyDescent="0.2">
      <c r="B4" s="9" t="s">
        <v>271</v>
      </c>
      <c r="C4" s="9" t="s">
        <v>273</v>
      </c>
      <c r="D4" s="9" t="s">
        <v>270</v>
      </c>
      <c r="E4" s="9" t="s">
        <v>401</v>
      </c>
      <c r="F4" s="9" t="s">
        <v>1056</v>
      </c>
      <c r="G4" s="9" t="s">
        <v>1057</v>
      </c>
      <c r="H4" s="9" t="s">
        <v>1058</v>
      </c>
      <c r="I4" s="9" t="s">
        <v>1059</v>
      </c>
    </row>
    <row r="5" spans="2:9" x14ac:dyDescent="0.2">
      <c r="B5" s="4" t="s">
        <v>963</v>
      </c>
      <c r="C5" s="4" t="s">
        <v>220</v>
      </c>
      <c r="D5">
        <v>2074.64</v>
      </c>
      <c r="E5">
        <v>50</v>
      </c>
      <c r="F5">
        <v>885</v>
      </c>
      <c r="G5">
        <v>60</v>
      </c>
      <c r="H5" s="9">
        <v>3069.64</v>
      </c>
      <c r="I5" s="14">
        <f>Calc_overview[[#This Row],[Total_CZK]]/Calc!$D$1</f>
        <v>122.78559999999999</v>
      </c>
    </row>
    <row r="6" spans="2:9" x14ac:dyDescent="0.2">
      <c r="B6" s="4" t="s">
        <v>965</v>
      </c>
      <c r="C6" s="4" t="s">
        <v>221</v>
      </c>
      <c r="D6">
        <v>2058.84</v>
      </c>
      <c r="E6">
        <v>50</v>
      </c>
      <c r="F6">
        <v>885</v>
      </c>
      <c r="G6">
        <v>60</v>
      </c>
      <c r="H6" s="9">
        <v>3053.84</v>
      </c>
      <c r="I6" s="14">
        <f>Calc_overview[[#This Row],[Total_CZK]]/Calc!$D$1</f>
        <v>122.15360000000001</v>
      </c>
    </row>
    <row r="7" spans="2:9" x14ac:dyDescent="0.2">
      <c r="B7" s="4" t="s">
        <v>967</v>
      </c>
      <c r="C7" s="4" t="s">
        <v>268</v>
      </c>
      <c r="D7">
        <v>2020.34</v>
      </c>
      <c r="E7">
        <v>50</v>
      </c>
      <c r="F7">
        <v>885</v>
      </c>
      <c r="G7">
        <v>60</v>
      </c>
      <c r="H7" s="9">
        <v>3015.34</v>
      </c>
      <c r="I7" s="14">
        <f>Calc_overview[[#This Row],[Total_CZK]]/Calc!$D$1</f>
        <v>120.61360000000001</v>
      </c>
    </row>
    <row r="8" spans="2:9" x14ac:dyDescent="0.2">
      <c r="B8" s="4" t="s">
        <v>971</v>
      </c>
      <c r="C8" s="4" t="s">
        <v>266</v>
      </c>
      <c r="D8">
        <v>2018.34</v>
      </c>
      <c r="E8">
        <v>50</v>
      </c>
      <c r="F8">
        <v>885</v>
      </c>
      <c r="G8">
        <v>60</v>
      </c>
      <c r="H8" s="9">
        <v>3013.34</v>
      </c>
      <c r="I8" s="14">
        <f>Calc_overview[[#This Row],[Total_CZK]]/Calc!$D$1</f>
        <v>120.53360000000001</v>
      </c>
    </row>
    <row r="9" spans="2:9" x14ac:dyDescent="0.2">
      <c r="B9" s="4" t="s">
        <v>966</v>
      </c>
      <c r="C9" s="4" t="s">
        <v>269</v>
      </c>
      <c r="D9">
        <v>2004.34</v>
      </c>
      <c r="E9">
        <v>50</v>
      </c>
      <c r="F9">
        <v>885</v>
      </c>
      <c r="G9">
        <v>60</v>
      </c>
      <c r="H9" s="9">
        <v>2999.34</v>
      </c>
      <c r="I9" s="14">
        <f>Calc_overview[[#This Row],[Total_CZK]]/Calc!$D$1</f>
        <v>119.9736</v>
      </c>
    </row>
    <row r="10" spans="2:9" x14ac:dyDescent="0.2">
      <c r="B10" s="4" t="s">
        <v>970</v>
      </c>
      <c r="C10" s="4" t="s">
        <v>218</v>
      </c>
      <c r="D10">
        <v>2004.34</v>
      </c>
      <c r="E10">
        <v>50</v>
      </c>
      <c r="F10">
        <v>885</v>
      </c>
      <c r="G10">
        <v>60</v>
      </c>
      <c r="H10" s="9">
        <v>2999.34</v>
      </c>
      <c r="I10" s="14">
        <f>Calc_overview[[#This Row],[Total_CZK]]/Calc!$D$1</f>
        <v>119.9736</v>
      </c>
    </row>
    <row r="11" spans="2:9" x14ac:dyDescent="0.2">
      <c r="B11" s="4" t="s">
        <v>964</v>
      </c>
      <c r="C11" s="4" t="s">
        <v>222</v>
      </c>
      <c r="D11">
        <v>1986.34</v>
      </c>
      <c r="E11">
        <v>50</v>
      </c>
      <c r="F11">
        <v>885</v>
      </c>
      <c r="G11">
        <v>60</v>
      </c>
      <c r="H11" s="9">
        <v>2981.34</v>
      </c>
      <c r="I11" s="14">
        <f>Calc_overview[[#This Row],[Total_CZK]]/Calc!$D$1</f>
        <v>119.25360000000001</v>
      </c>
    </row>
    <row r="12" spans="2:9" x14ac:dyDescent="0.2">
      <c r="B12" s="4" t="s">
        <v>969</v>
      </c>
      <c r="C12" s="4" t="s">
        <v>201</v>
      </c>
      <c r="D12">
        <v>1969.0650000000001</v>
      </c>
      <c r="E12">
        <v>50</v>
      </c>
      <c r="F12">
        <v>885</v>
      </c>
      <c r="G12">
        <v>60</v>
      </c>
      <c r="H12" s="9">
        <v>2964.0650000000001</v>
      </c>
      <c r="I12" s="14">
        <f>Calc_overview[[#This Row],[Total_CZK]]/Calc!$D$1</f>
        <v>118.5626</v>
      </c>
    </row>
    <row r="13" spans="2:9" x14ac:dyDescent="0.2">
      <c r="B13" s="4" t="s">
        <v>968</v>
      </c>
      <c r="C13" s="4" t="s">
        <v>213</v>
      </c>
      <c r="D13">
        <v>1968.0650000000001</v>
      </c>
      <c r="E13">
        <v>50</v>
      </c>
      <c r="F13">
        <v>885</v>
      </c>
      <c r="G13">
        <v>60</v>
      </c>
      <c r="H13" s="9">
        <v>2963.0650000000001</v>
      </c>
      <c r="I13" s="14">
        <f>Calc_overview[[#This Row],[Total_CZK]]/Calc!$D$1</f>
        <v>118.5226</v>
      </c>
    </row>
    <row r="14" spans="2:9" x14ac:dyDescent="0.2">
      <c r="B14" s="4" t="s">
        <v>124</v>
      </c>
      <c r="C14" s="4" t="s">
        <v>202</v>
      </c>
      <c r="D14">
        <v>2009.173</v>
      </c>
      <c r="E14">
        <v>50</v>
      </c>
      <c r="F14">
        <v>555</v>
      </c>
      <c r="G14">
        <v>60</v>
      </c>
      <c r="H14" s="9">
        <v>2674.1729999999998</v>
      </c>
      <c r="I14" s="14">
        <f>Calc_overview[[#This Row],[Total_CZK]]/Calc!$D$1</f>
        <v>106.96691999999999</v>
      </c>
    </row>
    <row r="15" spans="2:9" x14ac:dyDescent="0.2">
      <c r="B15" t="s">
        <v>132</v>
      </c>
      <c r="C15" s="4" t="s">
        <v>250</v>
      </c>
      <c r="D15">
        <v>1723.12</v>
      </c>
      <c r="E15">
        <v>50</v>
      </c>
      <c r="F15">
        <v>490</v>
      </c>
      <c r="G15">
        <v>60</v>
      </c>
      <c r="H15" s="9">
        <v>2323.12</v>
      </c>
      <c r="I15" s="14">
        <f>Calc_overview[[#This Row],[Total_CZK]]/Calc!$D$1</f>
        <v>92.924799999999991</v>
      </c>
    </row>
    <row r="16" spans="2:9" x14ac:dyDescent="0.2">
      <c r="B16" s="4" t="s">
        <v>962</v>
      </c>
      <c r="C16" s="4" t="s">
        <v>226</v>
      </c>
      <c r="D16">
        <v>1119.44</v>
      </c>
      <c r="E16">
        <v>50</v>
      </c>
      <c r="F16">
        <v>885</v>
      </c>
      <c r="G16">
        <v>60</v>
      </c>
      <c r="H16" s="9">
        <v>2114.44</v>
      </c>
      <c r="I16" s="14">
        <f>Calc_overview[[#This Row],[Total_CZK]]/Calc!$D$1</f>
        <v>84.577600000000004</v>
      </c>
    </row>
    <row r="17" spans="2:9" x14ac:dyDescent="0.2">
      <c r="B17" t="s">
        <v>972</v>
      </c>
      <c r="C17" s="4" t="s">
        <v>207</v>
      </c>
      <c r="D17">
        <v>1172.32</v>
      </c>
      <c r="E17">
        <v>50</v>
      </c>
      <c r="F17">
        <v>700</v>
      </c>
      <c r="G17">
        <v>60</v>
      </c>
      <c r="H17" s="9">
        <v>1982.32</v>
      </c>
      <c r="I17" s="14">
        <f>Calc_overview[[#This Row],[Total_CZK]]/Calc!$D$1</f>
        <v>79.2928</v>
      </c>
    </row>
    <row r="18" spans="2:9" x14ac:dyDescent="0.2">
      <c r="B18" t="s">
        <v>977</v>
      </c>
      <c r="C18" s="4" t="s">
        <v>258</v>
      </c>
      <c r="D18">
        <v>1251.521</v>
      </c>
      <c r="E18">
        <v>50</v>
      </c>
      <c r="F18">
        <v>580</v>
      </c>
      <c r="G18">
        <v>60</v>
      </c>
      <c r="H18" s="9">
        <v>1941.521</v>
      </c>
      <c r="I18" s="14">
        <f>Calc_overview[[#This Row],[Total_CZK]]/Calc!$D$1</f>
        <v>77.660839999999993</v>
      </c>
    </row>
    <row r="19" spans="2:9" x14ac:dyDescent="0.2">
      <c r="B19" s="4" t="s">
        <v>143</v>
      </c>
      <c r="C19" s="4" t="s">
        <v>204</v>
      </c>
      <c r="D19">
        <v>1176.0229999999999</v>
      </c>
      <c r="E19">
        <v>50</v>
      </c>
      <c r="F19">
        <v>555</v>
      </c>
      <c r="G19">
        <v>60</v>
      </c>
      <c r="H19" s="9">
        <v>1841.0229999999999</v>
      </c>
      <c r="I19" s="14">
        <f>Calc_overview[[#This Row],[Total_CZK]]/Calc!$D$1</f>
        <v>73.640919999999994</v>
      </c>
    </row>
    <row r="20" spans="2:9" x14ac:dyDescent="0.2">
      <c r="B20" s="4" t="s">
        <v>141</v>
      </c>
      <c r="C20" s="4" t="s">
        <v>230</v>
      </c>
      <c r="D20">
        <v>1176.0229999999999</v>
      </c>
      <c r="E20">
        <v>50</v>
      </c>
      <c r="F20">
        <v>555</v>
      </c>
      <c r="G20">
        <v>60</v>
      </c>
      <c r="H20" s="9">
        <v>1841.0229999999999</v>
      </c>
      <c r="I20" s="14">
        <f>Calc_overview[[#This Row],[Total_CZK]]/Calc!$D$1</f>
        <v>73.640919999999994</v>
      </c>
    </row>
    <row r="21" spans="2:9" x14ac:dyDescent="0.2">
      <c r="B21" s="4" t="s">
        <v>140</v>
      </c>
      <c r="C21" s="4" t="s">
        <v>203</v>
      </c>
      <c r="D21">
        <v>1173.0229999999999</v>
      </c>
      <c r="E21">
        <v>50</v>
      </c>
      <c r="F21">
        <v>555</v>
      </c>
      <c r="G21">
        <v>60</v>
      </c>
      <c r="H21" s="9">
        <v>1838.0229999999999</v>
      </c>
      <c r="I21" s="14">
        <f>Calc_overview[[#This Row],[Total_CZK]]/Calc!$D$1</f>
        <v>73.52091999999999</v>
      </c>
    </row>
    <row r="22" spans="2:9" x14ac:dyDescent="0.2">
      <c r="B22" s="4" t="s">
        <v>142</v>
      </c>
      <c r="C22" s="4" t="s">
        <v>229</v>
      </c>
      <c r="D22">
        <v>1135.5229999999999</v>
      </c>
      <c r="E22">
        <v>50</v>
      </c>
      <c r="F22">
        <v>555</v>
      </c>
      <c r="G22">
        <v>60</v>
      </c>
      <c r="H22" s="9">
        <v>1800.5229999999999</v>
      </c>
      <c r="I22" s="14">
        <f>Calc_overview[[#This Row],[Total_CZK]]/Calc!$D$1</f>
        <v>72.02091999999999</v>
      </c>
    </row>
    <row r="23" spans="2:9" x14ac:dyDescent="0.2">
      <c r="B23" t="s">
        <v>978</v>
      </c>
      <c r="C23" s="4" t="s">
        <v>255</v>
      </c>
      <c r="D23">
        <v>1063.1210000000001</v>
      </c>
      <c r="E23">
        <v>50</v>
      </c>
      <c r="F23">
        <v>580</v>
      </c>
      <c r="G23">
        <v>60</v>
      </c>
      <c r="H23" s="9">
        <v>1753.1210000000001</v>
      </c>
      <c r="I23" s="14">
        <f>Calc_overview[[#This Row],[Total_CZK]]/Calc!$D$1</f>
        <v>70.124840000000006</v>
      </c>
    </row>
    <row r="24" spans="2:9" x14ac:dyDescent="0.2">
      <c r="B24" t="s">
        <v>980</v>
      </c>
      <c r="C24" s="4" t="s">
        <v>254</v>
      </c>
      <c r="D24">
        <v>1063.1210000000001</v>
      </c>
      <c r="E24">
        <v>50</v>
      </c>
      <c r="F24">
        <v>580</v>
      </c>
      <c r="G24">
        <v>60</v>
      </c>
      <c r="H24" s="9">
        <v>1753.1210000000001</v>
      </c>
      <c r="I24" s="14">
        <f>Calc_overview[[#This Row],[Total_CZK]]/Calc!$D$1</f>
        <v>70.124840000000006</v>
      </c>
    </row>
    <row r="25" spans="2:9" x14ac:dyDescent="0.2">
      <c r="B25" t="s">
        <v>979</v>
      </c>
      <c r="C25" s="4" t="s">
        <v>259</v>
      </c>
      <c r="D25">
        <v>1019.721</v>
      </c>
      <c r="E25">
        <v>50</v>
      </c>
      <c r="F25">
        <v>580</v>
      </c>
      <c r="G25">
        <v>60</v>
      </c>
      <c r="H25" s="9">
        <v>1709.721</v>
      </c>
      <c r="I25" s="14">
        <f>Calc_overview[[#This Row],[Total_CZK]]/Calc!$D$1</f>
        <v>68.388840000000002</v>
      </c>
    </row>
    <row r="26" spans="2:9" x14ac:dyDescent="0.2">
      <c r="B26" t="s">
        <v>152</v>
      </c>
      <c r="C26" s="4" t="s">
        <v>243</v>
      </c>
      <c r="D26">
        <v>878.94</v>
      </c>
      <c r="E26">
        <v>50</v>
      </c>
      <c r="F26">
        <v>690</v>
      </c>
      <c r="G26">
        <v>60</v>
      </c>
      <c r="H26" s="9">
        <v>1678.94</v>
      </c>
      <c r="I26" s="14">
        <f>Calc_overview[[#This Row],[Total_CZK]]/Calc!$D$1</f>
        <v>67.157600000000002</v>
      </c>
    </row>
    <row r="27" spans="2:9" x14ac:dyDescent="0.2">
      <c r="B27" t="s">
        <v>151</v>
      </c>
      <c r="C27" s="4" t="s">
        <v>244</v>
      </c>
      <c r="D27">
        <v>877.94</v>
      </c>
      <c r="E27">
        <v>50</v>
      </c>
      <c r="F27">
        <v>690</v>
      </c>
      <c r="G27">
        <v>60</v>
      </c>
      <c r="H27" s="9">
        <v>1677.94</v>
      </c>
      <c r="I27" s="14">
        <f>Calc_overview[[#This Row],[Total_CZK]]/Calc!$D$1</f>
        <v>67.117599999999996</v>
      </c>
    </row>
    <row r="28" spans="2:9" x14ac:dyDescent="0.2">
      <c r="B28" s="4" t="s">
        <v>150</v>
      </c>
      <c r="C28" s="4" t="s">
        <v>267</v>
      </c>
      <c r="D28">
        <v>659.59</v>
      </c>
      <c r="E28">
        <v>50</v>
      </c>
      <c r="F28">
        <v>885</v>
      </c>
      <c r="G28">
        <v>60</v>
      </c>
      <c r="H28" s="9">
        <v>1654.59</v>
      </c>
      <c r="I28" s="14">
        <f>Calc_overview[[#This Row],[Total_CZK]]/Calc!$D$1</f>
        <v>66.183599999999998</v>
      </c>
    </row>
    <row r="29" spans="2:9" x14ac:dyDescent="0.2">
      <c r="B29" t="s">
        <v>992</v>
      </c>
      <c r="C29" s="4" t="s">
        <v>993</v>
      </c>
      <c r="D29">
        <v>947.26</v>
      </c>
      <c r="E29">
        <v>50</v>
      </c>
      <c r="F29">
        <v>555</v>
      </c>
      <c r="G29">
        <v>60</v>
      </c>
      <c r="H29" s="9">
        <v>1612.26</v>
      </c>
      <c r="I29" s="14">
        <f>Calc_overview[[#This Row],[Total_CZK]]/Calc!$D$1</f>
        <v>64.490399999999994</v>
      </c>
    </row>
    <row r="30" spans="2:9" x14ac:dyDescent="0.2">
      <c r="B30" t="s">
        <v>986</v>
      </c>
      <c r="C30" s="4" t="s">
        <v>987</v>
      </c>
      <c r="D30">
        <v>946.26</v>
      </c>
      <c r="E30">
        <v>50</v>
      </c>
      <c r="F30">
        <v>555</v>
      </c>
      <c r="G30">
        <v>60</v>
      </c>
      <c r="H30" s="9">
        <v>1611.26</v>
      </c>
      <c r="I30" s="14">
        <f>Calc_overview[[#This Row],[Total_CZK]]/Calc!$D$1</f>
        <v>64.450400000000002</v>
      </c>
    </row>
    <row r="31" spans="2:9" x14ac:dyDescent="0.2">
      <c r="B31" t="s">
        <v>988</v>
      </c>
      <c r="C31" s="4" t="s">
        <v>989</v>
      </c>
      <c r="D31">
        <v>946.26</v>
      </c>
      <c r="E31">
        <v>50</v>
      </c>
      <c r="F31">
        <v>555</v>
      </c>
      <c r="G31">
        <v>60</v>
      </c>
      <c r="H31" s="9">
        <v>1611.26</v>
      </c>
      <c r="I31" s="14">
        <f>Calc_overview[[#This Row],[Total_CZK]]/Calc!$D$1</f>
        <v>64.450400000000002</v>
      </c>
    </row>
    <row r="32" spans="2:9" x14ac:dyDescent="0.2">
      <c r="B32" t="s">
        <v>990</v>
      </c>
      <c r="C32" s="4" t="s">
        <v>991</v>
      </c>
      <c r="D32">
        <v>907.76</v>
      </c>
      <c r="E32">
        <v>50</v>
      </c>
      <c r="F32">
        <v>555</v>
      </c>
      <c r="G32">
        <v>60</v>
      </c>
      <c r="H32" s="9">
        <v>1572.76</v>
      </c>
      <c r="I32" s="14">
        <f>Calc_overview[[#This Row],[Total_CZK]]/Calc!$D$1</f>
        <v>62.910400000000003</v>
      </c>
    </row>
    <row r="33" spans="2:9" x14ac:dyDescent="0.2">
      <c r="B33" t="s">
        <v>982</v>
      </c>
      <c r="C33" s="4" t="s">
        <v>251</v>
      </c>
      <c r="D33">
        <v>749.84</v>
      </c>
      <c r="E33">
        <v>50</v>
      </c>
      <c r="F33">
        <v>675</v>
      </c>
      <c r="G33">
        <v>60</v>
      </c>
      <c r="H33" s="9">
        <v>1534.84</v>
      </c>
      <c r="I33" s="14">
        <f>Calc_overview[[#This Row],[Total_CZK]]/Calc!$D$1</f>
        <v>61.393599999999999</v>
      </c>
    </row>
    <row r="34" spans="2:9" x14ac:dyDescent="0.2">
      <c r="B34" t="s">
        <v>973</v>
      </c>
      <c r="C34" s="4" t="s">
        <v>256</v>
      </c>
      <c r="D34">
        <v>844.62099999999998</v>
      </c>
      <c r="E34">
        <v>50</v>
      </c>
      <c r="F34">
        <v>580</v>
      </c>
      <c r="G34">
        <v>60</v>
      </c>
      <c r="H34" s="9">
        <v>1534.6210000000001</v>
      </c>
      <c r="I34" s="14">
        <f>Calc_overview[[#This Row],[Total_CZK]]/Calc!$D$1</f>
        <v>61.384840000000004</v>
      </c>
    </row>
    <row r="35" spans="2:9" x14ac:dyDescent="0.2">
      <c r="B35" t="s">
        <v>974</v>
      </c>
      <c r="C35" s="4" t="s">
        <v>262</v>
      </c>
      <c r="D35">
        <v>844.62099999999998</v>
      </c>
      <c r="E35">
        <v>50</v>
      </c>
      <c r="F35">
        <v>580</v>
      </c>
      <c r="G35">
        <v>60</v>
      </c>
      <c r="H35" s="9">
        <v>1534.6210000000001</v>
      </c>
      <c r="I35" s="14">
        <f>Calc_overview[[#This Row],[Total_CZK]]/Calc!$D$1</f>
        <v>61.384840000000004</v>
      </c>
    </row>
    <row r="36" spans="2:9" x14ac:dyDescent="0.2">
      <c r="B36" t="s">
        <v>975</v>
      </c>
      <c r="C36" s="4" t="s">
        <v>260</v>
      </c>
      <c r="D36">
        <v>844.62099999999998</v>
      </c>
      <c r="E36">
        <v>50</v>
      </c>
      <c r="F36">
        <v>580</v>
      </c>
      <c r="G36">
        <v>60</v>
      </c>
      <c r="H36" s="9">
        <v>1534.6210000000001</v>
      </c>
      <c r="I36" s="14">
        <f>Calc_overview[[#This Row],[Total_CZK]]/Calc!$D$1</f>
        <v>61.384840000000004</v>
      </c>
    </row>
    <row r="37" spans="2:9" x14ac:dyDescent="0.2">
      <c r="B37" t="s">
        <v>976</v>
      </c>
      <c r="C37" s="4" t="s">
        <v>257</v>
      </c>
      <c r="D37">
        <v>844.62099999999998</v>
      </c>
      <c r="E37">
        <v>50</v>
      </c>
      <c r="F37">
        <v>580</v>
      </c>
      <c r="G37">
        <v>60</v>
      </c>
      <c r="H37" s="9">
        <v>1534.6210000000001</v>
      </c>
      <c r="I37" s="14">
        <f>Calc_overview[[#This Row],[Total_CZK]]/Calc!$D$1</f>
        <v>61.384840000000004</v>
      </c>
    </row>
    <row r="38" spans="2:9" x14ac:dyDescent="0.2">
      <c r="B38" t="s">
        <v>981</v>
      </c>
      <c r="C38" s="4" t="s">
        <v>246</v>
      </c>
      <c r="D38">
        <v>748.84</v>
      </c>
      <c r="E38">
        <v>50</v>
      </c>
      <c r="F38">
        <v>675</v>
      </c>
      <c r="G38">
        <v>60</v>
      </c>
      <c r="H38" s="9">
        <v>1533.84</v>
      </c>
      <c r="I38" s="14">
        <f>Calc_overview[[#This Row],[Total_CZK]]/Calc!$D$1</f>
        <v>61.3536</v>
      </c>
    </row>
    <row r="39" spans="2:9" x14ac:dyDescent="0.2">
      <c r="B39" s="4" t="s">
        <v>956</v>
      </c>
      <c r="C39" s="4" t="s">
        <v>219</v>
      </c>
      <c r="D39">
        <v>920.09</v>
      </c>
      <c r="E39">
        <v>50</v>
      </c>
      <c r="F39">
        <v>450</v>
      </c>
      <c r="G39">
        <v>60</v>
      </c>
      <c r="H39" s="9">
        <v>1480.09</v>
      </c>
      <c r="I39" s="14">
        <f>Calc_overview[[#This Row],[Total_CZK]]/Calc!$D$1</f>
        <v>59.203599999999994</v>
      </c>
    </row>
    <row r="40" spans="2:9" x14ac:dyDescent="0.2">
      <c r="B40" t="s">
        <v>149</v>
      </c>
      <c r="C40" s="4" t="s">
        <v>1031</v>
      </c>
      <c r="D40">
        <v>668.48</v>
      </c>
      <c r="E40">
        <v>50</v>
      </c>
      <c r="F40">
        <v>700</v>
      </c>
      <c r="G40">
        <v>60</v>
      </c>
      <c r="H40" s="9">
        <v>1478.48</v>
      </c>
      <c r="I40" s="14">
        <f>Calc_overview[[#This Row],[Total_CZK]]/Calc!$D$1</f>
        <v>59.139200000000002</v>
      </c>
    </row>
    <row r="41" spans="2:9" x14ac:dyDescent="0.2">
      <c r="B41" s="4" t="s">
        <v>125</v>
      </c>
      <c r="C41" s="4" t="s">
        <v>240</v>
      </c>
      <c r="D41">
        <v>793.71799999999996</v>
      </c>
      <c r="E41">
        <v>50</v>
      </c>
      <c r="F41">
        <v>555</v>
      </c>
      <c r="G41">
        <v>60</v>
      </c>
      <c r="H41" s="9">
        <v>1458.7180000000001</v>
      </c>
      <c r="I41" s="14">
        <f>Calc_overview[[#This Row],[Total_CZK]]/Calc!$D$1</f>
        <v>58.34872</v>
      </c>
    </row>
    <row r="42" spans="2:9" x14ac:dyDescent="0.2">
      <c r="B42" t="s">
        <v>130</v>
      </c>
      <c r="C42" s="4" t="s">
        <v>192</v>
      </c>
      <c r="D42">
        <v>787.21799999999996</v>
      </c>
      <c r="E42">
        <v>50</v>
      </c>
      <c r="F42">
        <v>555</v>
      </c>
      <c r="G42">
        <v>60</v>
      </c>
      <c r="H42" s="9">
        <v>1452.2180000000001</v>
      </c>
      <c r="I42" s="14">
        <f>Calc_overview[[#This Row],[Total_CZK]]/Calc!$D$1</f>
        <v>58.088720000000002</v>
      </c>
    </row>
    <row r="43" spans="2:9" x14ac:dyDescent="0.2">
      <c r="B43" t="s">
        <v>127</v>
      </c>
      <c r="C43" s="4" t="s">
        <v>241</v>
      </c>
      <c r="D43">
        <v>787.21799999999996</v>
      </c>
      <c r="E43">
        <v>50</v>
      </c>
      <c r="F43">
        <v>555</v>
      </c>
      <c r="G43">
        <v>60</v>
      </c>
      <c r="H43" s="9">
        <v>1452.2180000000001</v>
      </c>
      <c r="I43" s="14">
        <f>Calc_overview[[#This Row],[Total_CZK]]/Calc!$D$1</f>
        <v>58.088720000000002</v>
      </c>
    </row>
    <row r="44" spans="2:9" x14ac:dyDescent="0.2">
      <c r="B44" t="s">
        <v>131</v>
      </c>
      <c r="C44" s="4" t="s">
        <v>205</v>
      </c>
      <c r="D44">
        <v>787.21799999999996</v>
      </c>
      <c r="E44">
        <v>50</v>
      </c>
      <c r="F44">
        <v>555</v>
      </c>
      <c r="G44">
        <v>60</v>
      </c>
      <c r="H44" s="9">
        <v>1452.2180000000001</v>
      </c>
      <c r="I44" s="14">
        <f>Calc_overview[[#This Row],[Total_CZK]]/Calc!$D$1</f>
        <v>58.088720000000002</v>
      </c>
    </row>
    <row r="45" spans="2:9" x14ac:dyDescent="0.2">
      <c r="B45" t="s">
        <v>129</v>
      </c>
      <c r="C45" s="4" t="s">
        <v>206</v>
      </c>
      <c r="D45">
        <v>787.21799999999996</v>
      </c>
      <c r="E45">
        <v>50</v>
      </c>
      <c r="F45">
        <v>555</v>
      </c>
      <c r="G45">
        <v>60</v>
      </c>
      <c r="H45" s="9">
        <v>1452.2180000000001</v>
      </c>
      <c r="I45" s="14">
        <f>Calc_overview[[#This Row],[Total_CZK]]/Calc!$D$1</f>
        <v>58.088720000000002</v>
      </c>
    </row>
    <row r="46" spans="2:9" x14ac:dyDescent="0.2">
      <c r="B46" t="s">
        <v>126</v>
      </c>
      <c r="C46" s="4" t="s">
        <v>208</v>
      </c>
      <c r="D46">
        <v>779.73800000000006</v>
      </c>
      <c r="E46">
        <v>50</v>
      </c>
      <c r="F46">
        <v>555</v>
      </c>
      <c r="G46">
        <v>60</v>
      </c>
      <c r="H46" s="9">
        <v>1444.7380000000001</v>
      </c>
      <c r="I46" s="14">
        <f>Calc_overview[[#This Row],[Total_CZK]]/Calc!$D$1</f>
        <v>57.789520000000003</v>
      </c>
    </row>
    <row r="47" spans="2:9" x14ac:dyDescent="0.2">
      <c r="B47" t="s">
        <v>128</v>
      </c>
      <c r="C47" s="4" t="s">
        <v>242</v>
      </c>
      <c r="D47">
        <v>763.21799999999996</v>
      </c>
      <c r="E47">
        <v>50</v>
      </c>
      <c r="F47">
        <v>555</v>
      </c>
      <c r="G47">
        <v>60</v>
      </c>
      <c r="H47" s="9">
        <v>1428.2180000000001</v>
      </c>
      <c r="I47" s="14">
        <f>Calc_overview[[#This Row],[Total_CZK]]/Calc!$D$1</f>
        <v>57.128720000000001</v>
      </c>
    </row>
    <row r="48" spans="2:9" x14ac:dyDescent="0.2">
      <c r="B48" t="s">
        <v>135</v>
      </c>
      <c r="C48" s="4" t="s">
        <v>239</v>
      </c>
      <c r="D48">
        <v>759.26</v>
      </c>
      <c r="E48">
        <v>50</v>
      </c>
      <c r="F48">
        <v>555</v>
      </c>
      <c r="G48">
        <v>60</v>
      </c>
      <c r="H48" s="9">
        <v>1424.26</v>
      </c>
      <c r="I48" s="14">
        <f>Calc_overview[[#This Row],[Total_CZK]]/Calc!$D$1</f>
        <v>56.970399999999998</v>
      </c>
    </row>
    <row r="49" spans="2:9" x14ac:dyDescent="0.2">
      <c r="B49" t="s">
        <v>134</v>
      </c>
      <c r="C49" s="4" t="s">
        <v>985</v>
      </c>
      <c r="D49">
        <v>759.26</v>
      </c>
      <c r="E49">
        <v>50</v>
      </c>
      <c r="F49">
        <v>555</v>
      </c>
      <c r="G49">
        <v>60</v>
      </c>
      <c r="H49" s="9">
        <v>1424.26</v>
      </c>
      <c r="I49" s="14">
        <f>Calc_overview[[#This Row],[Total_CZK]]/Calc!$D$1</f>
        <v>56.970399999999998</v>
      </c>
    </row>
    <row r="50" spans="2:9" x14ac:dyDescent="0.2">
      <c r="B50" t="s">
        <v>133</v>
      </c>
      <c r="C50" s="4" t="s">
        <v>238</v>
      </c>
      <c r="D50">
        <v>756.26</v>
      </c>
      <c r="E50">
        <v>50</v>
      </c>
      <c r="F50">
        <v>555</v>
      </c>
      <c r="G50">
        <v>60</v>
      </c>
      <c r="H50" s="9">
        <v>1421.26</v>
      </c>
      <c r="I50" s="14">
        <f>Calc_overview[[#This Row],[Total_CZK]]/Calc!$D$1</f>
        <v>56.8504</v>
      </c>
    </row>
    <row r="51" spans="2:9" x14ac:dyDescent="0.2">
      <c r="B51" t="s">
        <v>1008</v>
      </c>
      <c r="C51" s="4" t="s">
        <v>1009</v>
      </c>
      <c r="D51">
        <v>811.35</v>
      </c>
      <c r="E51">
        <v>50</v>
      </c>
      <c r="F51">
        <v>495</v>
      </c>
      <c r="G51">
        <v>60</v>
      </c>
      <c r="H51" s="9">
        <v>1416.35</v>
      </c>
      <c r="I51" s="14">
        <f>Calc_overview[[#This Row],[Total_CZK]]/Calc!$D$1</f>
        <v>56.653999999999996</v>
      </c>
    </row>
    <row r="52" spans="2:9" x14ac:dyDescent="0.2">
      <c r="B52" t="s">
        <v>1006</v>
      </c>
      <c r="C52" s="4" t="s">
        <v>1007</v>
      </c>
      <c r="D52">
        <v>808.8</v>
      </c>
      <c r="E52">
        <v>50</v>
      </c>
      <c r="F52">
        <v>495</v>
      </c>
      <c r="G52">
        <v>60</v>
      </c>
      <c r="H52" s="9">
        <v>1413.8</v>
      </c>
      <c r="I52" s="14">
        <f>Calc_overview[[#This Row],[Total_CZK]]/Calc!$D$1</f>
        <v>56.552</v>
      </c>
    </row>
    <row r="53" spans="2:9" x14ac:dyDescent="0.2">
      <c r="B53" t="s">
        <v>1010</v>
      </c>
      <c r="C53" s="4" t="s">
        <v>1011</v>
      </c>
      <c r="D53">
        <v>808.2</v>
      </c>
      <c r="E53">
        <v>50</v>
      </c>
      <c r="F53">
        <v>495</v>
      </c>
      <c r="G53">
        <v>60</v>
      </c>
      <c r="H53" s="9">
        <v>1413.2</v>
      </c>
      <c r="I53" s="14">
        <f>Calc_overview[[#This Row],[Total_CZK]]/Calc!$D$1</f>
        <v>56.527999999999999</v>
      </c>
    </row>
    <row r="54" spans="2:9" x14ac:dyDescent="0.2">
      <c r="B54" t="s">
        <v>1004</v>
      </c>
      <c r="C54" s="4" t="s">
        <v>1005</v>
      </c>
      <c r="D54">
        <v>803.2</v>
      </c>
      <c r="E54">
        <v>50</v>
      </c>
      <c r="F54">
        <v>495</v>
      </c>
      <c r="G54">
        <v>60</v>
      </c>
      <c r="H54" s="9">
        <v>1408.2</v>
      </c>
      <c r="I54" s="14">
        <f>Calc_overview[[#This Row],[Total_CZK]]/Calc!$D$1</f>
        <v>56.328000000000003</v>
      </c>
    </row>
    <row r="55" spans="2:9" x14ac:dyDescent="0.2">
      <c r="B55" t="s">
        <v>188</v>
      </c>
      <c r="C55" s="4" t="s">
        <v>249</v>
      </c>
      <c r="D55">
        <v>775.27</v>
      </c>
      <c r="E55">
        <v>50</v>
      </c>
      <c r="F55">
        <v>490</v>
      </c>
      <c r="G55">
        <v>60</v>
      </c>
      <c r="H55" s="9">
        <v>1375.27</v>
      </c>
      <c r="I55" s="14">
        <f>Calc_overview[[#This Row],[Total_CZK]]/Calc!$D$1</f>
        <v>55.010799999999996</v>
      </c>
    </row>
    <row r="56" spans="2:9" x14ac:dyDescent="0.2">
      <c r="B56" t="s">
        <v>996</v>
      </c>
      <c r="C56" s="4" t="s">
        <v>997</v>
      </c>
      <c r="D56">
        <v>641.01</v>
      </c>
      <c r="E56">
        <v>50</v>
      </c>
      <c r="F56">
        <v>510</v>
      </c>
      <c r="G56">
        <v>60</v>
      </c>
      <c r="H56" s="9">
        <v>1261.01</v>
      </c>
      <c r="I56" s="14">
        <f>Calc_overview[[#This Row],[Total_CZK]]/Calc!$D$1</f>
        <v>50.440399999999997</v>
      </c>
    </row>
    <row r="57" spans="2:9" x14ac:dyDescent="0.2">
      <c r="B57" t="s">
        <v>998</v>
      </c>
      <c r="C57" s="4" t="s">
        <v>999</v>
      </c>
      <c r="D57">
        <v>641.01</v>
      </c>
      <c r="E57">
        <v>50</v>
      </c>
      <c r="F57">
        <v>510</v>
      </c>
      <c r="G57">
        <v>60</v>
      </c>
      <c r="H57" s="9">
        <v>1261.01</v>
      </c>
      <c r="I57" s="14">
        <f>Calc_overview[[#This Row],[Total_CZK]]/Calc!$D$1</f>
        <v>50.440399999999997</v>
      </c>
    </row>
    <row r="58" spans="2:9" x14ac:dyDescent="0.2">
      <c r="B58" t="s">
        <v>1000</v>
      </c>
      <c r="C58" s="4" t="s">
        <v>1001</v>
      </c>
      <c r="D58">
        <v>641.01</v>
      </c>
      <c r="E58">
        <v>50</v>
      </c>
      <c r="F58">
        <v>510</v>
      </c>
      <c r="G58">
        <v>60</v>
      </c>
      <c r="H58" s="9">
        <v>1261.01</v>
      </c>
      <c r="I58" s="14">
        <f>Calc_overview[[#This Row],[Total_CZK]]/Calc!$D$1</f>
        <v>50.440399999999997</v>
      </c>
    </row>
    <row r="59" spans="2:9" x14ac:dyDescent="0.2">
      <c r="B59" t="s">
        <v>1002</v>
      </c>
      <c r="C59" s="4" t="s">
        <v>1003</v>
      </c>
      <c r="D59">
        <v>641.01</v>
      </c>
      <c r="E59">
        <v>50</v>
      </c>
      <c r="F59">
        <v>510</v>
      </c>
      <c r="G59">
        <v>60</v>
      </c>
      <c r="H59" s="9">
        <v>1261.01</v>
      </c>
      <c r="I59" s="14">
        <f>Calc_overview[[#This Row],[Total_CZK]]/Calc!$D$1</f>
        <v>50.440399999999997</v>
      </c>
    </row>
    <row r="60" spans="2:9" x14ac:dyDescent="0.2">
      <c r="B60" t="s">
        <v>983</v>
      </c>
      <c r="C60" s="4" t="s">
        <v>263</v>
      </c>
      <c r="D60">
        <v>1149.355</v>
      </c>
      <c r="E60">
        <v>50</v>
      </c>
      <c r="F60">
        <v>1</v>
      </c>
      <c r="G60">
        <v>60</v>
      </c>
      <c r="H60" s="9">
        <v>1260.355</v>
      </c>
      <c r="I60" s="14">
        <f>Calc_overview[[#This Row],[Total_CZK]]/Calc!$D$1</f>
        <v>50.414200000000001</v>
      </c>
    </row>
    <row r="61" spans="2:9" x14ac:dyDescent="0.2">
      <c r="B61" t="s">
        <v>185</v>
      </c>
      <c r="C61" s="4" t="s">
        <v>1028</v>
      </c>
      <c r="D61">
        <v>760.19</v>
      </c>
      <c r="E61">
        <v>50</v>
      </c>
      <c r="F61">
        <v>390</v>
      </c>
      <c r="G61">
        <v>60</v>
      </c>
      <c r="H61" s="9">
        <v>1260.19</v>
      </c>
      <c r="I61" s="14">
        <f>Calc_overview[[#This Row],[Total_CZK]]/Calc!$D$1</f>
        <v>50.407600000000002</v>
      </c>
    </row>
    <row r="62" spans="2:9" x14ac:dyDescent="0.2">
      <c r="B62" t="s">
        <v>160</v>
      </c>
      <c r="C62" s="4" t="s">
        <v>211</v>
      </c>
      <c r="D62">
        <v>698.54</v>
      </c>
      <c r="E62">
        <v>50</v>
      </c>
      <c r="F62">
        <v>435</v>
      </c>
      <c r="G62">
        <v>60</v>
      </c>
      <c r="H62" s="9">
        <v>1243.54</v>
      </c>
      <c r="I62" s="14">
        <f>Calc_overview[[#This Row],[Total_CZK]]/Calc!$D$1</f>
        <v>49.741599999999998</v>
      </c>
    </row>
    <row r="63" spans="2:9" x14ac:dyDescent="0.2">
      <c r="B63" t="s">
        <v>158</v>
      </c>
      <c r="C63" s="4" t="s">
        <v>200</v>
      </c>
      <c r="D63">
        <v>671.8</v>
      </c>
      <c r="E63">
        <v>50</v>
      </c>
      <c r="F63">
        <v>435</v>
      </c>
      <c r="G63">
        <v>60</v>
      </c>
      <c r="H63" s="9">
        <v>1216.8</v>
      </c>
      <c r="I63" s="14">
        <f>Calc_overview[[#This Row],[Total_CZK]]/Calc!$D$1</f>
        <v>48.671999999999997</v>
      </c>
    </row>
    <row r="64" spans="2:9" x14ac:dyDescent="0.2">
      <c r="B64" t="s">
        <v>994</v>
      </c>
      <c r="C64" s="4" t="s">
        <v>995</v>
      </c>
      <c r="D64">
        <v>594.46</v>
      </c>
      <c r="E64">
        <v>50</v>
      </c>
      <c r="F64">
        <v>510</v>
      </c>
      <c r="G64">
        <v>60</v>
      </c>
      <c r="H64" s="9">
        <v>1214.46</v>
      </c>
      <c r="I64" s="14">
        <f>Calc_overview[[#This Row],[Total_CZK]]/Calc!$D$1</f>
        <v>48.578400000000002</v>
      </c>
    </row>
    <row r="65" spans="2:9" x14ac:dyDescent="0.2">
      <c r="B65" t="s">
        <v>155</v>
      </c>
      <c r="C65" s="4" t="s">
        <v>198</v>
      </c>
      <c r="D65">
        <v>663.8</v>
      </c>
      <c r="E65">
        <v>50</v>
      </c>
      <c r="F65">
        <v>435</v>
      </c>
      <c r="G65">
        <v>60</v>
      </c>
      <c r="H65" s="9">
        <v>1208.8</v>
      </c>
      <c r="I65" s="14">
        <f>Calc_overview[[#This Row],[Total_CZK]]/Calc!$D$1</f>
        <v>48.351999999999997</v>
      </c>
    </row>
    <row r="66" spans="2:9" x14ac:dyDescent="0.2">
      <c r="B66" t="s">
        <v>157</v>
      </c>
      <c r="C66" s="4" t="s">
        <v>195</v>
      </c>
      <c r="D66">
        <v>663.8</v>
      </c>
      <c r="E66">
        <v>50</v>
      </c>
      <c r="F66">
        <v>435</v>
      </c>
      <c r="G66">
        <v>60</v>
      </c>
      <c r="H66" s="9">
        <v>1208.8</v>
      </c>
      <c r="I66" s="14">
        <f>Calc_overview[[#This Row],[Total_CZK]]/Calc!$D$1</f>
        <v>48.351999999999997</v>
      </c>
    </row>
    <row r="67" spans="2:9" x14ac:dyDescent="0.2">
      <c r="B67" t="s">
        <v>159</v>
      </c>
      <c r="C67" s="4" t="s">
        <v>196</v>
      </c>
      <c r="D67">
        <v>663.8</v>
      </c>
      <c r="E67">
        <v>50</v>
      </c>
      <c r="F67">
        <v>435</v>
      </c>
      <c r="G67">
        <v>60</v>
      </c>
      <c r="H67" s="9">
        <v>1208.8</v>
      </c>
      <c r="I67" s="14">
        <f>Calc_overview[[#This Row],[Total_CZK]]/Calc!$D$1</f>
        <v>48.351999999999997</v>
      </c>
    </row>
    <row r="68" spans="2:9" x14ac:dyDescent="0.2">
      <c r="B68" t="s">
        <v>154</v>
      </c>
      <c r="C68" s="4" t="s">
        <v>197</v>
      </c>
      <c r="D68">
        <v>663.8</v>
      </c>
      <c r="E68">
        <v>50</v>
      </c>
      <c r="F68">
        <v>435</v>
      </c>
      <c r="G68">
        <v>60</v>
      </c>
      <c r="H68" s="9">
        <v>1208.8</v>
      </c>
      <c r="I68" s="14">
        <f>Calc_overview[[#This Row],[Total_CZK]]/Calc!$D$1</f>
        <v>48.351999999999997</v>
      </c>
    </row>
    <row r="69" spans="2:9" x14ac:dyDescent="0.2">
      <c r="B69" t="s">
        <v>156</v>
      </c>
      <c r="C69" s="4" t="s">
        <v>209</v>
      </c>
      <c r="D69">
        <v>663.8</v>
      </c>
      <c r="E69">
        <v>50</v>
      </c>
      <c r="F69">
        <v>435</v>
      </c>
      <c r="G69">
        <v>60</v>
      </c>
      <c r="H69" s="9">
        <v>1208.8</v>
      </c>
      <c r="I69" s="14">
        <f>Calc_overview[[#This Row],[Total_CZK]]/Calc!$D$1</f>
        <v>48.351999999999997</v>
      </c>
    </row>
    <row r="70" spans="2:9" x14ac:dyDescent="0.2">
      <c r="B70" t="s">
        <v>161</v>
      </c>
      <c r="C70" s="4" t="s">
        <v>212</v>
      </c>
      <c r="D70">
        <v>636.79999999999995</v>
      </c>
      <c r="E70">
        <v>50</v>
      </c>
      <c r="F70">
        <v>435</v>
      </c>
      <c r="G70">
        <v>60</v>
      </c>
      <c r="H70" s="9">
        <v>1181.8</v>
      </c>
      <c r="I70" s="14">
        <f>Calc_overview[[#This Row],[Total_CZK]]/Calc!$D$1</f>
        <v>47.271999999999998</v>
      </c>
    </row>
    <row r="71" spans="2:9" x14ac:dyDescent="0.2">
      <c r="B71" t="s">
        <v>189</v>
      </c>
      <c r="C71" s="4" t="s">
        <v>245</v>
      </c>
      <c r="D71">
        <v>574.62</v>
      </c>
      <c r="E71">
        <v>50</v>
      </c>
      <c r="F71">
        <v>490</v>
      </c>
      <c r="G71">
        <v>60</v>
      </c>
      <c r="H71" s="9">
        <v>1174.6199999999999</v>
      </c>
      <c r="I71" s="14">
        <f>Calc_overview[[#This Row],[Total_CZK]]/Calc!$D$1</f>
        <v>46.984799999999993</v>
      </c>
    </row>
    <row r="72" spans="2:9" x14ac:dyDescent="0.2">
      <c r="B72" s="4" t="s">
        <v>961</v>
      </c>
      <c r="C72" s="4" t="s">
        <v>227</v>
      </c>
      <c r="D72">
        <v>597.01499999999999</v>
      </c>
      <c r="E72">
        <v>50</v>
      </c>
      <c r="F72">
        <v>450</v>
      </c>
      <c r="G72">
        <v>60</v>
      </c>
      <c r="H72" s="9">
        <v>1157.0150000000001</v>
      </c>
      <c r="I72" s="14">
        <f>Calc_overview[[#This Row],[Total_CZK]]/Calc!$D$1</f>
        <v>46.280600000000007</v>
      </c>
    </row>
    <row r="73" spans="2:9" x14ac:dyDescent="0.2">
      <c r="B73" t="s">
        <v>186</v>
      </c>
      <c r="C73" s="4" t="s">
        <v>1029</v>
      </c>
      <c r="D73">
        <v>656.64</v>
      </c>
      <c r="E73">
        <v>50</v>
      </c>
      <c r="F73">
        <v>390</v>
      </c>
      <c r="G73">
        <v>60</v>
      </c>
      <c r="H73" s="9">
        <v>1156.6400000000001</v>
      </c>
      <c r="I73" s="14">
        <f>Calc_overview[[#This Row],[Total_CZK]]/Calc!$D$1</f>
        <v>46.265600000000006</v>
      </c>
    </row>
    <row r="74" spans="2:9" x14ac:dyDescent="0.2">
      <c r="B74" t="s">
        <v>148</v>
      </c>
      <c r="C74" s="4" t="s">
        <v>253</v>
      </c>
      <c r="D74">
        <v>553.87</v>
      </c>
      <c r="E74">
        <v>50</v>
      </c>
      <c r="F74">
        <v>490</v>
      </c>
      <c r="G74">
        <v>60</v>
      </c>
      <c r="H74" s="9">
        <v>1153.8699999999999</v>
      </c>
      <c r="I74" s="14">
        <f>Calc_overview[[#This Row],[Total_CZK]]/Calc!$D$1</f>
        <v>46.154799999999994</v>
      </c>
    </row>
    <row r="75" spans="2:9" x14ac:dyDescent="0.2">
      <c r="B75" t="s">
        <v>145</v>
      </c>
      <c r="C75" s="4" t="s">
        <v>252</v>
      </c>
      <c r="D75">
        <v>553.87</v>
      </c>
      <c r="E75">
        <v>50</v>
      </c>
      <c r="F75">
        <v>490</v>
      </c>
      <c r="G75">
        <v>60</v>
      </c>
      <c r="H75" s="9">
        <v>1153.8699999999999</v>
      </c>
      <c r="I75" s="14">
        <f>Calc_overview[[#This Row],[Total_CZK]]/Calc!$D$1</f>
        <v>46.154799999999994</v>
      </c>
    </row>
    <row r="76" spans="2:9" x14ac:dyDescent="0.2">
      <c r="B76" t="s">
        <v>147</v>
      </c>
      <c r="C76" s="4" t="s">
        <v>248</v>
      </c>
      <c r="D76">
        <v>553.87</v>
      </c>
      <c r="E76">
        <v>50</v>
      </c>
      <c r="F76">
        <v>490</v>
      </c>
      <c r="G76">
        <v>60</v>
      </c>
      <c r="H76" s="9">
        <v>1153.8699999999999</v>
      </c>
      <c r="I76" s="14">
        <f>Calc_overview[[#This Row],[Total_CZK]]/Calc!$D$1</f>
        <v>46.154799999999994</v>
      </c>
    </row>
    <row r="77" spans="2:9" x14ac:dyDescent="0.2">
      <c r="B77" t="s">
        <v>146</v>
      </c>
      <c r="C77" s="4" t="s">
        <v>247</v>
      </c>
      <c r="D77">
        <v>553.87</v>
      </c>
      <c r="E77">
        <v>50</v>
      </c>
      <c r="F77">
        <v>490</v>
      </c>
      <c r="G77">
        <v>60</v>
      </c>
      <c r="H77" s="9">
        <v>1153.8699999999999</v>
      </c>
      <c r="I77" s="14">
        <f>Calc_overview[[#This Row],[Total_CZK]]/Calc!$D$1</f>
        <v>46.154799999999994</v>
      </c>
    </row>
    <row r="78" spans="2:9" x14ac:dyDescent="0.2">
      <c r="B78" t="s">
        <v>187</v>
      </c>
      <c r="C78" s="4" t="s">
        <v>1030</v>
      </c>
      <c r="D78">
        <v>640.64</v>
      </c>
      <c r="E78">
        <v>50</v>
      </c>
      <c r="F78">
        <v>390</v>
      </c>
      <c r="G78">
        <v>60</v>
      </c>
      <c r="H78" s="9">
        <v>1140.6400000000001</v>
      </c>
      <c r="I78" s="14">
        <f>Calc_overview[[#This Row],[Total_CZK]]/Calc!$D$1</f>
        <v>45.625600000000006</v>
      </c>
    </row>
    <row r="79" spans="2:9" x14ac:dyDescent="0.2">
      <c r="B79" t="s">
        <v>190</v>
      </c>
      <c r="C79" s="4" t="s">
        <v>1022</v>
      </c>
      <c r="D79">
        <v>654.37</v>
      </c>
      <c r="E79">
        <v>50</v>
      </c>
      <c r="F79">
        <v>375</v>
      </c>
      <c r="G79">
        <v>60</v>
      </c>
      <c r="H79" s="9">
        <v>1139.3699999999999</v>
      </c>
      <c r="I79" s="14">
        <f>Calc_overview[[#This Row],[Total_CZK]]/Calc!$D$1</f>
        <v>45.574799999999996</v>
      </c>
    </row>
    <row r="80" spans="2:9" x14ac:dyDescent="0.2">
      <c r="B80" t="s">
        <v>163</v>
      </c>
      <c r="C80" s="4" t="s">
        <v>1026</v>
      </c>
      <c r="D80">
        <v>647.82000000000005</v>
      </c>
      <c r="E80">
        <v>50</v>
      </c>
      <c r="F80">
        <v>375</v>
      </c>
      <c r="G80">
        <v>60</v>
      </c>
      <c r="H80" s="9">
        <v>1132.82</v>
      </c>
      <c r="I80" s="14">
        <f>Calc_overview[[#This Row],[Total_CZK]]/Calc!$D$1</f>
        <v>45.312799999999996</v>
      </c>
    </row>
    <row r="81" spans="2:9" x14ac:dyDescent="0.2">
      <c r="B81" s="4" t="s">
        <v>957</v>
      </c>
      <c r="C81" s="4" t="s">
        <v>223</v>
      </c>
      <c r="D81">
        <v>568.26499999999999</v>
      </c>
      <c r="E81">
        <v>50</v>
      </c>
      <c r="F81">
        <v>450</v>
      </c>
      <c r="G81">
        <v>60</v>
      </c>
      <c r="H81" s="9">
        <v>1128.2650000000001</v>
      </c>
      <c r="I81" s="14">
        <f>Calc_overview[[#This Row],[Total_CZK]]/Calc!$D$1</f>
        <v>45.130600000000001</v>
      </c>
    </row>
    <row r="82" spans="2:9" x14ac:dyDescent="0.2">
      <c r="B82" t="s">
        <v>123</v>
      </c>
      <c r="C82" s="4" t="s">
        <v>265</v>
      </c>
      <c r="D82">
        <v>639.37</v>
      </c>
      <c r="E82">
        <v>50</v>
      </c>
      <c r="F82">
        <v>375</v>
      </c>
      <c r="G82">
        <v>60</v>
      </c>
      <c r="H82" s="9">
        <v>1124.3699999999999</v>
      </c>
      <c r="I82" s="14">
        <f>Calc_overview[[#This Row],[Total_CZK]]/Calc!$D$1</f>
        <v>44.974799999999995</v>
      </c>
    </row>
    <row r="83" spans="2:9" x14ac:dyDescent="0.2">
      <c r="B83" s="4" t="s">
        <v>958</v>
      </c>
      <c r="C83" s="4" t="s">
        <v>224</v>
      </c>
      <c r="D83">
        <v>563.26499999999999</v>
      </c>
      <c r="E83">
        <v>50</v>
      </c>
      <c r="F83">
        <v>450</v>
      </c>
      <c r="G83">
        <v>60</v>
      </c>
      <c r="H83" s="9">
        <v>1123.2650000000001</v>
      </c>
      <c r="I83" s="14">
        <f>Calc_overview[[#This Row],[Total_CZK]]/Calc!$D$1</f>
        <v>44.930600000000005</v>
      </c>
    </row>
    <row r="84" spans="2:9" x14ac:dyDescent="0.2">
      <c r="B84" s="4" t="s">
        <v>959</v>
      </c>
      <c r="C84" s="4" t="s">
        <v>228</v>
      </c>
      <c r="D84">
        <v>563.26499999999999</v>
      </c>
      <c r="E84">
        <v>50</v>
      </c>
      <c r="F84">
        <v>450</v>
      </c>
      <c r="G84">
        <v>60</v>
      </c>
      <c r="H84" s="9">
        <v>1123.2650000000001</v>
      </c>
      <c r="I84" s="14">
        <f>Calc_overview[[#This Row],[Total_CZK]]/Calc!$D$1</f>
        <v>44.930600000000005</v>
      </c>
    </row>
    <row r="85" spans="2:9" x14ac:dyDescent="0.2">
      <c r="B85" s="4" t="s">
        <v>960</v>
      </c>
      <c r="C85" s="4" t="s">
        <v>225</v>
      </c>
      <c r="D85">
        <v>563.26499999999999</v>
      </c>
      <c r="E85">
        <v>50</v>
      </c>
      <c r="F85">
        <v>450</v>
      </c>
      <c r="G85">
        <v>60</v>
      </c>
      <c r="H85" s="9">
        <v>1123.2650000000001</v>
      </c>
      <c r="I85" s="14">
        <f>Calc_overview[[#This Row],[Total_CZK]]/Calc!$D$1</f>
        <v>44.930600000000005</v>
      </c>
    </row>
    <row r="86" spans="2:9" x14ac:dyDescent="0.2">
      <c r="B86" t="s">
        <v>144</v>
      </c>
      <c r="C86" s="4" t="s">
        <v>261</v>
      </c>
      <c r="D86">
        <v>523.12</v>
      </c>
      <c r="E86">
        <v>50</v>
      </c>
      <c r="F86">
        <v>490</v>
      </c>
      <c r="G86">
        <v>60</v>
      </c>
      <c r="H86" s="9">
        <v>1123.1199999999999</v>
      </c>
      <c r="I86" s="14">
        <f>Calc_overview[[#This Row],[Total_CZK]]/Calc!$D$1</f>
        <v>44.924799999999998</v>
      </c>
    </row>
    <row r="87" spans="2:9" x14ac:dyDescent="0.2">
      <c r="B87" t="s">
        <v>162</v>
      </c>
      <c r="C87" s="4" t="s">
        <v>1025</v>
      </c>
      <c r="D87">
        <v>630.82000000000005</v>
      </c>
      <c r="E87">
        <v>50</v>
      </c>
      <c r="F87">
        <v>375</v>
      </c>
      <c r="G87">
        <v>60</v>
      </c>
      <c r="H87" s="9">
        <v>1115.82</v>
      </c>
      <c r="I87" s="14">
        <f>Calc_overview[[#This Row],[Total_CZK]]/Calc!$D$1</f>
        <v>44.632799999999996</v>
      </c>
    </row>
    <row r="88" spans="2:9" x14ac:dyDescent="0.2">
      <c r="B88" t="s">
        <v>180</v>
      </c>
      <c r="C88" s="4" t="s">
        <v>1017</v>
      </c>
      <c r="D88">
        <v>630.12</v>
      </c>
      <c r="E88">
        <v>50</v>
      </c>
      <c r="F88">
        <v>375</v>
      </c>
      <c r="G88">
        <v>60</v>
      </c>
      <c r="H88" s="9">
        <v>1115.1199999999999</v>
      </c>
      <c r="I88" s="14">
        <f>Calc_overview[[#This Row],[Total_CZK]]/Calc!$D$1</f>
        <v>44.604799999999997</v>
      </c>
    </row>
    <row r="89" spans="2:9" x14ac:dyDescent="0.2">
      <c r="B89" t="s">
        <v>181</v>
      </c>
      <c r="C89" s="4" t="s">
        <v>1018</v>
      </c>
      <c r="D89">
        <v>626.37</v>
      </c>
      <c r="E89">
        <v>50</v>
      </c>
      <c r="F89">
        <v>375</v>
      </c>
      <c r="G89">
        <v>60</v>
      </c>
      <c r="H89" s="9">
        <v>1111.3699999999999</v>
      </c>
      <c r="I89" s="14">
        <f>Calc_overview[[#This Row],[Total_CZK]]/Calc!$D$1</f>
        <v>44.454799999999999</v>
      </c>
    </row>
    <row r="90" spans="2:9" x14ac:dyDescent="0.2">
      <c r="B90" t="s">
        <v>182</v>
      </c>
      <c r="C90" s="4" t="s">
        <v>1019</v>
      </c>
      <c r="D90">
        <v>626.37</v>
      </c>
      <c r="E90">
        <v>50</v>
      </c>
      <c r="F90">
        <v>375</v>
      </c>
      <c r="G90">
        <v>60</v>
      </c>
      <c r="H90" s="9">
        <v>1111.3699999999999</v>
      </c>
      <c r="I90" s="14">
        <f>Calc_overview[[#This Row],[Total_CZK]]/Calc!$D$1</f>
        <v>44.454799999999999</v>
      </c>
    </row>
    <row r="91" spans="2:9" x14ac:dyDescent="0.2">
      <c r="B91" t="s">
        <v>183</v>
      </c>
      <c r="C91" s="4" t="s">
        <v>1020</v>
      </c>
      <c r="D91">
        <v>626.37</v>
      </c>
      <c r="E91">
        <v>50</v>
      </c>
      <c r="F91">
        <v>375</v>
      </c>
      <c r="G91">
        <v>60</v>
      </c>
      <c r="H91" s="9">
        <v>1111.3699999999999</v>
      </c>
      <c r="I91" s="14">
        <f>Calc_overview[[#This Row],[Total_CZK]]/Calc!$D$1</f>
        <v>44.454799999999999</v>
      </c>
    </row>
    <row r="92" spans="2:9" x14ac:dyDescent="0.2">
      <c r="B92" t="s">
        <v>153</v>
      </c>
      <c r="C92" s="4" t="s">
        <v>210</v>
      </c>
      <c r="D92">
        <v>545.04999999999995</v>
      </c>
      <c r="E92">
        <v>50</v>
      </c>
      <c r="F92">
        <v>435</v>
      </c>
      <c r="G92">
        <v>60</v>
      </c>
      <c r="H92" s="9">
        <v>1090.05</v>
      </c>
      <c r="I92" s="14">
        <f>Calc_overview[[#This Row],[Total_CZK]]/Calc!$D$1</f>
        <v>43.601999999999997</v>
      </c>
    </row>
    <row r="93" spans="2:9" x14ac:dyDescent="0.2">
      <c r="B93" t="s">
        <v>178</v>
      </c>
      <c r="C93" s="4" t="s">
        <v>1015</v>
      </c>
      <c r="D93">
        <v>585.57000000000005</v>
      </c>
      <c r="E93">
        <v>50</v>
      </c>
      <c r="F93">
        <v>375</v>
      </c>
      <c r="G93">
        <v>60</v>
      </c>
      <c r="H93" s="9">
        <v>1070.57</v>
      </c>
      <c r="I93" s="14">
        <f>Calc_overview[[#This Row],[Total_CZK]]/Calc!$D$1</f>
        <v>42.822800000000001</v>
      </c>
    </row>
    <row r="94" spans="2:9" x14ac:dyDescent="0.2">
      <c r="B94" t="s">
        <v>164</v>
      </c>
      <c r="C94" s="4" t="s">
        <v>1027</v>
      </c>
      <c r="D94">
        <v>583.02</v>
      </c>
      <c r="E94">
        <v>50</v>
      </c>
      <c r="F94">
        <v>375</v>
      </c>
      <c r="G94">
        <v>60</v>
      </c>
      <c r="H94" s="9">
        <v>1068.02</v>
      </c>
      <c r="I94" s="14">
        <f>Calc_overview[[#This Row],[Total_CZK]]/Calc!$D$1</f>
        <v>42.720799999999997</v>
      </c>
    </row>
    <row r="95" spans="2:9" x14ac:dyDescent="0.2">
      <c r="B95" t="s">
        <v>177</v>
      </c>
      <c r="C95" s="4" t="s">
        <v>1014</v>
      </c>
      <c r="D95">
        <v>575.32000000000005</v>
      </c>
      <c r="E95">
        <v>50</v>
      </c>
      <c r="F95">
        <v>375</v>
      </c>
      <c r="G95">
        <v>60</v>
      </c>
      <c r="H95" s="9">
        <v>1060.32</v>
      </c>
      <c r="I95" s="14">
        <f>Calc_overview[[#This Row],[Total_CZK]]/Calc!$D$1</f>
        <v>42.412799999999997</v>
      </c>
    </row>
    <row r="96" spans="2:9" x14ac:dyDescent="0.2">
      <c r="B96" t="s">
        <v>175</v>
      </c>
      <c r="C96" s="4" t="s">
        <v>1012</v>
      </c>
      <c r="D96">
        <v>571.57000000000005</v>
      </c>
      <c r="E96">
        <v>50</v>
      </c>
      <c r="F96">
        <v>375</v>
      </c>
      <c r="G96">
        <v>60</v>
      </c>
      <c r="H96" s="9">
        <v>1056.57</v>
      </c>
      <c r="I96" s="14">
        <f>Calc_overview[[#This Row],[Total_CZK]]/Calc!$D$1</f>
        <v>42.262799999999999</v>
      </c>
    </row>
    <row r="97" spans="2:9" x14ac:dyDescent="0.2">
      <c r="B97" t="s">
        <v>176</v>
      </c>
      <c r="C97" s="4" t="s">
        <v>1013</v>
      </c>
      <c r="D97">
        <v>571.57000000000005</v>
      </c>
      <c r="E97">
        <v>50</v>
      </c>
      <c r="F97">
        <v>375</v>
      </c>
      <c r="G97">
        <v>60</v>
      </c>
      <c r="H97" s="9">
        <v>1056.57</v>
      </c>
      <c r="I97" s="14">
        <f>Calc_overview[[#This Row],[Total_CZK]]/Calc!$D$1</f>
        <v>42.262799999999999</v>
      </c>
    </row>
    <row r="98" spans="2:9" x14ac:dyDescent="0.2">
      <c r="B98" t="s">
        <v>184</v>
      </c>
      <c r="C98" s="4" t="s">
        <v>1021</v>
      </c>
      <c r="D98">
        <v>571.57000000000005</v>
      </c>
      <c r="E98">
        <v>50</v>
      </c>
      <c r="F98">
        <v>375</v>
      </c>
      <c r="G98">
        <v>60</v>
      </c>
      <c r="H98" s="9">
        <v>1056.57</v>
      </c>
      <c r="I98" s="14">
        <f>Calc_overview[[#This Row],[Total_CZK]]/Calc!$D$1</f>
        <v>42.262799999999999</v>
      </c>
    </row>
    <row r="99" spans="2:9" x14ac:dyDescent="0.2">
      <c r="B99" s="4" t="s">
        <v>139</v>
      </c>
      <c r="C99" s="4" t="s">
        <v>216</v>
      </c>
      <c r="D99">
        <v>523.35</v>
      </c>
      <c r="E99">
        <v>50</v>
      </c>
      <c r="F99">
        <v>390</v>
      </c>
      <c r="G99">
        <v>60</v>
      </c>
      <c r="H99" s="9">
        <v>1023.35</v>
      </c>
      <c r="I99" s="14">
        <f>Calc_overview[[#This Row],[Total_CZK]]/Calc!$D$1</f>
        <v>40.933999999999997</v>
      </c>
    </row>
    <row r="100" spans="2:9" x14ac:dyDescent="0.2">
      <c r="B100" t="s">
        <v>168</v>
      </c>
      <c r="C100" s="4" t="s">
        <v>264</v>
      </c>
      <c r="D100">
        <v>467.32</v>
      </c>
      <c r="E100">
        <v>50</v>
      </c>
      <c r="F100">
        <v>375</v>
      </c>
      <c r="G100">
        <v>60</v>
      </c>
      <c r="H100" s="9">
        <v>952.32</v>
      </c>
      <c r="I100" s="14">
        <f>Calc_overview[[#This Row],[Total_CZK]]/Calc!$D$1</f>
        <v>38.092800000000004</v>
      </c>
    </row>
    <row r="101" spans="2:9" x14ac:dyDescent="0.2">
      <c r="B101" t="s">
        <v>167</v>
      </c>
      <c r="C101" s="4" t="s">
        <v>231</v>
      </c>
      <c r="D101">
        <v>467.32</v>
      </c>
      <c r="E101">
        <v>50</v>
      </c>
      <c r="F101">
        <v>375</v>
      </c>
      <c r="G101">
        <v>60</v>
      </c>
      <c r="H101" s="9">
        <v>952.32</v>
      </c>
      <c r="I101" s="14">
        <f>Calc_overview[[#This Row],[Total_CZK]]/Calc!$D$1</f>
        <v>38.092800000000004</v>
      </c>
    </row>
    <row r="102" spans="2:9" x14ac:dyDescent="0.2">
      <c r="B102" t="s">
        <v>166</v>
      </c>
      <c r="C102" s="4" t="s">
        <v>237</v>
      </c>
      <c r="D102">
        <v>467.32</v>
      </c>
      <c r="E102">
        <v>50</v>
      </c>
      <c r="F102">
        <v>375</v>
      </c>
      <c r="G102">
        <v>60</v>
      </c>
      <c r="H102" s="9">
        <v>952.32</v>
      </c>
      <c r="I102" s="14">
        <f>Calc_overview[[#This Row],[Total_CZK]]/Calc!$D$1</f>
        <v>38.092800000000004</v>
      </c>
    </row>
    <row r="103" spans="2:9" x14ac:dyDescent="0.2">
      <c r="B103" t="s">
        <v>165</v>
      </c>
      <c r="C103" s="4" t="s">
        <v>236</v>
      </c>
      <c r="D103">
        <v>467.32</v>
      </c>
      <c r="E103">
        <v>50</v>
      </c>
      <c r="F103">
        <v>375</v>
      </c>
      <c r="G103">
        <v>60</v>
      </c>
      <c r="H103" s="9">
        <v>952.32</v>
      </c>
      <c r="I103" s="14">
        <f>Calc_overview[[#This Row],[Total_CZK]]/Calc!$D$1</f>
        <v>38.092800000000004</v>
      </c>
    </row>
    <row r="104" spans="2:9" x14ac:dyDescent="0.2">
      <c r="B104" t="s">
        <v>169</v>
      </c>
      <c r="C104" s="4" t="s">
        <v>232</v>
      </c>
      <c r="D104">
        <v>467.32</v>
      </c>
      <c r="E104">
        <v>50</v>
      </c>
      <c r="F104">
        <v>375</v>
      </c>
      <c r="G104">
        <v>60</v>
      </c>
      <c r="H104" s="9">
        <v>952.32</v>
      </c>
      <c r="I104" s="14">
        <f>Calc_overview[[#This Row],[Total_CZK]]/Calc!$D$1</f>
        <v>38.092800000000004</v>
      </c>
    </row>
    <row r="105" spans="2:9" x14ac:dyDescent="0.2">
      <c r="B105" t="s">
        <v>170</v>
      </c>
      <c r="C105" s="4" t="s">
        <v>235</v>
      </c>
      <c r="D105">
        <v>467.32</v>
      </c>
      <c r="E105">
        <v>50</v>
      </c>
      <c r="F105">
        <v>375</v>
      </c>
      <c r="G105">
        <v>60</v>
      </c>
      <c r="H105" s="9">
        <v>952.32</v>
      </c>
      <c r="I105" s="14">
        <f>Calc_overview[[#This Row],[Total_CZK]]/Calc!$D$1</f>
        <v>38.092800000000004</v>
      </c>
    </row>
    <row r="106" spans="2:9" x14ac:dyDescent="0.2">
      <c r="B106" t="s">
        <v>174</v>
      </c>
      <c r="C106" s="4" t="s">
        <v>234</v>
      </c>
      <c r="D106">
        <v>467.32</v>
      </c>
      <c r="E106">
        <v>50</v>
      </c>
      <c r="F106">
        <v>375</v>
      </c>
      <c r="G106">
        <v>60</v>
      </c>
      <c r="H106" s="9">
        <v>952.32</v>
      </c>
      <c r="I106" s="14">
        <f>Calc_overview[[#This Row],[Total_CZK]]/Calc!$D$1</f>
        <v>38.092800000000004</v>
      </c>
    </row>
    <row r="107" spans="2:9" x14ac:dyDescent="0.2">
      <c r="B107" t="s">
        <v>172</v>
      </c>
      <c r="C107" s="4" t="s">
        <v>233</v>
      </c>
      <c r="D107">
        <v>467.32</v>
      </c>
      <c r="E107">
        <v>50</v>
      </c>
      <c r="F107">
        <v>375</v>
      </c>
      <c r="G107">
        <v>60</v>
      </c>
      <c r="H107" s="9">
        <v>952.32</v>
      </c>
      <c r="I107" s="14">
        <f>Calc_overview[[#This Row],[Total_CZK]]/Calc!$D$1</f>
        <v>38.092800000000004</v>
      </c>
    </row>
    <row r="108" spans="2:9" x14ac:dyDescent="0.2">
      <c r="B108" t="s">
        <v>171</v>
      </c>
      <c r="C108" s="4" t="s">
        <v>194</v>
      </c>
      <c r="D108">
        <v>467.32</v>
      </c>
      <c r="E108">
        <v>50</v>
      </c>
      <c r="F108">
        <v>375</v>
      </c>
      <c r="G108">
        <v>60</v>
      </c>
      <c r="H108" s="9">
        <v>952.32</v>
      </c>
      <c r="I108" s="14">
        <f>Calc_overview[[#This Row],[Total_CZK]]/Calc!$D$1</f>
        <v>38.092800000000004</v>
      </c>
    </row>
    <row r="109" spans="2:9" x14ac:dyDescent="0.2">
      <c r="B109" t="s">
        <v>173</v>
      </c>
      <c r="C109" s="4" t="s">
        <v>193</v>
      </c>
      <c r="D109">
        <v>467.32</v>
      </c>
      <c r="E109">
        <v>50</v>
      </c>
      <c r="F109">
        <v>375</v>
      </c>
      <c r="G109">
        <v>60</v>
      </c>
      <c r="H109" s="9">
        <v>952.32</v>
      </c>
      <c r="I109" s="14">
        <f>Calc_overview[[#This Row],[Total_CZK]]/Calc!$D$1</f>
        <v>38.092800000000004</v>
      </c>
    </row>
    <row r="110" spans="2:9" x14ac:dyDescent="0.2">
      <c r="B110" s="4" t="s">
        <v>136</v>
      </c>
      <c r="C110" s="4" t="s">
        <v>217</v>
      </c>
      <c r="D110">
        <v>449.23500000000001</v>
      </c>
      <c r="E110">
        <v>50</v>
      </c>
      <c r="F110">
        <v>390</v>
      </c>
      <c r="G110">
        <v>60</v>
      </c>
      <c r="H110" s="9">
        <v>949.23500000000001</v>
      </c>
      <c r="I110" s="14">
        <f>Calc_overview[[#This Row],[Total_CZK]]/Calc!$D$1</f>
        <v>37.9694</v>
      </c>
    </row>
    <row r="111" spans="2:9" x14ac:dyDescent="0.2">
      <c r="B111" s="4" t="s">
        <v>138</v>
      </c>
      <c r="C111" s="4" t="s">
        <v>214</v>
      </c>
      <c r="D111">
        <v>433.95</v>
      </c>
      <c r="E111">
        <v>50</v>
      </c>
      <c r="F111">
        <v>390</v>
      </c>
      <c r="G111">
        <v>60</v>
      </c>
      <c r="H111" s="9">
        <v>933.95</v>
      </c>
      <c r="I111" s="14">
        <f>Calc_overview[[#This Row],[Total_CZK]]/Calc!$D$1</f>
        <v>37.358000000000004</v>
      </c>
    </row>
    <row r="112" spans="2:9" x14ac:dyDescent="0.2">
      <c r="B112" t="s">
        <v>179</v>
      </c>
      <c r="C112" s="4" t="s">
        <v>1016</v>
      </c>
      <c r="D112">
        <v>442.07</v>
      </c>
      <c r="E112">
        <v>50</v>
      </c>
      <c r="F112">
        <v>375</v>
      </c>
      <c r="G112">
        <v>60</v>
      </c>
      <c r="H112" s="9">
        <v>927.07</v>
      </c>
      <c r="I112" s="14">
        <f>Calc_overview[[#This Row],[Total_CZK]]/Calc!$D$1</f>
        <v>37.082799999999999</v>
      </c>
    </row>
    <row r="113" spans="2:9" x14ac:dyDescent="0.2">
      <c r="B113" s="4" t="s">
        <v>137</v>
      </c>
      <c r="C113" s="4" t="s">
        <v>215</v>
      </c>
      <c r="D113">
        <v>421.58499999999998</v>
      </c>
      <c r="E113">
        <v>50</v>
      </c>
      <c r="F113">
        <v>390</v>
      </c>
      <c r="G113">
        <v>60</v>
      </c>
      <c r="H113" s="9">
        <v>921.58500000000004</v>
      </c>
      <c r="I113" s="14">
        <f>Calc_overview[[#This Row],[Total_CZK]]/Calc!$D$1</f>
        <v>36.863399999999999</v>
      </c>
    </row>
    <row r="114" spans="2:9" x14ac:dyDescent="0.2">
      <c r="B114" t="s">
        <v>1032</v>
      </c>
      <c r="C114" t="s">
        <v>1033</v>
      </c>
      <c r="D114">
        <v>180.09</v>
      </c>
      <c r="E114">
        <v>50</v>
      </c>
      <c r="F114">
        <v>450</v>
      </c>
      <c r="G114">
        <v>60</v>
      </c>
      <c r="H114" s="9">
        <v>740.09</v>
      </c>
      <c r="I114" s="14">
        <f>Calc_overview[[#This Row],[Total_CZK]]/Calc!$D$1</f>
        <v>29.6036</v>
      </c>
    </row>
    <row r="115" spans="2:9" x14ac:dyDescent="0.2">
      <c r="B115" s="4" t="s">
        <v>890</v>
      </c>
      <c r="C115" s="4" t="s">
        <v>891</v>
      </c>
      <c r="D115">
        <v>189.35</v>
      </c>
      <c r="E115">
        <v>50</v>
      </c>
      <c r="F115">
        <v>345</v>
      </c>
      <c r="G115">
        <v>60</v>
      </c>
      <c r="H115" s="9">
        <v>644.35</v>
      </c>
      <c r="I115" s="14">
        <f>Calc_overview[[#This Row],[Total_CZK]]/Calc!$D$1</f>
        <v>25.774000000000001</v>
      </c>
    </row>
    <row r="116" spans="2:9" x14ac:dyDescent="0.2">
      <c r="B116" s="4" t="s">
        <v>918</v>
      </c>
      <c r="C116" s="4" t="s">
        <v>919</v>
      </c>
      <c r="D116">
        <v>233.36500000000001</v>
      </c>
      <c r="E116">
        <v>50</v>
      </c>
      <c r="F116">
        <v>1</v>
      </c>
      <c r="G116">
        <v>60</v>
      </c>
      <c r="H116" s="9">
        <v>344.36500000000001</v>
      </c>
      <c r="I116" s="14">
        <f>Calc_overview[[#This Row],[Total_CZK]]/Calc!$D$1</f>
        <v>13.7746</v>
      </c>
    </row>
    <row r="117" spans="2:9" x14ac:dyDescent="0.2">
      <c r="B117" s="4" t="s">
        <v>922</v>
      </c>
      <c r="C117" s="4" t="s">
        <v>923</v>
      </c>
      <c r="D117">
        <v>233.36500000000001</v>
      </c>
      <c r="E117">
        <v>50</v>
      </c>
      <c r="F117">
        <v>1</v>
      </c>
      <c r="G117">
        <v>60</v>
      </c>
      <c r="H117" s="9">
        <v>344.36500000000001</v>
      </c>
      <c r="I117" s="14">
        <f>Calc_overview[[#This Row],[Total_CZK]]/Calc!$D$1</f>
        <v>13.7746</v>
      </c>
    </row>
    <row r="118" spans="2:9" x14ac:dyDescent="0.2">
      <c r="B118" s="4" t="s">
        <v>924</v>
      </c>
      <c r="C118" s="4" t="s">
        <v>925</v>
      </c>
      <c r="D118">
        <v>233.36500000000001</v>
      </c>
      <c r="E118">
        <v>50</v>
      </c>
      <c r="F118">
        <v>1</v>
      </c>
      <c r="G118">
        <v>60</v>
      </c>
      <c r="H118" s="9">
        <v>344.36500000000001</v>
      </c>
      <c r="I118" s="14">
        <f>Calc_overview[[#This Row],[Total_CZK]]/Calc!$D$1</f>
        <v>13.7746</v>
      </c>
    </row>
    <row r="119" spans="2:9" x14ac:dyDescent="0.2">
      <c r="B119" s="4" t="s">
        <v>926</v>
      </c>
      <c r="C119" s="4" t="s">
        <v>927</v>
      </c>
      <c r="D119">
        <v>233.36500000000001</v>
      </c>
      <c r="E119">
        <v>50</v>
      </c>
      <c r="F119">
        <v>1</v>
      </c>
      <c r="G119">
        <v>60</v>
      </c>
      <c r="H119" s="9">
        <v>344.36500000000001</v>
      </c>
      <c r="I119" s="14">
        <f>Calc_overview[[#This Row],[Total_CZK]]/Calc!$D$1</f>
        <v>13.7746</v>
      </c>
    </row>
    <row r="120" spans="2:9" x14ac:dyDescent="0.2">
      <c r="B120" s="4" t="s">
        <v>928</v>
      </c>
      <c r="C120" s="4" t="s">
        <v>929</v>
      </c>
      <c r="D120">
        <v>233.36500000000001</v>
      </c>
      <c r="E120">
        <v>50</v>
      </c>
      <c r="F120">
        <v>1</v>
      </c>
      <c r="G120">
        <v>60</v>
      </c>
      <c r="H120" s="9">
        <v>344.36500000000001</v>
      </c>
      <c r="I120" s="14">
        <f>Calc_overview[[#This Row],[Total_CZK]]/Calc!$D$1</f>
        <v>13.7746</v>
      </c>
    </row>
    <row r="121" spans="2:9" x14ac:dyDescent="0.2">
      <c r="B121" s="4" t="s">
        <v>930</v>
      </c>
      <c r="C121" s="4" t="s">
        <v>931</v>
      </c>
      <c r="D121">
        <v>233.36500000000001</v>
      </c>
      <c r="E121">
        <v>50</v>
      </c>
      <c r="F121">
        <v>1</v>
      </c>
      <c r="G121">
        <v>60</v>
      </c>
      <c r="H121" s="9">
        <v>344.36500000000001</v>
      </c>
      <c r="I121" s="14">
        <f>Calc_overview[[#This Row],[Total_CZK]]/Calc!$D$1</f>
        <v>13.7746</v>
      </c>
    </row>
    <row r="122" spans="2:9" x14ac:dyDescent="0.2">
      <c r="B122" s="4" t="s">
        <v>856</v>
      </c>
      <c r="C122" s="4" t="s">
        <v>857</v>
      </c>
      <c r="D122">
        <v>207.08</v>
      </c>
      <c r="E122">
        <v>50</v>
      </c>
      <c r="F122">
        <v>1</v>
      </c>
      <c r="G122">
        <v>60</v>
      </c>
      <c r="H122" s="9">
        <v>318.08</v>
      </c>
      <c r="I122" s="14">
        <f>Calc_overview[[#This Row],[Total_CZK]]/Calc!$D$1</f>
        <v>12.723199999999999</v>
      </c>
    </row>
    <row r="123" spans="2:9" x14ac:dyDescent="0.2">
      <c r="B123" s="4" t="s">
        <v>858</v>
      </c>
      <c r="C123" s="4" t="s">
        <v>859</v>
      </c>
      <c r="D123">
        <v>207.08</v>
      </c>
      <c r="E123">
        <v>50</v>
      </c>
      <c r="F123">
        <v>1</v>
      </c>
      <c r="G123">
        <v>60</v>
      </c>
      <c r="H123" s="9">
        <v>318.08</v>
      </c>
      <c r="I123" s="14">
        <f>Calc_overview[[#This Row],[Total_CZK]]/Calc!$D$1</f>
        <v>12.723199999999999</v>
      </c>
    </row>
    <row r="124" spans="2:9" x14ac:dyDescent="0.2">
      <c r="B124" s="4" t="s">
        <v>860</v>
      </c>
      <c r="C124" s="4" t="s">
        <v>861</v>
      </c>
      <c r="D124">
        <v>207.08</v>
      </c>
      <c r="E124">
        <v>50</v>
      </c>
      <c r="F124">
        <v>1</v>
      </c>
      <c r="G124">
        <v>60</v>
      </c>
      <c r="H124" s="9">
        <v>318.08</v>
      </c>
      <c r="I124" s="14">
        <f>Calc_overview[[#This Row],[Total_CZK]]/Calc!$D$1</f>
        <v>12.723199999999999</v>
      </c>
    </row>
    <row r="125" spans="2:9" x14ac:dyDescent="0.2">
      <c r="B125" t="s">
        <v>984</v>
      </c>
      <c r="C125" s="4" t="s">
        <v>199</v>
      </c>
      <c r="D125">
        <v>200.76</v>
      </c>
      <c r="E125">
        <v>50</v>
      </c>
      <c r="F125">
        <v>1</v>
      </c>
      <c r="G125">
        <v>60</v>
      </c>
      <c r="H125" s="9">
        <v>311.76</v>
      </c>
      <c r="I125" s="14">
        <f>Calc_overview[[#This Row],[Total_CZK]]/Calc!$D$1</f>
        <v>12.4704</v>
      </c>
    </row>
    <row r="126" spans="2:9" x14ac:dyDescent="0.2">
      <c r="B126" s="4" t="s">
        <v>952</v>
      </c>
      <c r="C126" s="4" t="s">
        <v>953</v>
      </c>
      <c r="D126">
        <v>160.21299999999999</v>
      </c>
      <c r="E126">
        <v>50</v>
      </c>
      <c r="F126">
        <v>1</v>
      </c>
      <c r="G126">
        <v>60</v>
      </c>
      <c r="H126" s="9">
        <v>271.21300000000002</v>
      </c>
      <c r="I126" s="14">
        <f>Calc_overview[[#This Row],[Total_CZK]]/Calc!$D$1</f>
        <v>10.848520000000001</v>
      </c>
    </row>
    <row r="127" spans="2:9" x14ac:dyDescent="0.2">
      <c r="B127" s="4" t="s">
        <v>954</v>
      </c>
      <c r="C127" s="4" t="s">
        <v>955</v>
      </c>
      <c r="D127">
        <v>160.21299999999999</v>
      </c>
      <c r="E127">
        <v>50</v>
      </c>
      <c r="F127">
        <v>1</v>
      </c>
      <c r="G127">
        <v>60</v>
      </c>
      <c r="H127" s="9">
        <v>271.21300000000002</v>
      </c>
      <c r="I127" s="14">
        <f>Calc_overview[[#This Row],[Total_CZK]]/Calc!$D$1</f>
        <v>10.848520000000001</v>
      </c>
    </row>
    <row r="128" spans="2:9" x14ac:dyDescent="0.2">
      <c r="B128" s="4" t="s">
        <v>932</v>
      </c>
      <c r="C128" s="4" t="s">
        <v>933</v>
      </c>
      <c r="D128">
        <v>120.95</v>
      </c>
      <c r="E128">
        <v>50</v>
      </c>
      <c r="F128">
        <v>1</v>
      </c>
      <c r="G128">
        <v>60</v>
      </c>
      <c r="H128" s="9">
        <v>231.95</v>
      </c>
      <c r="I128" s="14">
        <f>Calc_overview[[#This Row],[Total_CZK]]/Calc!$D$1</f>
        <v>9.2779999999999987</v>
      </c>
    </row>
    <row r="129" spans="2:9" x14ac:dyDescent="0.2">
      <c r="B129" s="4" t="s">
        <v>934</v>
      </c>
      <c r="C129" s="4" t="s">
        <v>935</v>
      </c>
      <c r="D129">
        <v>120.95</v>
      </c>
      <c r="E129">
        <v>50</v>
      </c>
      <c r="F129">
        <v>1</v>
      </c>
      <c r="G129">
        <v>60</v>
      </c>
      <c r="H129" s="9">
        <v>231.95</v>
      </c>
      <c r="I129" s="14">
        <f>Calc_overview[[#This Row],[Total_CZK]]/Calc!$D$1</f>
        <v>9.2779999999999987</v>
      </c>
    </row>
    <row r="130" spans="2:9" x14ac:dyDescent="0.2">
      <c r="B130" s="4" t="s">
        <v>936</v>
      </c>
      <c r="C130" s="4" t="s">
        <v>937</v>
      </c>
      <c r="D130">
        <v>120.95</v>
      </c>
      <c r="E130">
        <v>50</v>
      </c>
      <c r="F130">
        <v>1</v>
      </c>
      <c r="G130">
        <v>60</v>
      </c>
      <c r="H130" s="9">
        <v>231.95</v>
      </c>
      <c r="I130" s="14">
        <f>Calc_overview[[#This Row],[Total_CZK]]/Calc!$D$1</f>
        <v>9.2779999999999987</v>
      </c>
    </row>
    <row r="131" spans="2:9" x14ac:dyDescent="0.2">
      <c r="B131" s="4" t="s">
        <v>942</v>
      </c>
      <c r="C131" s="4" t="s">
        <v>943</v>
      </c>
      <c r="D131">
        <v>120.95</v>
      </c>
      <c r="E131">
        <v>50</v>
      </c>
      <c r="F131">
        <v>1</v>
      </c>
      <c r="G131">
        <v>60</v>
      </c>
      <c r="H131" s="9">
        <v>231.95</v>
      </c>
      <c r="I131" s="14">
        <f>Calc_overview[[#This Row],[Total_CZK]]/Calc!$D$1</f>
        <v>9.2779999999999987</v>
      </c>
    </row>
    <row r="132" spans="2:9" x14ac:dyDescent="0.2">
      <c r="B132" s="4" t="s">
        <v>892</v>
      </c>
      <c r="C132" s="4" t="s">
        <v>893</v>
      </c>
      <c r="D132">
        <v>105.58</v>
      </c>
      <c r="E132">
        <v>50</v>
      </c>
      <c r="F132">
        <v>1</v>
      </c>
      <c r="G132">
        <v>60</v>
      </c>
      <c r="H132" s="9">
        <v>216.58</v>
      </c>
      <c r="I132" s="14">
        <f>Calc_overview[[#This Row],[Total_CZK]]/Calc!$D$1</f>
        <v>8.6631999999999998</v>
      </c>
    </row>
    <row r="133" spans="2:9" x14ac:dyDescent="0.2">
      <c r="B133" s="4" t="s">
        <v>894</v>
      </c>
      <c r="C133" s="4" t="s">
        <v>895</v>
      </c>
      <c r="D133">
        <v>105.58</v>
      </c>
      <c r="E133">
        <v>50</v>
      </c>
      <c r="F133">
        <v>1</v>
      </c>
      <c r="G133">
        <v>60</v>
      </c>
      <c r="H133" s="9">
        <v>216.58</v>
      </c>
      <c r="I133" s="14">
        <f>Calc_overview[[#This Row],[Total_CZK]]/Calc!$D$1</f>
        <v>8.6631999999999998</v>
      </c>
    </row>
    <row r="134" spans="2:9" x14ac:dyDescent="0.2">
      <c r="B134" s="4" t="s">
        <v>896</v>
      </c>
      <c r="C134" s="4" t="s">
        <v>897</v>
      </c>
      <c r="D134">
        <v>104.63</v>
      </c>
      <c r="E134">
        <v>50</v>
      </c>
      <c r="F134">
        <v>1</v>
      </c>
      <c r="G134">
        <v>60</v>
      </c>
      <c r="H134" s="9">
        <v>215.63</v>
      </c>
      <c r="I134" s="14">
        <f>Calc_overview[[#This Row],[Total_CZK]]/Calc!$D$1</f>
        <v>8.6251999999999995</v>
      </c>
    </row>
    <row r="135" spans="2:9" x14ac:dyDescent="0.2">
      <c r="B135" s="4" t="s">
        <v>898</v>
      </c>
      <c r="C135" s="4" t="s">
        <v>899</v>
      </c>
      <c r="D135">
        <v>104.63</v>
      </c>
      <c r="E135">
        <v>50</v>
      </c>
      <c r="F135">
        <v>1</v>
      </c>
      <c r="G135">
        <v>60</v>
      </c>
      <c r="H135" s="9">
        <v>215.63</v>
      </c>
      <c r="I135" s="14">
        <f>Calc_overview[[#This Row],[Total_CZK]]/Calc!$D$1</f>
        <v>8.6251999999999995</v>
      </c>
    </row>
    <row r="136" spans="2:9" x14ac:dyDescent="0.2">
      <c r="B136" s="4" t="s">
        <v>902</v>
      </c>
      <c r="C136" s="4" t="s">
        <v>903</v>
      </c>
      <c r="D136">
        <v>104.63</v>
      </c>
      <c r="E136">
        <v>50</v>
      </c>
      <c r="F136">
        <v>1</v>
      </c>
      <c r="G136">
        <v>60</v>
      </c>
      <c r="H136" s="9">
        <v>215.63</v>
      </c>
      <c r="I136" s="14">
        <f>Calc_overview[[#This Row],[Total_CZK]]/Calc!$D$1</f>
        <v>8.6251999999999995</v>
      </c>
    </row>
    <row r="137" spans="2:9" x14ac:dyDescent="0.2">
      <c r="B137" s="4" t="s">
        <v>900</v>
      </c>
      <c r="C137" s="4" t="s">
        <v>901</v>
      </c>
      <c r="D137">
        <v>102.13</v>
      </c>
      <c r="E137">
        <v>50</v>
      </c>
      <c r="F137">
        <v>1</v>
      </c>
      <c r="G137">
        <v>60</v>
      </c>
      <c r="H137" s="9">
        <v>213.13</v>
      </c>
      <c r="I137" s="14">
        <f>Calc_overview[[#This Row],[Total_CZK]]/Calc!$D$1</f>
        <v>8.5251999999999999</v>
      </c>
    </row>
    <row r="138" spans="2:9" x14ac:dyDescent="0.2">
      <c r="B138" s="4" t="s">
        <v>862</v>
      </c>
      <c r="C138" s="4" t="s">
        <v>863</v>
      </c>
      <c r="D138">
        <v>93.69</v>
      </c>
      <c r="E138">
        <v>50</v>
      </c>
      <c r="F138">
        <v>1</v>
      </c>
      <c r="G138">
        <v>60</v>
      </c>
      <c r="H138" s="9">
        <v>204.69</v>
      </c>
      <c r="I138" s="14">
        <f>Calc_overview[[#This Row],[Total_CZK]]/Calc!$D$1</f>
        <v>8.1875999999999998</v>
      </c>
    </row>
    <row r="139" spans="2:9" x14ac:dyDescent="0.2">
      <c r="B139" s="4" t="s">
        <v>864</v>
      </c>
      <c r="C139" s="4" t="s">
        <v>865</v>
      </c>
      <c r="D139">
        <v>93.69</v>
      </c>
      <c r="E139">
        <v>50</v>
      </c>
      <c r="F139">
        <v>1</v>
      </c>
      <c r="G139">
        <v>60</v>
      </c>
      <c r="H139" s="9">
        <v>204.69</v>
      </c>
      <c r="I139" s="14">
        <f>Calc_overview[[#This Row],[Total_CZK]]/Calc!$D$1</f>
        <v>8.1875999999999998</v>
      </c>
    </row>
    <row r="140" spans="2:9" x14ac:dyDescent="0.2">
      <c r="B140" s="4" t="s">
        <v>866</v>
      </c>
      <c r="C140" s="4" t="s">
        <v>867</v>
      </c>
      <c r="D140">
        <v>93.69</v>
      </c>
      <c r="E140">
        <v>50</v>
      </c>
      <c r="F140">
        <v>1</v>
      </c>
      <c r="G140">
        <v>60</v>
      </c>
      <c r="H140" s="9">
        <v>204.69</v>
      </c>
      <c r="I140" s="14">
        <f>Calc_overview[[#This Row],[Total_CZK]]/Calc!$D$1</f>
        <v>8.1875999999999998</v>
      </c>
    </row>
    <row r="141" spans="2:9" x14ac:dyDescent="0.2">
      <c r="B141" s="4" t="s">
        <v>940</v>
      </c>
      <c r="C141" s="4" t="s">
        <v>941</v>
      </c>
      <c r="D141">
        <v>89.85</v>
      </c>
      <c r="E141">
        <v>50</v>
      </c>
      <c r="F141">
        <v>1</v>
      </c>
      <c r="G141">
        <v>60</v>
      </c>
      <c r="H141" s="9">
        <v>200.85</v>
      </c>
      <c r="I141" s="14">
        <f>Calc_overview[[#This Row],[Total_CZK]]/Calc!$D$1</f>
        <v>8.0339999999999989</v>
      </c>
    </row>
    <row r="142" spans="2:9" x14ac:dyDescent="0.2">
      <c r="B142" s="4" t="s">
        <v>938</v>
      </c>
      <c r="C142" s="4" t="s">
        <v>939</v>
      </c>
      <c r="D142">
        <v>89.75</v>
      </c>
      <c r="E142">
        <v>50</v>
      </c>
      <c r="F142">
        <v>1</v>
      </c>
      <c r="G142">
        <v>60</v>
      </c>
      <c r="H142" s="9">
        <v>200.75</v>
      </c>
      <c r="I142" s="14">
        <f>Calc_overview[[#This Row],[Total_CZK]]/Calc!$D$1</f>
        <v>8.0299999999999994</v>
      </c>
    </row>
    <row r="143" spans="2:9" x14ac:dyDescent="0.2">
      <c r="B143" s="4" t="s">
        <v>944</v>
      </c>
      <c r="C143" s="4" t="s">
        <v>945</v>
      </c>
      <c r="D143">
        <v>84.632000000000005</v>
      </c>
      <c r="E143">
        <v>50</v>
      </c>
      <c r="F143">
        <v>1</v>
      </c>
      <c r="G143">
        <v>60</v>
      </c>
      <c r="H143" s="9">
        <v>195.63200000000001</v>
      </c>
      <c r="I143" s="14">
        <f>Calc_overview[[#This Row],[Total_CZK]]/Calc!$D$1</f>
        <v>7.8252800000000002</v>
      </c>
    </row>
    <row r="144" spans="2:9" x14ac:dyDescent="0.2">
      <c r="B144" s="4" t="s">
        <v>946</v>
      </c>
      <c r="C144" s="4" t="s">
        <v>947</v>
      </c>
      <c r="D144">
        <v>84.632000000000005</v>
      </c>
      <c r="E144">
        <v>50</v>
      </c>
      <c r="F144">
        <v>1</v>
      </c>
      <c r="G144">
        <v>60</v>
      </c>
      <c r="H144" s="9">
        <v>195.63200000000001</v>
      </c>
      <c r="I144" s="14">
        <f>Calc_overview[[#This Row],[Total_CZK]]/Calc!$D$1</f>
        <v>7.8252800000000002</v>
      </c>
    </row>
    <row r="145" spans="2:9" x14ac:dyDescent="0.2">
      <c r="B145" s="4" t="s">
        <v>948</v>
      </c>
      <c r="C145" s="4" t="s">
        <v>949</v>
      </c>
      <c r="D145">
        <v>84.632000000000005</v>
      </c>
      <c r="E145">
        <v>50</v>
      </c>
      <c r="F145">
        <v>1</v>
      </c>
      <c r="G145">
        <v>60</v>
      </c>
      <c r="H145" s="9">
        <v>195.63200000000001</v>
      </c>
      <c r="I145" s="14">
        <f>Calc_overview[[#This Row],[Total_CZK]]/Calc!$D$1</f>
        <v>7.8252800000000002</v>
      </c>
    </row>
    <row r="146" spans="2:9" x14ac:dyDescent="0.2">
      <c r="B146" s="4" t="s">
        <v>876</v>
      </c>
      <c r="C146" s="4" t="s">
        <v>877</v>
      </c>
      <c r="D146">
        <v>83.905000000000001</v>
      </c>
      <c r="E146">
        <v>50</v>
      </c>
      <c r="F146">
        <v>1</v>
      </c>
      <c r="G146">
        <v>60</v>
      </c>
      <c r="H146" s="9">
        <v>194.905</v>
      </c>
      <c r="I146" s="14">
        <f>Calc_overview[[#This Row],[Total_CZK]]/Calc!$D$1</f>
        <v>7.7961999999999998</v>
      </c>
    </row>
    <row r="147" spans="2:9" x14ac:dyDescent="0.2">
      <c r="B147" s="4" t="s">
        <v>878</v>
      </c>
      <c r="C147" s="4" t="s">
        <v>879</v>
      </c>
      <c r="D147">
        <v>83.905000000000001</v>
      </c>
      <c r="E147">
        <v>50</v>
      </c>
      <c r="F147">
        <v>1</v>
      </c>
      <c r="G147">
        <v>60</v>
      </c>
      <c r="H147" s="9">
        <v>194.905</v>
      </c>
      <c r="I147" s="14">
        <f>Calc_overview[[#This Row],[Total_CZK]]/Calc!$D$1</f>
        <v>7.7961999999999998</v>
      </c>
    </row>
    <row r="148" spans="2:9" x14ac:dyDescent="0.2">
      <c r="B148" s="4" t="s">
        <v>880</v>
      </c>
      <c r="C148" s="4" t="s">
        <v>881</v>
      </c>
      <c r="D148">
        <v>83.905000000000001</v>
      </c>
      <c r="E148">
        <v>50</v>
      </c>
      <c r="F148">
        <v>1</v>
      </c>
      <c r="G148">
        <v>60</v>
      </c>
      <c r="H148" s="9">
        <v>194.905</v>
      </c>
      <c r="I148" s="14">
        <f>Calc_overview[[#This Row],[Total_CZK]]/Calc!$D$1</f>
        <v>7.7961999999999998</v>
      </c>
    </row>
    <row r="149" spans="2:9" x14ac:dyDescent="0.2">
      <c r="B149" s="4" t="s">
        <v>882</v>
      </c>
      <c r="C149" s="4" t="s">
        <v>883</v>
      </c>
      <c r="D149">
        <v>83.905000000000001</v>
      </c>
      <c r="E149">
        <v>50</v>
      </c>
      <c r="F149">
        <v>1</v>
      </c>
      <c r="G149">
        <v>60</v>
      </c>
      <c r="H149" s="9">
        <v>194.905</v>
      </c>
      <c r="I149" s="14">
        <f>Calc_overview[[#This Row],[Total_CZK]]/Calc!$D$1</f>
        <v>7.7961999999999998</v>
      </c>
    </row>
    <row r="150" spans="2:9" x14ac:dyDescent="0.2">
      <c r="B150" s="4" t="s">
        <v>884</v>
      </c>
      <c r="C150" s="4" t="s">
        <v>885</v>
      </c>
      <c r="D150">
        <v>83.905000000000001</v>
      </c>
      <c r="E150">
        <v>50</v>
      </c>
      <c r="F150">
        <v>1</v>
      </c>
      <c r="G150">
        <v>60</v>
      </c>
      <c r="H150" s="9">
        <v>194.905</v>
      </c>
      <c r="I150" s="14">
        <f>Calc_overview[[#This Row],[Total_CZK]]/Calc!$D$1</f>
        <v>7.7961999999999998</v>
      </c>
    </row>
    <row r="151" spans="2:9" x14ac:dyDescent="0.2">
      <c r="B151" s="4" t="s">
        <v>886</v>
      </c>
      <c r="C151" s="4" t="s">
        <v>887</v>
      </c>
      <c r="D151">
        <v>83.905000000000001</v>
      </c>
      <c r="E151">
        <v>50</v>
      </c>
      <c r="F151">
        <v>1</v>
      </c>
      <c r="G151">
        <v>60</v>
      </c>
      <c r="H151" s="9">
        <v>194.905</v>
      </c>
      <c r="I151" s="14">
        <f>Calc_overview[[#This Row],[Total_CZK]]/Calc!$D$1</f>
        <v>7.7961999999999998</v>
      </c>
    </row>
    <row r="152" spans="2:9" x14ac:dyDescent="0.2">
      <c r="B152" s="4" t="s">
        <v>888</v>
      </c>
      <c r="C152" s="4" t="s">
        <v>889</v>
      </c>
      <c r="D152">
        <v>83.905000000000001</v>
      </c>
      <c r="E152">
        <v>50</v>
      </c>
      <c r="F152">
        <v>1</v>
      </c>
      <c r="G152">
        <v>60</v>
      </c>
      <c r="H152" s="9">
        <v>194.905</v>
      </c>
      <c r="I152" s="14">
        <f>Calc_overview[[#This Row],[Total_CZK]]/Calc!$D$1</f>
        <v>7.7961999999999998</v>
      </c>
    </row>
    <row r="153" spans="2:9" x14ac:dyDescent="0.2">
      <c r="B153" s="4" t="s">
        <v>868</v>
      </c>
      <c r="C153" s="4" t="s">
        <v>869</v>
      </c>
      <c r="D153">
        <v>60.765000000000001</v>
      </c>
      <c r="E153">
        <v>50</v>
      </c>
      <c r="F153">
        <v>1</v>
      </c>
      <c r="G153">
        <v>60</v>
      </c>
      <c r="H153" s="9">
        <v>171.76499999999999</v>
      </c>
      <c r="I153" s="14">
        <f>Calc_overview[[#This Row],[Total_CZK]]/Calc!$D$1</f>
        <v>6.8705999999999996</v>
      </c>
    </row>
    <row r="154" spans="2:9" x14ac:dyDescent="0.2">
      <c r="B154" s="4" t="s">
        <v>870</v>
      </c>
      <c r="C154" s="4" t="s">
        <v>871</v>
      </c>
      <c r="D154">
        <v>57.75</v>
      </c>
      <c r="E154">
        <v>50</v>
      </c>
      <c r="F154">
        <v>1</v>
      </c>
      <c r="G154">
        <v>60</v>
      </c>
      <c r="H154" s="9">
        <v>168.75</v>
      </c>
      <c r="I154" s="14">
        <f>Calc_overview[[#This Row],[Total_CZK]]/Calc!$D$1</f>
        <v>6.75</v>
      </c>
    </row>
    <row r="155" spans="2:9" x14ac:dyDescent="0.2">
      <c r="B155" s="4" t="s">
        <v>914</v>
      </c>
      <c r="C155" s="4" t="s">
        <v>915</v>
      </c>
      <c r="D155">
        <v>43.155999999999999</v>
      </c>
      <c r="E155">
        <v>50</v>
      </c>
      <c r="F155">
        <v>1</v>
      </c>
      <c r="G155">
        <v>60</v>
      </c>
      <c r="H155" s="9">
        <v>154.15600000000001</v>
      </c>
      <c r="I155" s="14">
        <f>Calc_overview[[#This Row],[Total_CZK]]/Calc!$D$1</f>
        <v>6.1662400000000002</v>
      </c>
    </row>
    <row r="156" spans="2:9" x14ac:dyDescent="0.2">
      <c r="B156" s="4" t="s">
        <v>916</v>
      </c>
      <c r="C156" s="4" t="s">
        <v>917</v>
      </c>
      <c r="D156">
        <v>43.155999999999999</v>
      </c>
      <c r="E156">
        <v>50</v>
      </c>
      <c r="F156">
        <v>1</v>
      </c>
      <c r="G156">
        <v>60</v>
      </c>
      <c r="H156" s="9">
        <v>154.15600000000001</v>
      </c>
      <c r="I156" s="14">
        <f>Calc_overview[[#This Row],[Total_CZK]]/Calc!$D$1</f>
        <v>6.1662400000000002</v>
      </c>
    </row>
    <row r="157" spans="2:9" x14ac:dyDescent="0.2">
      <c r="B157" s="4" t="s">
        <v>912</v>
      </c>
      <c r="C157" s="4" t="s">
        <v>913</v>
      </c>
      <c r="D157">
        <v>39.811</v>
      </c>
      <c r="E157">
        <v>50</v>
      </c>
      <c r="F157">
        <v>1</v>
      </c>
      <c r="G157">
        <v>60</v>
      </c>
      <c r="H157" s="9">
        <v>150.81100000000001</v>
      </c>
      <c r="I157" s="14">
        <f>Calc_overview[[#This Row],[Total_CZK]]/Calc!$D$1</f>
        <v>6.0324400000000002</v>
      </c>
    </row>
    <row r="158" spans="2:9" x14ac:dyDescent="0.2">
      <c r="B158" s="4" t="s">
        <v>920</v>
      </c>
      <c r="C158" s="4" t="s">
        <v>921</v>
      </c>
      <c r="D158">
        <v>37.74</v>
      </c>
      <c r="E158">
        <v>50</v>
      </c>
      <c r="F158">
        <v>1</v>
      </c>
      <c r="G158">
        <v>60</v>
      </c>
      <c r="H158" s="9">
        <v>148.74</v>
      </c>
      <c r="I158" s="14">
        <f>Calc_overview[[#This Row],[Total_CZK]]/Calc!$D$1</f>
        <v>5.9496000000000002</v>
      </c>
    </row>
    <row r="159" spans="2:9" x14ac:dyDescent="0.2">
      <c r="B159" s="4" t="s">
        <v>904</v>
      </c>
      <c r="C159" s="4" t="s">
        <v>905</v>
      </c>
      <c r="D159">
        <v>36.299999999999997</v>
      </c>
      <c r="E159">
        <v>50</v>
      </c>
      <c r="F159">
        <v>1</v>
      </c>
      <c r="G159">
        <v>60</v>
      </c>
      <c r="H159" s="9">
        <v>147.30000000000001</v>
      </c>
      <c r="I159" s="14">
        <f>Calc_overview[[#This Row],[Total_CZK]]/Calc!$D$1</f>
        <v>5.8920000000000003</v>
      </c>
    </row>
    <row r="160" spans="2:9" x14ac:dyDescent="0.2">
      <c r="B160" s="4" t="s">
        <v>906</v>
      </c>
      <c r="C160" s="4" t="s">
        <v>907</v>
      </c>
      <c r="D160">
        <v>36.299999999999997</v>
      </c>
      <c r="E160">
        <v>50</v>
      </c>
      <c r="F160">
        <v>1</v>
      </c>
      <c r="G160">
        <v>60</v>
      </c>
      <c r="H160" s="9">
        <v>147.30000000000001</v>
      </c>
      <c r="I160" s="14">
        <f>Calc_overview[[#This Row],[Total_CZK]]/Calc!$D$1</f>
        <v>5.8920000000000003</v>
      </c>
    </row>
    <row r="161" spans="2:9" x14ac:dyDescent="0.2">
      <c r="B161" s="4" t="s">
        <v>908</v>
      </c>
      <c r="C161" s="4" t="s">
        <v>909</v>
      </c>
      <c r="D161">
        <v>36.299999999999997</v>
      </c>
      <c r="E161">
        <v>50</v>
      </c>
      <c r="F161">
        <v>1</v>
      </c>
      <c r="G161">
        <v>60</v>
      </c>
      <c r="H161" s="9">
        <v>147.30000000000001</v>
      </c>
      <c r="I161" s="14">
        <f>Calc_overview[[#This Row],[Total_CZK]]/Calc!$D$1</f>
        <v>5.8920000000000003</v>
      </c>
    </row>
    <row r="162" spans="2:9" x14ac:dyDescent="0.2">
      <c r="B162" s="4" t="s">
        <v>872</v>
      </c>
      <c r="C162" s="4" t="s">
        <v>873</v>
      </c>
      <c r="D162">
        <v>31.56</v>
      </c>
      <c r="E162">
        <v>50</v>
      </c>
      <c r="F162">
        <v>1</v>
      </c>
      <c r="G162">
        <v>60</v>
      </c>
      <c r="H162" s="9">
        <v>142.56</v>
      </c>
      <c r="I162" s="14">
        <f>Calc_overview[[#This Row],[Total_CZK]]/Calc!$D$1</f>
        <v>5.7023999999999999</v>
      </c>
    </row>
    <row r="163" spans="2:9" x14ac:dyDescent="0.2">
      <c r="B163" s="4" t="s">
        <v>874</v>
      </c>
      <c r="C163" s="4" t="s">
        <v>875</v>
      </c>
      <c r="D163">
        <v>31.56</v>
      </c>
      <c r="E163">
        <v>50</v>
      </c>
      <c r="F163">
        <v>1</v>
      </c>
      <c r="G163">
        <v>60</v>
      </c>
      <c r="H163" s="9">
        <v>142.56</v>
      </c>
      <c r="I163" s="14">
        <f>Calc_overview[[#This Row],[Total_CZK]]/Calc!$D$1</f>
        <v>5.7023999999999999</v>
      </c>
    </row>
    <row r="164" spans="2:9" x14ac:dyDescent="0.2">
      <c r="B164" s="4" t="s">
        <v>910</v>
      </c>
      <c r="C164" s="4" t="s">
        <v>911</v>
      </c>
      <c r="D164">
        <v>28.53</v>
      </c>
      <c r="E164">
        <v>50</v>
      </c>
      <c r="F164">
        <v>1</v>
      </c>
      <c r="G164">
        <v>60</v>
      </c>
      <c r="H164" s="9">
        <v>139.53</v>
      </c>
      <c r="I164" s="14">
        <f>Calc_overview[[#This Row],[Total_CZK]]/Calc!$D$1</f>
        <v>5.5811999999999999</v>
      </c>
    </row>
    <row r="165" spans="2:9" x14ac:dyDescent="0.2">
      <c r="B165" s="4" t="s">
        <v>950</v>
      </c>
      <c r="C165" s="4" t="s">
        <v>951</v>
      </c>
      <c r="D165">
        <v>27.15</v>
      </c>
      <c r="E165">
        <v>50</v>
      </c>
      <c r="F165">
        <v>1</v>
      </c>
      <c r="G165">
        <v>60</v>
      </c>
      <c r="H165" s="9">
        <v>138.15</v>
      </c>
      <c r="I165" s="14">
        <f>Calc_overview[[#This Row],[Total_CZK]]/Calc!$D$1</f>
        <v>5.5259999999999998</v>
      </c>
    </row>
    <row r="166" spans="2:9" x14ac:dyDescent="0.2">
      <c r="B166" t="s">
        <v>1023</v>
      </c>
      <c r="C166" s="4" t="s">
        <v>1024</v>
      </c>
      <c r="D166">
        <v>5.15</v>
      </c>
      <c r="E166">
        <v>50</v>
      </c>
      <c r="F166">
        <v>1</v>
      </c>
      <c r="G166">
        <v>60</v>
      </c>
      <c r="H166" s="9">
        <v>116.15</v>
      </c>
      <c r="I166" s="14">
        <f>Calc_overview[[#This Row],[Total_CZK]]/Calc!$D$1</f>
        <v>4.6459999999999999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RefreshCalcOverviewButton">
          <controlPr defaultSize="0" autoLine="0" r:id="rId4">
            <anchor moveWithCells="1">
              <from>
                <xdr:col>1</xdr:col>
                <xdr:colOff>76200</xdr:colOff>
                <xdr:row>0</xdr:row>
                <xdr:rowOff>57150</xdr:rowOff>
              </from>
              <to>
                <xdr:col>1</xdr:col>
                <xdr:colOff>1666875</xdr:colOff>
                <xdr:row>1</xdr:row>
                <xdr:rowOff>190500</xdr:rowOff>
              </to>
            </anchor>
          </controlPr>
        </control>
      </mc:Choice>
      <mc:Fallback>
        <control shapeId="5121" r:id="rId3" name="RefreshCalcOverviewButton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DD63C-DFDC-493A-BFE4-FEE9B4087C39}">
  <sheetPr codeName="Sheet3"/>
  <dimension ref="B2:M417"/>
  <sheetViews>
    <sheetView showGridLines="0" workbookViewId="0">
      <selection activeCell="C20" sqref="C20"/>
    </sheetView>
  </sheetViews>
  <sheetFormatPr defaultRowHeight="12.75" x14ac:dyDescent="0.2"/>
  <cols>
    <col min="2" max="2" width="12.140625" bestFit="1" customWidth="1"/>
    <col min="3" max="3" width="42.5703125" bestFit="1" customWidth="1"/>
    <col min="4" max="4" width="8.140625" bestFit="1" customWidth="1"/>
    <col min="5" max="5" width="11" bestFit="1" customWidth="1"/>
    <col min="6" max="6" width="10.5703125" bestFit="1" customWidth="1"/>
    <col min="7" max="7" width="9.140625" bestFit="1" customWidth="1"/>
    <col min="8" max="8" width="11.85546875" bestFit="1" customWidth="1"/>
    <col min="9" max="9" width="14.5703125" bestFit="1" customWidth="1"/>
    <col min="10" max="10" width="9" bestFit="1" customWidth="1"/>
    <col min="11" max="11" width="11.85546875" bestFit="1" customWidth="1"/>
    <col min="12" max="12" width="14.5703125" bestFit="1" customWidth="1"/>
    <col min="13" max="13" width="15" bestFit="1" customWidth="1"/>
    <col min="14" max="14" width="19.42578125" bestFit="1" customWidth="1"/>
    <col min="15" max="15" width="17.28515625" bestFit="1" customWidth="1"/>
  </cols>
  <sheetData>
    <row r="2" spans="2:13" ht="27.75" customHeight="1" x14ac:dyDescent="0.3">
      <c r="K2" s="10" t="s">
        <v>279</v>
      </c>
      <c r="L2" s="23">
        <f>SUBTOTAL(9,material_com_value[total])</f>
        <v>7596423.7414999995</v>
      </c>
      <c r="M2" s="24"/>
    </row>
    <row r="3" spans="2:13" ht="27.75" customHeight="1" x14ac:dyDescent="0.2"/>
    <row r="4" spans="2:13" x14ac:dyDescent="0.2">
      <c r="B4" t="s">
        <v>832</v>
      </c>
      <c r="C4" t="s">
        <v>1</v>
      </c>
      <c r="D4" t="s">
        <v>406</v>
      </c>
      <c r="E4" t="s">
        <v>407</v>
      </c>
      <c r="F4" t="s">
        <v>274</v>
      </c>
      <c r="G4" s="16" t="s">
        <v>275</v>
      </c>
      <c r="H4" t="s">
        <v>833</v>
      </c>
      <c r="I4" t="s">
        <v>834</v>
      </c>
      <c r="K4" t="s">
        <v>833</v>
      </c>
      <c r="L4" t="s">
        <v>834</v>
      </c>
      <c r="M4" s="15" t="s">
        <v>275</v>
      </c>
    </row>
    <row r="5" spans="2:13" x14ac:dyDescent="0.2">
      <c r="B5" t="s">
        <v>504</v>
      </c>
      <c r="C5" t="s">
        <v>505</v>
      </c>
      <c r="D5">
        <v>31500</v>
      </c>
      <c r="E5" t="s">
        <v>443</v>
      </c>
      <c r="F5">
        <v>190</v>
      </c>
      <c r="G5">
        <v>5985000</v>
      </c>
      <c r="H5" t="s">
        <v>837</v>
      </c>
      <c r="I5" t="s">
        <v>842</v>
      </c>
      <c r="K5" t="s">
        <v>835</v>
      </c>
      <c r="L5" t="s">
        <v>836</v>
      </c>
      <c r="M5" s="13">
        <v>48207.5</v>
      </c>
    </row>
    <row r="6" spans="2:13" x14ac:dyDescent="0.2">
      <c r="B6" t="s">
        <v>101</v>
      </c>
      <c r="C6" t="s">
        <v>333</v>
      </c>
      <c r="D6">
        <v>114.44</v>
      </c>
      <c r="E6" t="s">
        <v>443</v>
      </c>
      <c r="F6">
        <v>1200</v>
      </c>
      <c r="G6">
        <v>137328</v>
      </c>
      <c r="H6" t="s">
        <v>849</v>
      </c>
      <c r="I6" t="s">
        <v>836</v>
      </c>
      <c r="K6" t="s">
        <v>837</v>
      </c>
      <c r="L6" t="s">
        <v>838</v>
      </c>
      <c r="M6" s="13">
        <v>0</v>
      </c>
    </row>
    <row r="7" spans="2:13" x14ac:dyDescent="0.2">
      <c r="B7" t="s">
        <v>102</v>
      </c>
      <c r="C7" t="s">
        <v>339</v>
      </c>
      <c r="D7">
        <v>90</v>
      </c>
      <c r="E7" t="s">
        <v>443</v>
      </c>
      <c r="F7">
        <v>1200</v>
      </c>
      <c r="G7">
        <v>108000</v>
      </c>
      <c r="H7" t="s">
        <v>849</v>
      </c>
      <c r="I7" t="s">
        <v>836</v>
      </c>
      <c r="K7" t="s">
        <v>837</v>
      </c>
      <c r="L7" t="s">
        <v>839</v>
      </c>
      <c r="M7" s="13">
        <v>0</v>
      </c>
    </row>
    <row r="8" spans="2:13" x14ac:dyDescent="0.2">
      <c r="B8" t="s">
        <v>4</v>
      </c>
      <c r="C8" t="s">
        <v>304</v>
      </c>
      <c r="D8">
        <v>8446.5</v>
      </c>
      <c r="E8" t="s">
        <v>589</v>
      </c>
      <c r="F8">
        <v>10.1</v>
      </c>
      <c r="G8">
        <v>85309.65</v>
      </c>
      <c r="H8" t="s">
        <v>850</v>
      </c>
      <c r="I8" t="s">
        <v>836</v>
      </c>
      <c r="K8" t="s">
        <v>837</v>
      </c>
      <c r="L8" t="s">
        <v>840</v>
      </c>
      <c r="M8" s="13">
        <v>114144</v>
      </c>
    </row>
    <row r="9" spans="2:13" x14ac:dyDescent="0.2">
      <c r="B9" t="s">
        <v>70</v>
      </c>
      <c r="C9" t="s">
        <v>342</v>
      </c>
      <c r="D9">
        <v>441.75</v>
      </c>
      <c r="E9" t="s">
        <v>443</v>
      </c>
      <c r="F9">
        <v>145</v>
      </c>
      <c r="G9">
        <v>64053.75</v>
      </c>
      <c r="H9" t="s">
        <v>837</v>
      </c>
      <c r="I9" t="s">
        <v>842</v>
      </c>
      <c r="K9" t="s">
        <v>837</v>
      </c>
      <c r="L9" t="s">
        <v>841</v>
      </c>
      <c r="M9" s="13">
        <v>19575</v>
      </c>
    </row>
    <row r="10" spans="2:13" x14ac:dyDescent="0.2">
      <c r="B10" t="s">
        <v>496</v>
      </c>
      <c r="C10" t="s">
        <v>497</v>
      </c>
      <c r="D10">
        <v>300</v>
      </c>
      <c r="E10" t="s">
        <v>443</v>
      </c>
      <c r="F10">
        <v>190</v>
      </c>
      <c r="G10">
        <v>57000</v>
      </c>
      <c r="H10" t="s">
        <v>837</v>
      </c>
      <c r="I10" t="s">
        <v>842</v>
      </c>
      <c r="K10" t="s">
        <v>837</v>
      </c>
      <c r="L10" t="s">
        <v>842</v>
      </c>
      <c r="M10" s="13">
        <v>6410575.1500000004</v>
      </c>
    </row>
    <row r="11" spans="2:13" x14ac:dyDescent="0.2">
      <c r="B11" t="s">
        <v>87</v>
      </c>
      <c r="C11" t="s">
        <v>348</v>
      </c>
      <c r="D11">
        <v>270</v>
      </c>
      <c r="E11" t="s">
        <v>443</v>
      </c>
      <c r="F11">
        <v>190</v>
      </c>
      <c r="G11">
        <v>51300</v>
      </c>
      <c r="H11" t="s">
        <v>837</v>
      </c>
      <c r="I11" t="s">
        <v>845</v>
      </c>
      <c r="K11" t="s">
        <v>837</v>
      </c>
      <c r="L11" t="s">
        <v>843</v>
      </c>
      <c r="M11" s="13">
        <v>0</v>
      </c>
    </row>
    <row r="12" spans="2:13" x14ac:dyDescent="0.2">
      <c r="B12" t="s">
        <v>32</v>
      </c>
      <c r="C12" t="s">
        <v>345</v>
      </c>
      <c r="D12">
        <v>500</v>
      </c>
      <c r="E12" t="s">
        <v>408</v>
      </c>
      <c r="F12">
        <v>100</v>
      </c>
      <c r="G12">
        <v>50000</v>
      </c>
      <c r="H12" t="s">
        <v>848</v>
      </c>
      <c r="I12" t="s">
        <v>836</v>
      </c>
      <c r="K12" t="s">
        <v>837</v>
      </c>
      <c r="L12" t="s">
        <v>844</v>
      </c>
      <c r="M12" s="13">
        <v>0</v>
      </c>
    </row>
    <row r="13" spans="2:13" x14ac:dyDescent="0.2">
      <c r="B13" t="s">
        <v>73</v>
      </c>
      <c r="C13" t="s">
        <v>390</v>
      </c>
      <c r="D13">
        <v>337.5</v>
      </c>
      <c r="E13" t="s">
        <v>443</v>
      </c>
      <c r="F13">
        <v>145</v>
      </c>
      <c r="G13">
        <v>48937.5</v>
      </c>
      <c r="H13" t="s">
        <v>837</v>
      </c>
      <c r="I13" t="s">
        <v>842</v>
      </c>
      <c r="K13" t="s">
        <v>837</v>
      </c>
      <c r="L13" t="s">
        <v>845</v>
      </c>
      <c r="M13" s="13">
        <v>106350</v>
      </c>
    </row>
    <row r="14" spans="2:13" x14ac:dyDescent="0.2">
      <c r="B14" t="s">
        <v>3</v>
      </c>
      <c r="C14" t="s">
        <v>370</v>
      </c>
      <c r="D14">
        <v>7082.5</v>
      </c>
      <c r="E14" t="s">
        <v>589</v>
      </c>
      <c r="F14">
        <v>5</v>
      </c>
      <c r="G14">
        <v>35412.5</v>
      </c>
      <c r="H14" t="s">
        <v>850</v>
      </c>
      <c r="I14" t="s">
        <v>836</v>
      </c>
      <c r="K14" t="s">
        <v>837</v>
      </c>
      <c r="L14" t="s">
        <v>846</v>
      </c>
      <c r="M14" s="13">
        <v>0</v>
      </c>
    </row>
    <row r="15" spans="2:13" x14ac:dyDescent="0.2">
      <c r="B15" t="s">
        <v>93</v>
      </c>
      <c r="C15" t="s">
        <v>327</v>
      </c>
      <c r="D15">
        <v>504.44499999999999</v>
      </c>
      <c r="E15" t="s">
        <v>443</v>
      </c>
      <c r="F15">
        <v>70</v>
      </c>
      <c r="G15">
        <v>35311.15</v>
      </c>
      <c r="H15" t="s">
        <v>837</v>
      </c>
      <c r="I15" t="s">
        <v>846</v>
      </c>
      <c r="K15" t="s">
        <v>847</v>
      </c>
      <c r="L15" t="s">
        <v>836</v>
      </c>
      <c r="M15" s="13">
        <v>8779.6</v>
      </c>
    </row>
    <row r="16" spans="2:13" x14ac:dyDescent="0.2">
      <c r="B16" t="s">
        <v>94</v>
      </c>
      <c r="C16" t="s">
        <v>280</v>
      </c>
      <c r="D16">
        <v>9842</v>
      </c>
      <c r="E16" t="s">
        <v>408</v>
      </c>
      <c r="F16">
        <v>3.5</v>
      </c>
      <c r="G16">
        <v>34447</v>
      </c>
      <c r="H16" t="s">
        <v>835</v>
      </c>
      <c r="I16" t="s">
        <v>836</v>
      </c>
      <c r="K16" t="s">
        <v>848</v>
      </c>
      <c r="L16" t="s">
        <v>836</v>
      </c>
      <c r="M16" s="13">
        <v>404463.55</v>
      </c>
    </row>
    <row r="17" spans="2:13" x14ac:dyDescent="0.2">
      <c r="B17" t="s">
        <v>103</v>
      </c>
      <c r="C17" t="s">
        <v>349</v>
      </c>
      <c r="D17">
        <v>29.64</v>
      </c>
      <c r="E17" t="s">
        <v>443</v>
      </c>
      <c r="F17">
        <v>890</v>
      </c>
      <c r="G17">
        <v>26379.599999999999</v>
      </c>
      <c r="H17" t="s">
        <v>849</v>
      </c>
      <c r="I17" t="s">
        <v>836</v>
      </c>
      <c r="K17" t="s">
        <v>849</v>
      </c>
      <c r="L17" t="s">
        <v>836</v>
      </c>
      <c r="M17" s="13">
        <v>271707.59999999998</v>
      </c>
    </row>
    <row r="18" spans="2:13" x14ac:dyDescent="0.2">
      <c r="B18" t="s">
        <v>536</v>
      </c>
      <c r="C18" t="s">
        <v>537</v>
      </c>
      <c r="D18">
        <v>180</v>
      </c>
      <c r="E18" t="s">
        <v>443</v>
      </c>
      <c r="F18">
        <v>145</v>
      </c>
      <c r="G18">
        <v>26100</v>
      </c>
      <c r="H18" t="s">
        <v>837</v>
      </c>
      <c r="I18" t="s">
        <v>842</v>
      </c>
      <c r="K18" t="s">
        <v>405</v>
      </c>
      <c r="L18" t="s">
        <v>836</v>
      </c>
      <c r="M18" s="13">
        <v>7406.7</v>
      </c>
    </row>
    <row r="19" spans="2:13" x14ac:dyDescent="0.2">
      <c r="B19" t="s">
        <v>62</v>
      </c>
      <c r="C19" t="s">
        <v>363</v>
      </c>
      <c r="D19">
        <v>135</v>
      </c>
      <c r="E19" t="s">
        <v>443</v>
      </c>
      <c r="F19">
        <v>190</v>
      </c>
      <c r="G19">
        <v>25650</v>
      </c>
      <c r="H19" t="s">
        <v>837</v>
      </c>
      <c r="I19" t="s">
        <v>842</v>
      </c>
      <c r="K19" t="s">
        <v>850</v>
      </c>
      <c r="L19" t="s">
        <v>836</v>
      </c>
      <c r="M19" s="13">
        <v>139721.6415</v>
      </c>
    </row>
    <row r="20" spans="2:13" x14ac:dyDescent="0.2">
      <c r="B20" t="s">
        <v>550</v>
      </c>
      <c r="C20" t="s">
        <v>551</v>
      </c>
      <c r="D20">
        <v>60</v>
      </c>
      <c r="E20" t="s">
        <v>443</v>
      </c>
      <c r="F20">
        <v>410</v>
      </c>
      <c r="G20">
        <v>24600</v>
      </c>
      <c r="H20" t="s">
        <v>837</v>
      </c>
      <c r="I20" t="s">
        <v>843</v>
      </c>
      <c r="K20" t="s">
        <v>851</v>
      </c>
      <c r="L20" t="s">
        <v>836</v>
      </c>
      <c r="M20" s="13">
        <v>65493</v>
      </c>
    </row>
    <row r="21" spans="2:13" x14ac:dyDescent="0.2">
      <c r="B21" t="s">
        <v>5</v>
      </c>
      <c r="C21" t="s">
        <v>305</v>
      </c>
      <c r="D21">
        <v>2095</v>
      </c>
      <c r="E21" t="s">
        <v>589</v>
      </c>
      <c r="F21">
        <v>11.5</v>
      </c>
      <c r="G21">
        <v>24092.5</v>
      </c>
      <c r="H21" t="s">
        <v>850</v>
      </c>
      <c r="I21" t="s">
        <v>836</v>
      </c>
    </row>
    <row r="22" spans="2:13" x14ac:dyDescent="0.2">
      <c r="B22" t="s">
        <v>640</v>
      </c>
      <c r="C22" t="s">
        <v>641</v>
      </c>
      <c r="D22">
        <v>524</v>
      </c>
      <c r="E22" t="s">
        <v>408</v>
      </c>
      <c r="F22">
        <v>45</v>
      </c>
      <c r="G22">
        <v>23580</v>
      </c>
      <c r="H22" t="s">
        <v>848</v>
      </c>
      <c r="I22" t="s">
        <v>836</v>
      </c>
    </row>
    <row r="23" spans="2:13" x14ac:dyDescent="0.2">
      <c r="B23" t="s">
        <v>626</v>
      </c>
      <c r="C23" t="s">
        <v>627</v>
      </c>
      <c r="D23">
        <v>224</v>
      </c>
      <c r="E23" t="s">
        <v>408</v>
      </c>
      <c r="F23">
        <v>102.5</v>
      </c>
      <c r="G23">
        <v>22960</v>
      </c>
      <c r="H23" t="s">
        <v>848</v>
      </c>
      <c r="I23" t="s">
        <v>836</v>
      </c>
    </row>
    <row r="24" spans="2:13" x14ac:dyDescent="0.2">
      <c r="B24" t="s">
        <v>81</v>
      </c>
      <c r="C24" t="s">
        <v>322</v>
      </c>
      <c r="D24">
        <v>60</v>
      </c>
      <c r="E24" t="s">
        <v>443</v>
      </c>
      <c r="F24">
        <v>380</v>
      </c>
      <c r="G24">
        <v>22800</v>
      </c>
      <c r="H24" t="s">
        <v>837</v>
      </c>
      <c r="I24" t="s">
        <v>843</v>
      </c>
    </row>
    <row r="25" spans="2:13" x14ac:dyDescent="0.2">
      <c r="B25" t="s">
        <v>41</v>
      </c>
      <c r="C25" t="s">
        <v>344</v>
      </c>
      <c r="D25">
        <v>19</v>
      </c>
      <c r="E25" t="s">
        <v>408</v>
      </c>
      <c r="F25">
        <v>1200</v>
      </c>
      <c r="G25">
        <v>22800</v>
      </c>
      <c r="H25" t="s">
        <v>848</v>
      </c>
      <c r="I25" t="s">
        <v>836</v>
      </c>
    </row>
    <row r="26" spans="2:13" x14ac:dyDescent="0.2">
      <c r="B26" t="s">
        <v>581</v>
      </c>
      <c r="C26" t="s">
        <v>582</v>
      </c>
      <c r="D26">
        <v>5446</v>
      </c>
      <c r="E26" t="s">
        <v>408</v>
      </c>
      <c r="F26">
        <v>4</v>
      </c>
      <c r="G26">
        <v>21784</v>
      </c>
      <c r="H26" t="s">
        <v>848</v>
      </c>
      <c r="I26" t="s">
        <v>836</v>
      </c>
    </row>
    <row r="27" spans="2:13" x14ac:dyDescent="0.2">
      <c r="B27" t="s">
        <v>85</v>
      </c>
      <c r="C27" t="s">
        <v>326</v>
      </c>
      <c r="D27">
        <v>97.5</v>
      </c>
      <c r="E27" t="s">
        <v>443</v>
      </c>
      <c r="F27">
        <v>210</v>
      </c>
      <c r="G27">
        <v>20475</v>
      </c>
      <c r="H27" t="s">
        <v>837</v>
      </c>
      <c r="I27" t="s">
        <v>845</v>
      </c>
    </row>
    <row r="28" spans="2:13" x14ac:dyDescent="0.2">
      <c r="B28" t="s">
        <v>29</v>
      </c>
      <c r="C28" t="s">
        <v>292</v>
      </c>
      <c r="D28">
        <v>713.9</v>
      </c>
      <c r="E28" t="s">
        <v>589</v>
      </c>
      <c r="F28">
        <v>27</v>
      </c>
      <c r="G28">
        <v>19275.3</v>
      </c>
      <c r="H28" t="s">
        <v>848</v>
      </c>
      <c r="I28" t="s">
        <v>836</v>
      </c>
    </row>
    <row r="29" spans="2:13" x14ac:dyDescent="0.2">
      <c r="B29" t="s">
        <v>60</v>
      </c>
      <c r="C29" t="s">
        <v>337</v>
      </c>
      <c r="D29">
        <v>145.46</v>
      </c>
      <c r="E29" t="s">
        <v>443</v>
      </c>
      <c r="F29">
        <v>130</v>
      </c>
      <c r="G29">
        <v>18909.8</v>
      </c>
      <c r="H29" t="s">
        <v>837</v>
      </c>
      <c r="I29" t="s">
        <v>840</v>
      </c>
    </row>
    <row r="30" spans="2:13" x14ac:dyDescent="0.2">
      <c r="B30" t="s">
        <v>30</v>
      </c>
      <c r="C30" t="s">
        <v>332</v>
      </c>
      <c r="D30">
        <v>3131</v>
      </c>
      <c r="E30" t="s">
        <v>408</v>
      </c>
      <c r="F30">
        <v>6</v>
      </c>
      <c r="G30">
        <v>18786</v>
      </c>
      <c r="H30" t="s">
        <v>848</v>
      </c>
      <c r="I30" t="s">
        <v>836</v>
      </c>
    </row>
    <row r="31" spans="2:13" x14ac:dyDescent="0.2">
      <c r="B31" t="s">
        <v>54</v>
      </c>
      <c r="C31" t="s">
        <v>358</v>
      </c>
      <c r="D31">
        <v>149.25</v>
      </c>
      <c r="E31" t="s">
        <v>443</v>
      </c>
      <c r="F31">
        <v>120</v>
      </c>
      <c r="G31">
        <v>17910</v>
      </c>
      <c r="H31" t="s">
        <v>837</v>
      </c>
      <c r="I31" t="s">
        <v>840</v>
      </c>
    </row>
    <row r="32" spans="2:13" x14ac:dyDescent="0.2">
      <c r="B32" t="s">
        <v>55</v>
      </c>
      <c r="C32" t="s">
        <v>371</v>
      </c>
      <c r="D32">
        <v>147.9</v>
      </c>
      <c r="E32" t="s">
        <v>443</v>
      </c>
      <c r="F32">
        <v>120</v>
      </c>
      <c r="G32">
        <v>17748</v>
      </c>
      <c r="H32" t="s">
        <v>837</v>
      </c>
      <c r="I32" t="s">
        <v>840</v>
      </c>
    </row>
    <row r="33" spans="2:9" x14ac:dyDescent="0.2">
      <c r="B33" t="s">
        <v>44</v>
      </c>
      <c r="C33" t="s">
        <v>324</v>
      </c>
      <c r="D33">
        <v>259.14999999999998</v>
      </c>
      <c r="E33" t="s">
        <v>443</v>
      </c>
      <c r="F33">
        <v>65</v>
      </c>
      <c r="G33">
        <v>16844.75</v>
      </c>
      <c r="H33" t="s">
        <v>837</v>
      </c>
      <c r="I33" t="s">
        <v>838</v>
      </c>
    </row>
    <row r="34" spans="2:9" x14ac:dyDescent="0.2">
      <c r="B34" t="s">
        <v>706</v>
      </c>
      <c r="C34" t="s">
        <v>707</v>
      </c>
      <c r="D34">
        <v>500</v>
      </c>
      <c r="E34" t="s">
        <v>408</v>
      </c>
      <c r="F34">
        <v>33.5</v>
      </c>
      <c r="G34">
        <v>16750</v>
      </c>
      <c r="H34" t="s">
        <v>848</v>
      </c>
      <c r="I34" t="s">
        <v>836</v>
      </c>
    </row>
    <row r="35" spans="2:9" x14ac:dyDescent="0.2">
      <c r="B35" t="s">
        <v>18</v>
      </c>
      <c r="C35" t="s">
        <v>395</v>
      </c>
      <c r="D35">
        <v>4474</v>
      </c>
      <c r="E35" t="s">
        <v>408</v>
      </c>
      <c r="F35">
        <v>3.5</v>
      </c>
      <c r="G35">
        <v>15659</v>
      </c>
      <c r="H35" t="s">
        <v>848</v>
      </c>
      <c r="I35" t="s">
        <v>836</v>
      </c>
    </row>
    <row r="36" spans="2:9" x14ac:dyDescent="0.2">
      <c r="B36" t="s">
        <v>76</v>
      </c>
      <c r="C36" t="s">
        <v>376</v>
      </c>
      <c r="D36">
        <v>105</v>
      </c>
      <c r="E36" t="s">
        <v>443</v>
      </c>
      <c r="F36">
        <v>145</v>
      </c>
      <c r="G36">
        <v>15225</v>
      </c>
      <c r="H36" t="s">
        <v>837</v>
      </c>
      <c r="I36" t="s">
        <v>842</v>
      </c>
    </row>
    <row r="37" spans="2:9" x14ac:dyDescent="0.2">
      <c r="B37" t="s">
        <v>2</v>
      </c>
      <c r="C37" t="s">
        <v>303</v>
      </c>
      <c r="D37">
        <v>2969.4</v>
      </c>
      <c r="E37" t="s">
        <v>589</v>
      </c>
      <c r="F37">
        <v>5.0999999999999996</v>
      </c>
      <c r="G37">
        <v>15143.94</v>
      </c>
      <c r="H37" t="s">
        <v>850</v>
      </c>
      <c r="I37" t="s">
        <v>836</v>
      </c>
    </row>
    <row r="38" spans="2:9" x14ac:dyDescent="0.2">
      <c r="B38" t="s">
        <v>579</v>
      </c>
      <c r="C38" t="s">
        <v>580</v>
      </c>
      <c r="D38">
        <v>3700</v>
      </c>
      <c r="E38" t="s">
        <v>408</v>
      </c>
      <c r="F38">
        <v>4</v>
      </c>
      <c r="G38">
        <v>14800</v>
      </c>
      <c r="H38" t="s">
        <v>848</v>
      </c>
      <c r="I38" t="s">
        <v>836</v>
      </c>
    </row>
    <row r="39" spans="2:9" x14ac:dyDescent="0.2">
      <c r="B39" t="s">
        <v>554</v>
      </c>
      <c r="C39" t="s">
        <v>555</v>
      </c>
      <c r="D39">
        <v>42</v>
      </c>
      <c r="E39" t="s">
        <v>443</v>
      </c>
      <c r="F39">
        <v>340</v>
      </c>
      <c r="G39">
        <v>14280</v>
      </c>
      <c r="H39" t="s">
        <v>837</v>
      </c>
      <c r="I39" t="s">
        <v>843</v>
      </c>
    </row>
    <row r="40" spans="2:9" x14ac:dyDescent="0.2">
      <c r="B40" t="s">
        <v>510</v>
      </c>
      <c r="C40" t="s">
        <v>511</v>
      </c>
      <c r="D40">
        <v>75</v>
      </c>
      <c r="E40" t="s">
        <v>443</v>
      </c>
      <c r="F40">
        <v>190</v>
      </c>
      <c r="G40">
        <v>14250</v>
      </c>
      <c r="H40" t="s">
        <v>837</v>
      </c>
      <c r="I40" t="s">
        <v>842</v>
      </c>
    </row>
    <row r="41" spans="2:9" x14ac:dyDescent="0.2">
      <c r="B41" t="s">
        <v>65</v>
      </c>
      <c r="C41" t="s">
        <v>351</v>
      </c>
      <c r="D41">
        <v>75</v>
      </c>
      <c r="E41" t="s">
        <v>443</v>
      </c>
      <c r="F41">
        <v>190</v>
      </c>
      <c r="G41">
        <v>14250</v>
      </c>
      <c r="H41" t="s">
        <v>837</v>
      </c>
      <c r="I41" t="s">
        <v>842</v>
      </c>
    </row>
    <row r="42" spans="2:9" x14ac:dyDescent="0.2">
      <c r="B42" t="s">
        <v>80</v>
      </c>
      <c r="C42" t="s">
        <v>317</v>
      </c>
      <c r="D42">
        <v>37.5</v>
      </c>
      <c r="E42" t="s">
        <v>443</v>
      </c>
      <c r="F42">
        <v>380</v>
      </c>
      <c r="G42">
        <v>14250</v>
      </c>
      <c r="H42" t="s">
        <v>837</v>
      </c>
      <c r="I42" t="s">
        <v>843</v>
      </c>
    </row>
    <row r="43" spans="2:9" x14ac:dyDescent="0.2">
      <c r="B43" t="s">
        <v>33</v>
      </c>
      <c r="C43" t="s">
        <v>369</v>
      </c>
      <c r="D43">
        <v>138</v>
      </c>
      <c r="E43" t="s">
        <v>408</v>
      </c>
      <c r="F43">
        <v>100</v>
      </c>
      <c r="G43">
        <v>13800</v>
      </c>
      <c r="H43" t="s">
        <v>848</v>
      </c>
      <c r="I43" t="s">
        <v>836</v>
      </c>
    </row>
    <row r="44" spans="2:9" x14ac:dyDescent="0.2">
      <c r="B44" t="s">
        <v>66</v>
      </c>
      <c r="C44" t="s">
        <v>353</v>
      </c>
      <c r="D44">
        <v>71</v>
      </c>
      <c r="E44" t="s">
        <v>443</v>
      </c>
      <c r="F44">
        <v>190</v>
      </c>
      <c r="G44">
        <v>13490</v>
      </c>
      <c r="H44" t="s">
        <v>837</v>
      </c>
      <c r="I44" t="s">
        <v>842</v>
      </c>
    </row>
    <row r="45" spans="2:9" x14ac:dyDescent="0.2">
      <c r="B45" t="s">
        <v>6</v>
      </c>
      <c r="C45" t="s">
        <v>306</v>
      </c>
      <c r="D45">
        <v>793.5</v>
      </c>
      <c r="E45" t="s">
        <v>589</v>
      </c>
      <c r="F45">
        <v>16.8</v>
      </c>
      <c r="G45">
        <v>13330.8</v>
      </c>
      <c r="H45" t="s">
        <v>850</v>
      </c>
      <c r="I45" t="s">
        <v>836</v>
      </c>
    </row>
    <row r="46" spans="2:9" x14ac:dyDescent="0.2">
      <c r="B46" t="s">
        <v>86</v>
      </c>
      <c r="C46" t="s">
        <v>338</v>
      </c>
      <c r="D46">
        <v>75</v>
      </c>
      <c r="E46" t="s">
        <v>443</v>
      </c>
      <c r="F46">
        <v>175</v>
      </c>
      <c r="G46">
        <v>13125</v>
      </c>
      <c r="H46" t="s">
        <v>837</v>
      </c>
      <c r="I46" t="s">
        <v>845</v>
      </c>
    </row>
    <row r="47" spans="2:9" x14ac:dyDescent="0.2">
      <c r="B47" t="s">
        <v>112</v>
      </c>
      <c r="C47" t="s">
        <v>362</v>
      </c>
      <c r="D47">
        <v>115800</v>
      </c>
      <c r="E47" t="s">
        <v>589</v>
      </c>
      <c r="F47">
        <v>0.1</v>
      </c>
      <c r="G47">
        <v>11580</v>
      </c>
      <c r="H47" t="s">
        <v>851</v>
      </c>
      <c r="I47" t="s">
        <v>836</v>
      </c>
    </row>
    <row r="48" spans="2:9" x14ac:dyDescent="0.2">
      <c r="B48" t="s">
        <v>500</v>
      </c>
      <c r="C48" t="s">
        <v>501</v>
      </c>
      <c r="D48">
        <v>60</v>
      </c>
      <c r="E48" t="s">
        <v>443</v>
      </c>
      <c r="F48">
        <v>190</v>
      </c>
      <c r="G48">
        <v>11400</v>
      </c>
      <c r="H48" t="s">
        <v>837</v>
      </c>
      <c r="I48" t="s">
        <v>842</v>
      </c>
    </row>
    <row r="49" spans="2:9" x14ac:dyDescent="0.2">
      <c r="B49" t="s">
        <v>508</v>
      </c>
      <c r="C49" t="s">
        <v>509</v>
      </c>
      <c r="D49">
        <v>60</v>
      </c>
      <c r="E49" t="s">
        <v>443</v>
      </c>
      <c r="F49">
        <v>190</v>
      </c>
      <c r="G49">
        <v>11400</v>
      </c>
      <c r="H49" t="s">
        <v>837</v>
      </c>
      <c r="I49" t="s">
        <v>842</v>
      </c>
    </row>
    <row r="50" spans="2:9" x14ac:dyDescent="0.2">
      <c r="B50" t="s">
        <v>68</v>
      </c>
      <c r="C50" t="s">
        <v>393</v>
      </c>
      <c r="D50">
        <v>60</v>
      </c>
      <c r="E50" t="s">
        <v>443</v>
      </c>
      <c r="F50">
        <v>190</v>
      </c>
      <c r="G50">
        <v>11400</v>
      </c>
      <c r="H50" t="s">
        <v>837</v>
      </c>
      <c r="I50" t="s">
        <v>842</v>
      </c>
    </row>
    <row r="51" spans="2:9" x14ac:dyDescent="0.2">
      <c r="B51" t="s">
        <v>38</v>
      </c>
      <c r="C51" t="s">
        <v>391</v>
      </c>
      <c r="D51">
        <v>615</v>
      </c>
      <c r="E51" t="s">
        <v>408</v>
      </c>
      <c r="F51">
        <v>18</v>
      </c>
      <c r="G51">
        <v>11070</v>
      </c>
      <c r="H51" t="s">
        <v>848</v>
      </c>
      <c r="I51" t="s">
        <v>836</v>
      </c>
    </row>
    <row r="52" spans="2:9" x14ac:dyDescent="0.2">
      <c r="B52" t="s">
        <v>77</v>
      </c>
      <c r="C52" t="s">
        <v>388</v>
      </c>
      <c r="D52">
        <v>75</v>
      </c>
      <c r="E52" t="s">
        <v>443</v>
      </c>
      <c r="F52">
        <v>145</v>
      </c>
      <c r="G52">
        <v>10875</v>
      </c>
      <c r="H52" t="s">
        <v>837</v>
      </c>
      <c r="I52" t="s">
        <v>842</v>
      </c>
    </row>
    <row r="53" spans="2:9" x14ac:dyDescent="0.2">
      <c r="B53" t="s">
        <v>74</v>
      </c>
      <c r="C53" t="s">
        <v>400</v>
      </c>
      <c r="D53">
        <v>72.599999999999994</v>
      </c>
      <c r="E53" t="s">
        <v>443</v>
      </c>
      <c r="F53">
        <v>145</v>
      </c>
      <c r="G53">
        <v>10527</v>
      </c>
      <c r="H53" t="s">
        <v>837</v>
      </c>
      <c r="I53" t="s">
        <v>842</v>
      </c>
    </row>
    <row r="54" spans="2:9" x14ac:dyDescent="0.2">
      <c r="B54" t="s">
        <v>413</v>
      </c>
      <c r="C54" t="s">
        <v>414</v>
      </c>
      <c r="D54">
        <v>3000</v>
      </c>
      <c r="E54" t="s">
        <v>408</v>
      </c>
      <c r="F54">
        <v>3.5</v>
      </c>
      <c r="G54">
        <v>10500</v>
      </c>
      <c r="H54" t="s">
        <v>835</v>
      </c>
      <c r="I54" t="s">
        <v>836</v>
      </c>
    </row>
    <row r="55" spans="2:9" x14ac:dyDescent="0.2">
      <c r="B55" t="s">
        <v>105</v>
      </c>
      <c r="C55" t="s">
        <v>313</v>
      </c>
      <c r="D55">
        <v>100580</v>
      </c>
      <c r="E55" t="s">
        <v>589</v>
      </c>
      <c r="F55">
        <v>0.1</v>
      </c>
      <c r="G55">
        <v>10058</v>
      </c>
      <c r="H55" t="s">
        <v>851</v>
      </c>
      <c r="I55" t="s">
        <v>836</v>
      </c>
    </row>
    <row r="56" spans="2:9" x14ac:dyDescent="0.2">
      <c r="B56" t="s">
        <v>484</v>
      </c>
      <c r="C56" t="s">
        <v>485</v>
      </c>
      <c r="D56">
        <v>76.5</v>
      </c>
      <c r="E56" t="s">
        <v>443</v>
      </c>
      <c r="F56">
        <v>130</v>
      </c>
      <c r="G56">
        <v>9945</v>
      </c>
      <c r="H56" t="s">
        <v>837</v>
      </c>
      <c r="I56" t="s">
        <v>840</v>
      </c>
    </row>
    <row r="57" spans="2:9" x14ac:dyDescent="0.2">
      <c r="B57" t="s">
        <v>75</v>
      </c>
      <c r="C57" t="s">
        <v>384</v>
      </c>
      <c r="D57">
        <v>67.5</v>
      </c>
      <c r="E57" t="s">
        <v>443</v>
      </c>
      <c r="F57">
        <v>145</v>
      </c>
      <c r="G57">
        <v>9787.5</v>
      </c>
      <c r="H57" t="s">
        <v>837</v>
      </c>
      <c r="I57" t="s">
        <v>842</v>
      </c>
    </row>
    <row r="58" spans="2:9" x14ac:dyDescent="0.2">
      <c r="B58" t="s">
        <v>17</v>
      </c>
      <c r="C58" t="s">
        <v>394</v>
      </c>
      <c r="D58">
        <v>2708</v>
      </c>
      <c r="E58" t="s">
        <v>408</v>
      </c>
      <c r="F58">
        <v>3.5</v>
      </c>
      <c r="G58">
        <v>9478</v>
      </c>
      <c r="H58" t="s">
        <v>848</v>
      </c>
      <c r="I58" t="s">
        <v>836</v>
      </c>
    </row>
    <row r="59" spans="2:9" x14ac:dyDescent="0.2">
      <c r="B59" t="s">
        <v>63</v>
      </c>
      <c r="C59" t="s">
        <v>354</v>
      </c>
      <c r="D59">
        <v>45</v>
      </c>
      <c r="E59" t="s">
        <v>443</v>
      </c>
      <c r="F59">
        <v>190</v>
      </c>
      <c r="G59">
        <v>8550</v>
      </c>
      <c r="H59" t="s">
        <v>837</v>
      </c>
      <c r="I59" t="s">
        <v>842</v>
      </c>
    </row>
    <row r="60" spans="2:9" x14ac:dyDescent="0.2">
      <c r="B60" t="s">
        <v>662</v>
      </c>
      <c r="C60" t="s">
        <v>663</v>
      </c>
      <c r="D60">
        <v>17</v>
      </c>
      <c r="E60" t="s">
        <v>408</v>
      </c>
      <c r="F60">
        <v>460</v>
      </c>
      <c r="G60">
        <v>7820</v>
      </c>
      <c r="H60" t="s">
        <v>848</v>
      </c>
      <c r="I60" t="s">
        <v>836</v>
      </c>
    </row>
    <row r="61" spans="2:9" x14ac:dyDescent="0.2">
      <c r="B61" t="s">
        <v>570</v>
      </c>
      <c r="C61" t="s">
        <v>1040</v>
      </c>
      <c r="D61">
        <v>45</v>
      </c>
      <c r="E61" t="s">
        <v>443</v>
      </c>
      <c r="F61">
        <v>170</v>
      </c>
      <c r="G61">
        <v>7650</v>
      </c>
      <c r="H61" t="s">
        <v>837</v>
      </c>
      <c r="I61" t="s">
        <v>845</v>
      </c>
    </row>
    <row r="62" spans="2:9" x14ac:dyDescent="0.2">
      <c r="B62" t="s">
        <v>91</v>
      </c>
      <c r="C62" t="s">
        <v>377</v>
      </c>
      <c r="D62">
        <v>45</v>
      </c>
      <c r="E62" t="s">
        <v>443</v>
      </c>
      <c r="F62">
        <v>170</v>
      </c>
      <c r="G62">
        <v>7650</v>
      </c>
      <c r="H62" t="s">
        <v>837</v>
      </c>
      <c r="I62" t="s">
        <v>845</v>
      </c>
    </row>
    <row r="63" spans="2:9" x14ac:dyDescent="0.2">
      <c r="B63" t="s">
        <v>37</v>
      </c>
      <c r="C63" t="s">
        <v>297</v>
      </c>
      <c r="D63">
        <v>393</v>
      </c>
      <c r="E63" t="s">
        <v>408</v>
      </c>
      <c r="F63">
        <v>18</v>
      </c>
      <c r="G63">
        <v>7074</v>
      </c>
      <c r="H63" t="s">
        <v>848</v>
      </c>
      <c r="I63" t="s">
        <v>836</v>
      </c>
    </row>
    <row r="64" spans="2:9" x14ac:dyDescent="0.2">
      <c r="B64" t="s">
        <v>45</v>
      </c>
      <c r="C64" t="s">
        <v>374</v>
      </c>
      <c r="D64">
        <v>108.75</v>
      </c>
      <c r="E64" t="s">
        <v>443</v>
      </c>
      <c r="F64">
        <v>65</v>
      </c>
      <c r="G64">
        <v>7068.75</v>
      </c>
      <c r="H64" t="s">
        <v>837</v>
      </c>
      <c r="I64" t="s">
        <v>838</v>
      </c>
    </row>
    <row r="65" spans="2:9" x14ac:dyDescent="0.2">
      <c r="B65" t="s">
        <v>7</v>
      </c>
      <c r="C65" t="s">
        <v>307</v>
      </c>
      <c r="D65">
        <v>1054.0999999999999</v>
      </c>
      <c r="E65" t="s">
        <v>589</v>
      </c>
      <c r="F65">
        <v>6.7</v>
      </c>
      <c r="G65">
        <v>7062.47</v>
      </c>
      <c r="H65" t="s">
        <v>850</v>
      </c>
      <c r="I65" t="s">
        <v>836</v>
      </c>
    </row>
    <row r="66" spans="2:9" x14ac:dyDescent="0.2">
      <c r="B66" t="s">
        <v>456</v>
      </c>
      <c r="C66" t="s">
        <v>457</v>
      </c>
      <c r="D66">
        <v>78</v>
      </c>
      <c r="E66" t="s">
        <v>443</v>
      </c>
      <c r="F66">
        <v>90</v>
      </c>
      <c r="G66">
        <v>7020</v>
      </c>
      <c r="H66" t="s">
        <v>837</v>
      </c>
      <c r="I66" t="s">
        <v>840</v>
      </c>
    </row>
    <row r="67" spans="2:9" x14ac:dyDescent="0.2">
      <c r="B67" t="s">
        <v>22</v>
      </c>
      <c r="C67" t="s">
        <v>331</v>
      </c>
      <c r="D67">
        <v>2792</v>
      </c>
      <c r="E67" t="s">
        <v>408</v>
      </c>
      <c r="F67">
        <v>2.5</v>
      </c>
      <c r="G67">
        <v>6980</v>
      </c>
      <c r="H67" t="s">
        <v>848</v>
      </c>
      <c r="I67" t="s">
        <v>836</v>
      </c>
    </row>
    <row r="68" spans="2:9" x14ac:dyDescent="0.2">
      <c r="B68" t="s">
        <v>69</v>
      </c>
      <c r="C68" t="s">
        <v>288</v>
      </c>
      <c r="D68">
        <v>36.01</v>
      </c>
      <c r="E68" t="s">
        <v>443</v>
      </c>
      <c r="F68">
        <v>190</v>
      </c>
      <c r="G68">
        <v>6841.9</v>
      </c>
      <c r="H68" t="s">
        <v>837</v>
      </c>
      <c r="I68" t="s">
        <v>842</v>
      </c>
    </row>
    <row r="69" spans="2:9" x14ac:dyDescent="0.2">
      <c r="B69" t="s">
        <v>108</v>
      </c>
      <c r="C69" t="s">
        <v>323</v>
      </c>
      <c r="D69">
        <v>67460</v>
      </c>
      <c r="E69" t="s">
        <v>589</v>
      </c>
      <c r="F69">
        <v>0.1</v>
      </c>
      <c r="G69">
        <v>6746</v>
      </c>
      <c r="H69" t="s">
        <v>851</v>
      </c>
      <c r="I69" t="s">
        <v>836</v>
      </c>
    </row>
    <row r="70" spans="2:9" x14ac:dyDescent="0.2">
      <c r="B70" t="s">
        <v>26</v>
      </c>
      <c r="C70" t="s">
        <v>361</v>
      </c>
      <c r="D70">
        <v>4392</v>
      </c>
      <c r="E70" t="s">
        <v>408</v>
      </c>
      <c r="F70">
        <v>1.5</v>
      </c>
      <c r="G70">
        <v>6588</v>
      </c>
      <c r="H70" t="s">
        <v>848</v>
      </c>
      <c r="I70" t="s">
        <v>836</v>
      </c>
    </row>
    <row r="71" spans="2:9" x14ac:dyDescent="0.2">
      <c r="B71" t="s">
        <v>544</v>
      </c>
      <c r="C71" t="s">
        <v>545</v>
      </c>
      <c r="D71">
        <v>45</v>
      </c>
      <c r="E71" t="s">
        <v>443</v>
      </c>
      <c r="F71">
        <v>145</v>
      </c>
      <c r="G71">
        <v>6525</v>
      </c>
      <c r="H71" t="s">
        <v>837</v>
      </c>
      <c r="I71" t="s">
        <v>842</v>
      </c>
    </row>
    <row r="72" spans="2:9" x14ac:dyDescent="0.2">
      <c r="B72" t="s">
        <v>56</v>
      </c>
      <c r="C72" t="s">
        <v>287</v>
      </c>
      <c r="D72">
        <v>71.5</v>
      </c>
      <c r="E72" t="s">
        <v>443</v>
      </c>
      <c r="F72">
        <v>90</v>
      </c>
      <c r="G72">
        <v>6435</v>
      </c>
      <c r="H72" t="s">
        <v>837</v>
      </c>
      <c r="I72" t="s">
        <v>840</v>
      </c>
    </row>
    <row r="73" spans="2:9" x14ac:dyDescent="0.2">
      <c r="B73" t="s">
        <v>480</v>
      </c>
      <c r="C73" t="s">
        <v>481</v>
      </c>
      <c r="D73">
        <v>49.5</v>
      </c>
      <c r="E73" t="s">
        <v>443</v>
      </c>
      <c r="F73">
        <v>130</v>
      </c>
      <c r="G73">
        <v>6435</v>
      </c>
      <c r="H73" t="s">
        <v>837</v>
      </c>
      <c r="I73" t="s">
        <v>840</v>
      </c>
    </row>
    <row r="74" spans="2:9" x14ac:dyDescent="0.2">
      <c r="B74" t="s">
        <v>107</v>
      </c>
      <c r="C74" t="s">
        <v>316</v>
      </c>
      <c r="D74">
        <v>62740</v>
      </c>
      <c r="E74" t="s">
        <v>589</v>
      </c>
      <c r="F74">
        <v>0.1</v>
      </c>
      <c r="G74">
        <v>6274</v>
      </c>
      <c r="H74" t="s">
        <v>851</v>
      </c>
      <c r="I74" t="s">
        <v>836</v>
      </c>
    </row>
    <row r="75" spans="2:9" x14ac:dyDescent="0.2">
      <c r="B75" t="s">
        <v>59</v>
      </c>
      <c r="C75" t="s">
        <v>372</v>
      </c>
      <c r="D75">
        <v>48</v>
      </c>
      <c r="E75" t="s">
        <v>443</v>
      </c>
      <c r="F75">
        <v>130</v>
      </c>
      <c r="G75">
        <v>6240</v>
      </c>
      <c r="H75" t="s">
        <v>837</v>
      </c>
      <c r="I75" t="s">
        <v>840</v>
      </c>
    </row>
    <row r="76" spans="2:9" x14ac:dyDescent="0.2">
      <c r="B76" t="s">
        <v>486</v>
      </c>
      <c r="C76" t="s">
        <v>487</v>
      </c>
      <c r="D76">
        <v>67.5</v>
      </c>
      <c r="E76" t="s">
        <v>443</v>
      </c>
      <c r="F76">
        <v>90</v>
      </c>
      <c r="G76">
        <v>6075</v>
      </c>
      <c r="H76" t="s">
        <v>837</v>
      </c>
      <c r="I76" t="s">
        <v>841</v>
      </c>
    </row>
    <row r="77" spans="2:9" x14ac:dyDescent="0.2">
      <c r="B77" t="s">
        <v>642</v>
      </c>
      <c r="C77" t="s">
        <v>643</v>
      </c>
      <c r="D77">
        <v>242</v>
      </c>
      <c r="E77" t="s">
        <v>408</v>
      </c>
      <c r="F77">
        <v>25</v>
      </c>
      <c r="G77">
        <v>6050</v>
      </c>
      <c r="H77" t="s">
        <v>848</v>
      </c>
      <c r="I77" t="s">
        <v>836</v>
      </c>
    </row>
    <row r="78" spans="2:9" x14ac:dyDescent="0.2">
      <c r="B78" t="s">
        <v>650</v>
      </c>
      <c r="C78" t="s">
        <v>651</v>
      </c>
      <c r="D78">
        <v>400</v>
      </c>
      <c r="E78" t="s">
        <v>408</v>
      </c>
      <c r="F78">
        <v>15</v>
      </c>
      <c r="G78">
        <v>6000</v>
      </c>
      <c r="H78" t="s">
        <v>848</v>
      </c>
      <c r="I78" t="s">
        <v>836</v>
      </c>
    </row>
    <row r="79" spans="2:9" x14ac:dyDescent="0.2">
      <c r="B79" t="s">
        <v>658</v>
      </c>
      <c r="C79" t="s">
        <v>659</v>
      </c>
      <c r="D79">
        <v>198</v>
      </c>
      <c r="E79" t="s">
        <v>408</v>
      </c>
      <c r="F79">
        <v>30</v>
      </c>
      <c r="G79">
        <v>5940</v>
      </c>
      <c r="H79" t="s">
        <v>848</v>
      </c>
      <c r="I79" t="s">
        <v>836</v>
      </c>
    </row>
    <row r="80" spans="2:9" x14ac:dyDescent="0.2">
      <c r="B80" t="s">
        <v>758</v>
      </c>
      <c r="C80" t="s">
        <v>759</v>
      </c>
      <c r="D80">
        <v>450</v>
      </c>
      <c r="E80" t="s">
        <v>589</v>
      </c>
      <c r="F80">
        <v>13.1</v>
      </c>
      <c r="G80">
        <v>5895</v>
      </c>
      <c r="H80" t="s">
        <v>850</v>
      </c>
      <c r="I80" t="s">
        <v>836</v>
      </c>
    </row>
    <row r="81" spans="2:9" x14ac:dyDescent="0.2">
      <c r="B81" t="s">
        <v>111</v>
      </c>
      <c r="C81" t="s">
        <v>320</v>
      </c>
      <c r="D81">
        <v>56760</v>
      </c>
      <c r="E81" t="s">
        <v>589</v>
      </c>
      <c r="F81">
        <v>0.1</v>
      </c>
      <c r="G81">
        <v>5676</v>
      </c>
      <c r="H81" t="s">
        <v>851</v>
      </c>
      <c r="I81" t="s">
        <v>836</v>
      </c>
    </row>
    <row r="82" spans="2:9" x14ac:dyDescent="0.2">
      <c r="B82" t="s">
        <v>20</v>
      </c>
      <c r="C82" t="s">
        <v>330</v>
      </c>
      <c r="D82">
        <v>1931</v>
      </c>
      <c r="E82" t="s">
        <v>408</v>
      </c>
      <c r="F82">
        <v>2.9</v>
      </c>
      <c r="G82">
        <v>5599.9</v>
      </c>
      <c r="H82" t="s">
        <v>848</v>
      </c>
      <c r="I82" t="s">
        <v>836</v>
      </c>
    </row>
    <row r="83" spans="2:9" x14ac:dyDescent="0.2">
      <c r="B83" t="s">
        <v>36</v>
      </c>
      <c r="C83" t="s">
        <v>296</v>
      </c>
      <c r="D83">
        <v>366</v>
      </c>
      <c r="E83" t="s">
        <v>408</v>
      </c>
      <c r="F83">
        <v>15</v>
      </c>
      <c r="G83">
        <v>5490</v>
      </c>
      <c r="H83" t="s">
        <v>848</v>
      </c>
      <c r="I83" t="s">
        <v>836</v>
      </c>
    </row>
    <row r="84" spans="2:9" x14ac:dyDescent="0.2">
      <c r="B84" t="s">
        <v>31</v>
      </c>
      <c r="C84" t="s">
        <v>293</v>
      </c>
      <c r="D84">
        <v>1076</v>
      </c>
      <c r="E84" t="s">
        <v>408</v>
      </c>
      <c r="F84">
        <v>5</v>
      </c>
      <c r="G84">
        <v>5380</v>
      </c>
      <c r="H84" t="s">
        <v>848</v>
      </c>
      <c r="I84" t="s">
        <v>836</v>
      </c>
    </row>
    <row r="85" spans="2:9" x14ac:dyDescent="0.2">
      <c r="B85" t="s">
        <v>23</v>
      </c>
      <c r="C85" t="s">
        <v>367</v>
      </c>
      <c r="D85">
        <v>2149</v>
      </c>
      <c r="E85" t="s">
        <v>408</v>
      </c>
      <c r="F85">
        <v>2.5</v>
      </c>
      <c r="G85">
        <v>5372.5</v>
      </c>
      <c r="H85" t="s">
        <v>848</v>
      </c>
      <c r="I85" t="s">
        <v>836</v>
      </c>
    </row>
    <row r="86" spans="2:9" x14ac:dyDescent="0.2">
      <c r="B86" t="s">
        <v>46</v>
      </c>
      <c r="C86" t="s">
        <v>398</v>
      </c>
      <c r="D86">
        <v>82.625</v>
      </c>
      <c r="E86" t="s">
        <v>443</v>
      </c>
      <c r="F86">
        <v>65</v>
      </c>
      <c r="G86">
        <v>5370.625</v>
      </c>
      <c r="H86" t="s">
        <v>837</v>
      </c>
      <c r="I86" t="s">
        <v>838</v>
      </c>
    </row>
    <row r="87" spans="2:9" x14ac:dyDescent="0.2">
      <c r="B87" t="s">
        <v>48</v>
      </c>
      <c r="C87" t="s">
        <v>359</v>
      </c>
      <c r="D87">
        <v>12.975</v>
      </c>
      <c r="E87" t="s">
        <v>443</v>
      </c>
      <c r="F87">
        <v>412</v>
      </c>
      <c r="G87">
        <v>5345.7</v>
      </c>
      <c r="H87" t="s">
        <v>847</v>
      </c>
      <c r="I87" t="s">
        <v>836</v>
      </c>
    </row>
    <row r="88" spans="2:9" x14ac:dyDescent="0.2">
      <c r="B88" t="s">
        <v>122</v>
      </c>
      <c r="C88" t="s">
        <v>302</v>
      </c>
      <c r="D88">
        <v>1243</v>
      </c>
      <c r="E88" t="s">
        <v>408</v>
      </c>
      <c r="F88">
        <v>4.2</v>
      </c>
      <c r="G88">
        <v>5220.6000000000004</v>
      </c>
      <c r="H88" t="s">
        <v>405</v>
      </c>
      <c r="I88" t="s">
        <v>836</v>
      </c>
    </row>
    <row r="89" spans="2:9" x14ac:dyDescent="0.2">
      <c r="B89" t="s">
        <v>558</v>
      </c>
      <c r="C89" t="s">
        <v>559</v>
      </c>
      <c r="D89">
        <v>15</v>
      </c>
      <c r="E89" t="s">
        <v>443</v>
      </c>
      <c r="F89">
        <v>340</v>
      </c>
      <c r="G89">
        <v>5100</v>
      </c>
      <c r="H89" t="s">
        <v>837</v>
      </c>
      <c r="I89" t="s">
        <v>843</v>
      </c>
    </row>
    <row r="90" spans="2:9" x14ac:dyDescent="0.2">
      <c r="B90" t="s">
        <v>88</v>
      </c>
      <c r="C90" t="s">
        <v>383</v>
      </c>
      <c r="D90">
        <v>30</v>
      </c>
      <c r="E90" t="s">
        <v>443</v>
      </c>
      <c r="F90">
        <v>170</v>
      </c>
      <c r="G90">
        <v>5100</v>
      </c>
      <c r="H90" t="s">
        <v>837</v>
      </c>
      <c r="I90" t="s">
        <v>845</v>
      </c>
    </row>
    <row r="91" spans="2:9" x14ac:dyDescent="0.2">
      <c r="B91" t="s">
        <v>571</v>
      </c>
      <c r="C91" t="s">
        <v>572</v>
      </c>
      <c r="D91">
        <v>30</v>
      </c>
      <c r="E91" t="s">
        <v>443</v>
      </c>
      <c r="F91">
        <v>170</v>
      </c>
      <c r="G91">
        <v>5100</v>
      </c>
      <c r="H91" t="s">
        <v>837</v>
      </c>
      <c r="I91" t="s">
        <v>845</v>
      </c>
    </row>
    <row r="92" spans="2:9" x14ac:dyDescent="0.2">
      <c r="B92" t="s">
        <v>710</v>
      </c>
      <c r="C92" t="s">
        <v>711</v>
      </c>
      <c r="D92">
        <v>5000</v>
      </c>
      <c r="E92" t="s">
        <v>408</v>
      </c>
      <c r="F92">
        <v>1</v>
      </c>
      <c r="G92">
        <v>5000</v>
      </c>
      <c r="H92" t="s">
        <v>848</v>
      </c>
      <c r="I92" t="s">
        <v>836</v>
      </c>
    </row>
    <row r="93" spans="2:9" x14ac:dyDescent="0.2">
      <c r="B93" t="s">
        <v>462</v>
      </c>
      <c r="C93" t="s">
        <v>463</v>
      </c>
      <c r="D93">
        <v>54.6</v>
      </c>
      <c r="E93" t="s">
        <v>443</v>
      </c>
      <c r="F93">
        <v>90</v>
      </c>
      <c r="G93">
        <v>4914</v>
      </c>
      <c r="H93" t="s">
        <v>837</v>
      </c>
      <c r="I93" t="s">
        <v>840</v>
      </c>
    </row>
    <row r="94" spans="2:9" x14ac:dyDescent="0.2">
      <c r="B94" t="s">
        <v>560</v>
      </c>
      <c r="C94" t="s">
        <v>561</v>
      </c>
      <c r="D94">
        <v>14</v>
      </c>
      <c r="E94" t="s">
        <v>443</v>
      </c>
      <c r="F94">
        <v>340</v>
      </c>
      <c r="G94">
        <v>4760</v>
      </c>
      <c r="H94" t="s">
        <v>837</v>
      </c>
      <c r="I94" t="s">
        <v>843</v>
      </c>
    </row>
    <row r="95" spans="2:9" x14ac:dyDescent="0.2">
      <c r="B95" t="s">
        <v>490</v>
      </c>
      <c r="C95" t="s">
        <v>491</v>
      </c>
      <c r="D95">
        <v>52.5</v>
      </c>
      <c r="E95" t="s">
        <v>443</v>
      </c>
      <c r="F95">
        <v>90</v>
      </c>
      <c r="G95">
        <v>4725</v>
      </c>
      <c r="H95" t="s">
        <v>837</v>
      </c>
      <c r="I95" t="s">
        <v>841</v>
      </c>
    </row>
    <row r="96" spans="2:9" x14ac:dyDescent="0.2">
      <c r="B96" t="s">
        <v>646</v>
      </c>
      <c r="C96" t="s">
        <v>647</v>
      </c>
      <c r="D96">
        <v>183</v>
      </c>
      <c r="E96" t="s">
        <v>408</v>
      </c>
      <c r="F96">
        <v>25</v>
      </c>
      <c r="G96">
        <v>4575</v>
      </c>
      <c r="H96" t="s">
        <v>848</v>
      </c>
      <c r="I96" t="s">
        <v>836</v>
      </c>
    </row>
    <row r="97" spans="2:9" x14ac:dyDescent="0.2">
      <c r="B97" t="s">
        <v>411</v>
      </c>
      <c r="C97" t="s">
        <v>412</v>
      </c>
      <c r="D97">
        <v>4499</v>
      </c>
      <c r="E97" t="s">
        <v>408</v>
      </c>
      <c r="F97">
        <v>1</v>
      </c>
      <c r="G97">
        <v>4499</v>
      </c>
      <c r="H97" t="s">
        <v>835</v>
      </c>
      <c r="I97" t="s">
        <v>836</v>
      </c>
    </row>
    <row r="98" spans="2:9" x14ac:dyDescent="0.2">
      <c r="B98" t="s">
        <v>546</v>
      </c>
      <c r="C98" t="s">
        <v>547</v>
      </c>
      <c r="D98">
        <v>30</v>
      </c>
      <c r="E98" t="s">
        <v>443</v>
      </c>
      <c r="F98">
        <v>145</v>
      </c>
      <c r="G98">
        <v>4350</v>
      </c>
      <c r="H98" t="s">
        <v>837</v>
      </c>
      <c r="I98" t="s">
        <v>842</v>
      </c>
    </row>
    <row r="99" spans="2:9" x14ac:dyDescent="0.2">
      <c r="B99" t="s">
        <v>548</v>
      </c>
      <c r="C99" t="s">
        <v>549</v>
      </c>
      <c r="D99">
        <v>30</v>
      </c>
      <c r="E99" t="s">
        <v>443</v>
      </c>
      <c r="F99">
        <v>145</v>
      </c>
      <c r="G99">
        <v>4350</v>
      </c>
      <c r="H99" t="s">
        <v>837</v>
      </c>
      <c r="I99" t="s">
        <v>842</v>
      </c>
    </row>
    <row r="100" spans="2:9" x14ac:dyDescent="0.2">
      <c r="B100" t="s">
        <v>64</v>
      </c>
      <c r="C100" t="s">
        <v>386</v>
      </c>
      <c r="D100">
        <v>22.8</v>
      </c>
      <c r="E100" t="s">
        <v>443</v>
      </c>
      <c r="F100">
        <v>190</v>
      </c>
      <c r="G100">
        <v>4332</v>
      </c>
      <c r="H100" t="s">
        <v>837</v>
      </c>
      <c r="I100" t="s">
        <v>842</v>
      </c>
    </row>
    <row r="101" spans="2:9" x14ac:dyDescent="0.2">
      <c r="B101" t="s">
        <v>583</v>
      </c>
      <c r="C101" t="s">
        <v>584</v>
      </c>
      <c r="D101">
        <v>713</v>
      </c>
      <c r="E101" t="s">
        <v>408</v>
      </c>
      <c r="F101">
        <v>6</v>
      </c>
      <c r="G101">
        <v>4278</v>
      </c>
      <c r="H101" t="s">
        <v>848</v>
      </c>
      <c r="I101" t="s">
        <v>836</v>
      </c>
    </row>
    <row r="102" spans="2:9" x14ac:dyDescent="0.2">
      <c r="B102" t="s">
        <v>506</v>
      </c>
      <c r="C102" t="s">
        <v>507</v>
      </c>
      <c r="D102">
        <v>22.5</v>
      </c>
      <c r="E102" t="s">
        <v>443</v>
      </c>
      <c r="F102">
        <v>190</v>
      </c>
      <c r="G102">
        <v>4275</v>
      </c>
      <c r="H102" t="s">
        <v>837</v>
      </c>
      <c r="I102" t="s">
        <v>842</v>
      </c>
    </row>
    <row r="103" spans="2:9" x14ac:dyDescent="0.2">
      <c r="B103" t="s">
        <v>512</v>
      </c>
      <c r="C103" t="s">
        <v>513</v>
      </c>
      <c r="D103">
        <v>22.5</v>
      </c>
      <c r="E103" t="s">
        <v>443</v>
      </c>
      <c r="F103">
        <v>190</v>
      </c>
      <c r="G103">
        <v>4275</v>
      </c>
      <c r="H103" t="s">
        <v>837</v>
      </c>
      <c r="I103" t="s">
        <v>842</v>
      </c>
    </row>
    <row r="104" spans="2:9" x14ac:dyDescent="0.2">
      <c r="B104" t="s">
        <v>532</v>
      </c>
      <c r="C104" t="s">
        <v>533</v>
      </c>
      <c r="D104">
        <v>22.5</v>
      </c>
      <c r="E104" t="s">
        <v>443</v>
      </c>
      <c r="F104">
        <v>190</v>
      </c>
      <c r="G104">
        <v>4275</v>
      </c>
      <c r="H104" t="s">
        <v>837</v>
      </c>
      <c r="I104" t="s">
        <v>842</v>
      </c>
    </row>
    <row r="105" spans="2:9" x14ac:dyDescent="0.2">
      <c r="B105" t="s">
        <v>585</v>
      </c>
      <c r="C105" t="s">
        <v>586</v>
      </c>
      <c r="D105">
        <v>708</v>
      </c>
      <c r="E105" t="s">
        <v>408</v>
      </c>
      <c r="F105">
        <v>6</v>
      </c>
      <c r="G105">
        <v>4248</v>
      </c>
      <c r="H105" t="s">
        <v>848</v>
      </c>
      <c r="I105" t="s">
        <v>836</v>
      </c>
    </row>
    <row r="106" spans="2:9" x14ac:dyDescent="0.2">
      <c r="B106" t="s">
        <v>19</v>
      </c>
      <c r="C106" t="s">
        <v>329</v>
      </c>
      <c r="D106">
        <v>1398</v>
      </c>
      <c r="E106" t="s">
        <v>408</v>
      </c>
      <c r="F106">
        <v>2.9</v>
      </c>
      <c r="G106">
        <v>4054.2</v>
      </c>
      <c r="H106" t="s">
        <v>848</v>
      </c>
      <c r="I106" t="s">
        <v>836</v>
      </c>
    </row>
    <row r="107" spans="2:9" x14ac:dyDescent="0.2">
      <c r="B107" t="s">
        <v>494</v>
      </c>
      <c r="C107" t="s">
        <v>495</v>
      </c>
      <c r="D107">
        <v>45</v>
      </c>
      <c r="E107" t="s">
        <v>443</v>
      </c>
      <c r="F107">
        <v>90</v>
      </c>
      <c r="G107">
        <v>4050</v>
      </c>
      <c r="H107" t="s">
        <v>837</v>
      </c>
      <c r="I107" t="s">
        <v>841</v>
      </c>
    </row>
    <row r="108" spans="2:9" x14ac:dyDescent="0.2">
      <c r="B108" t="s">
        <v>752</v>
      </c>
      <c r="C108" t="s">
        <v>753</v>
      </c>
      <c r="D108">
        <v>350</v>
      </c>
      <c r="E108" t="s">
        <v>589</v>
      </c>
      <c r="F108">
        <v>11.5</v>
      </c>
      <c r="G108">
        <v>4025</v>
      </c>
      <c r="H108" t="s">
        <v>850</v>
      </c>
      <c r="I108" t="s">
        <v>836</v>
      </c>
    </row>
    <row r="109" spans="2:9" x14ac:dyDescent="0.2">
      <c r="B109" t="s">
        <v>450</v>
      </c>
      <c r="C109" t="s">
        <v>451</v>
      </c>
      <c r="D109">
        <v>60</v>
      </c>
      <c r="E109" t="s">
        <v>443</v>
      </c>
      <c r="F109">
        <v>65</v>
      </c>
      <c r="G109">
        <v>3900</v>
      </c>
      <c r="H109" t="s">
        <v>837</v>
      </c>
      <c r="I109" t="s">
        <v>838</v>
      </c>
    </row>
    <row r="110" spans="2:9" x14ac:dyDescent="0.2">
      <c r="B110" t="s">
        <v>482</v>
      </c>
      <c r="C110" t="s">
        <v>483</v>
      </c>
      <c r="D110">
        <v>30</v>
      </c>
      <c r="E110" t="s">
        <v>443</v>
      </c>
      <c r="F110">
        <v>130</v>
      </c>
      <c r="G110">
        <v>3900</v>
      </c>
      <c r="H110" t="s">
        <v>837</v>
      </c>
      <c r="I110" t="s">
        <v>840</v>
      </c>
    </row>
    <row r="111" spans="2:9" x14ac:dyDescent="0.2">
      <c r="B111" t="s">
        <v>27</v>
      </c>
      <c r="C111" t="s">
        <v>396</v>
      </c>
      <c r="D111">
        <v>2597</v>
      </c>
      <c r="E111" t="s">
        <v>408</v>
      </c>
      <c r="F111">
        <v>1.5</v>
      </c>
      <c r="G111">
        <v>3895.5</v>
      </c>
      <c r="H111" t="s">
        <v>848</v>
      </c>
      <c r="I111" t="s">
        <v>836</v>
      </c>
    </row>
    <row r="112" spans="2:9" x14ac:dyDescent="0.2">
      <c r="B112" t="s">
        <v>786</v>
      </c>
      <c r="C112" t="s">
        <v>787</v>
      </c>
      <c r="D112">
        <v>800</v>
      </c>
      <c r="E112" t="s">
        <v>589</v>
      </c>
      <c r="F112">
        <v>4.5</v>
      </c>
      <c r="G112">
        <v>3600</v>
      </c>
      <c r="H112" t="s">
        <v>850</v>
      </c>
      <c r="I112" t="s">
        <v>836</v>
      </c>
    </row>
    <row r="113" spans="2:9" x14ac:dyDescent="0.2">
      <c r="B113" t="s">
        <v>117</v>
      </c>
      <c r="C113" t="s">
        <v>352</v>
      </c>
      <c r="D113">
        <v>36000</v>
      </c>
      <c r="E113" t="s">
        <v>589</v>
      </c>
      <c r="F113">
        <v>0.1</v>
      </c>
      <c r="G113">
        <v>3600</v>
      </c>
      <c r="H113" t="s">
        <v>851</v>
      </c>
      <c r="I113" t="s">
        <v>836</v>
      </c>
    </row>
    <row r="114" spans="2:9" x14ac:dyDescent="0.2">
      <c r="B114" t="s">
        <v>590</v>
      </c>
      <c r="C114" t="s">
        <v>591</v>
      </c>
      <c r="D114">
        <v>1280</v>
      </c>
      <c r="E114" t="s">
        <v>408</v>
      </c>
      <c r="F114">
        <v>2.8</v>
      </c>
      <c r="G114">
        <v>3584</v>
      </c>
      <c r="H114" t="s">
        <v>848</v>
      </c>
      <c r="I114" t="s">
        <v>836</v>
      </c>
    </row>
    <row r="115" spans="2:9" x14ac:dyDescent="0.2">
      <c r="B115" t="s">
        <v>115</v>
      </c>
      <c r="C115" t="s">
        <v>381</v>
      </c>
      <c r="D115">
        <v>35500</v>
      </c>
      <c r="E115" t="s">
        <v>589</v>
      </c>
      <c r="F115">
        <v>0.1</v>
      </c>
      <c r="G115">
        <v>3550</v>
      </c>
      <c r="H115" t="s">
        <v>851</v>
      </c>
      <c r="I115" t="s">
        <v>836</v>
      </c>
    </row>
    <row r="116" spans="2:9" x14ac:dyDescent="0.2">
      <c r="B116" t="s">
        <v>67</v>
      </c>
      <c r="C116" t="s">
        <v>355</v>
      </c>
      <c r="D116">
        <v>18.600000000000001</v>
      </c>
      <c r="E116" t="s">
        <v>443</v>
      </c>
      <c r="F116">
        <v>190</v>
      </c>
      <c r="G116">
        <v>3534</v>
      </c>
      <c r="H116" t="s">
        <v>837</v>
      </c>
      <c r="I116" t="s">
        <v>842</v>
      </c>
    </row>
    <row r="117" spans="2:9" x14ac:dyDescent="0.2">
      <c r="B117" t="s">
        <v>468</v>
      </c>
      <c r="C117" t="s">
        <v>469</v>
      </c>
      <c r="D117">
        <v>39</v>
      </c>
      <c r="E117" t="s">
        <v>443</v>
      </c>
      <c r="F117">
        <v>90</v>
      </c>
      <c r="G117">
        <v>3510</v>
      </c>
      <c r="H117" t="s">
        <v>837</v>
      </c>
      <c r="I117" t="s">
        <v>840</v>
      </c>
    </row>
    <row r="118" spans="2:9" x14ac:dyDescent="0.2">
      <c r="B118" t="s">
        <v>598</v>
      </c>
      <c r="C118" t="s">
        <v>599</v>
      </c>
      <c r="D118">
        <v>702</v>
      </c>
      <c r="E118" t="s">
        <v>408</v>
      </c>
      <c r="F118">
        <v>5</v>
      </c>
      <c r="G118">
        <v>3510</v>
      </c>
      <c r="H118" t="s">
        <v>848</v>
      </c>
      <c r="I118" t="s">
        <v>836</v>
      </c>
    </row>
    <row r="119" spans="2:9" x14ac:dyDescent="0.2">
      <c r="B119" t="s">
        <v>618</v>
      </c>
      <c r="C119" t="s">
        <v>619</v>
      </c>
      <c r="D119">
        <v>200</v>
      </c>
      <c r="E119" t="s">
        <v>589</v>
      </c>
      <c r="F119">
        <v>17</v>
      </c>
      <c r="G119">
        <v>3400</v>
      </c>
      <c r="H119" t="s">
        <v>848</v>
      </c>
      <c r="I119" t="s">
        <v>836</v>
      </c>
    </row>
    <row r="120" spans="2:9" x14ac:dyDescent="0.2">
      <c r="B120" t="s">
        <v>492</v>
      </c>
      <c r="C120" t="s">
        <v>493</v>
      </c>
      <c r="D120">
        <v>37.5</v>
      </c>
      <c r="E120" t="s">
        <v>443</v>
      </c>
      <c r="F120">
        <v>90</v>
      </c>
      <c r="G120">
        <v>3375</v>
      </c>
      <c r="H120" t="s">
        <v>837</v>
      </c>
      <c r="I120" t="s">
        <v>841</v>
      </c>
    </row>
    <row r="121" spans="2:9" x14ac:dyDescent="0.2">
      <c r="B121" t="s">
        <v>644</v>
      </c>
      <c r="C121" t="s">
        <v>645</v>
      </c>
      <c r="D121">
        <v>134</v>
      </c>
      <c r="E121" t="s">
        <v>408</v>
      </c>
      <c r="F121">
        <v>25</v>
      </c>
      <c r="G121">
        <v>3350</v>
      </c>
      <c r="H121" t="s">
        <v>848</v>
      </c>
      <c r="I121" t="s">
        <v>836</v>
      </c>
    </row>
    <row r="122" spans="2:9" x14ac:dyDescent="0.2">
      <c r="B122" t="s">
        <v>118</v>
      </c>
      <c r="C122" t="s">
        <v>356</v>
      </c>
      <c r="D122">
        <v>31400</v>
      </c>
      <c r="E122" t="s">
        <v>589</v>
      </c>
      <c r="F122">
        <v>0.1</v>
      </c>
      <c r="G122">
        <v>3140</v>
      </c>
      <c r="H122" t="s">
        <v>851</v>
      </c>
      <c r="I122" t="s">
        <v>836</v>
      </c>
    </row>
    <row r="123" spans="2:9" x14ac:dyDescent="0.2">
      <c r="B123" t="s">
        <v>39</v>
      </c>
      <c r="C123" t="s">
        <v>298</v>
      </c>
      <c r="D123">
        <v>173</v>
      </c>
      <c r="E123" t="s">
        <v>408</v>
      </c>
      <c r="F123">
        <v>18</v>
      </c>
      <c r="G123">
        <v>3114</v>
      </c>
      <c r="H123" t="s">
        <v>848</v>
      </c>
      <c r="I123" t="s">
        <v>836</v>
      </c>
    </row>
    <row r="124" spans="2:9" x14ac:dyDescent="0.2">
      <c r="B124" t="s">
        <v>35</v>
      </c>
      <c r="C124" t="s">
        <v>295</v>
      </c>
      <c r="D124">
        <v>171</v>
      </c>
      <c r="E124" t="s">
        <v>408</v>
      </c>
      <c r="F124">
        <v>18</v>
      </c>
      <c r="G124">
        <v>3078</v>
      </c>
      <c r="H124" t="s">
        <v>848</v>
      </c>
      <c r="I124" t="s">
        <v>836</v>
      </c>
    </row>
    <row r="125" spans="2:9" x14ac:dyDescent="0.2">
      <c r="B125" t="s">
        <v>592</v>
      </c>
      <c r="C125" t="s">
        <v>593</v>
      </c>
      <c r="D125">
        <v>648</v>
      </c>
      <c r="E125" t="s">
        <v>408</v>
      </c>
      <c r="F125">
        <v>4.7</v>
      </c>
      <c r="G125">
        <v>3045.6</v>
      </c>
      <c r="H125" t="s">
        <v>848</v>
      </c>
      <c r="I125" t="s">
        <v>836</v>
      </c>
    </row>
    <row r="126" spans="2:9" x14ac:dyDescent="0.2">
      <c r="B126" t="s">
        <v>514</v>
      </c>
      <c r="C126" t="s">
        <v>515</v>
      </c>
      <c r="D126">
        <v>15</v>
      </c>
      <c r="E126" t="s">
        <v>443</v>
      </c>
      <c r="F126">
        <v>190</v>
      </c>
      <c r="G126">
        <v>2850</v>
      </c>
      <c r="H126" t="s">
        <v>837</v>
      </c>
      <c r="I126" t="s">
        <v>842</v>
      </c>
    </row>
    <row r="127" spans="2:9" x14ac:dyDescent="0.2">
      <c r="B127" t="s">
        <v>528</v>
      </c>
      <c r="C127" t="s">
        <v>529</v>
      </c>
      <c r="D127">
        <v>15</v>
      </c>
      <c r="E127" t="s">
        <v>443</v>
      </c>
      <c r="F127">
        <v>190</v>
      </c>
      <c r="G127">
        <v>2850</v>
      </c>
      <c r="H127" t="s">
        <v>837</v>
      </c>
      <c r="I127" t="s">
        <v>842</v>
      </c>
    </row>
    <row r="128" spans="2:9" x14ac:dyDescent="0.2">
      <c r="B128" t="s">
        <v>828</v>
      </c>
      <c r="C128" t="s">
        <v>829</v>
      </c>
      <c r="D128">
        <v>28000</v>
      </c>
      <c r="E128" t="s">
        <v>589</v>
      </c>
      <c r="F128">
        <v>0.1</v>
      </c>
      <c r="G128">
        <v>2800</v>
      </c>
      <c r="H128" t="s">
        <v>851</v>
      </c>
      <c r="I128" t="s">
        <v>836</v>
      </c>
    </row>
    <row r="129" spans="2:9" x14ac:dyDescent="0.2">
      <c r="B129" t="s">
        <v>600</v>
      </c>
      <c r="C129" t="s">
        <v>601</v>
      </c>
      <c r="D129">
        <v>500</v>
      </c>
      <c r="E129" t="s">
        <v>408</v>
      </c>
      <c r="F129">
        <v>5.5</v>
      </c>
      <c r="G129">
        <v>2750</v>
      </c>
      <c r="H129" t="s">
        <v>848</v>
      </c>
      <c r="I129" t="s">
        <v>836</v>
      </c>
    </row>
    <row r="130" spans="2:9" x14ac:dyDescent="0.2">
      <c r="B130" t="s">
        <v>47</v>
      </c>
      <c r="C130" t="s">
        <v>328</v>
      </c>
      <c r="D130">
        <v>11.7</v>
      </c>
      <c r="E130" t="s">
        <v>443</v>
      </c>
      <c r="F130">
        <v>235</v>
      </c>
      <c r="G130">
        <v>2749.5</v>
      </c>
      <c r="H130" t="s">
        <v>847</v>
      </c>
      <c r="I130" t="s">
        <v>836</v>
      </c>
    </row>
    <row r="131" spans="2:9" x14ac:dyDescent="0.2">
      <c r="B131" t="s">
        <v>106</v>
      </c>
      <c r="C131" t="s">
        <v>364</v>
      </c>
      <c r="D131">
        <v>27360</v>
      </c>
      <c r="E131" t="s">
        <v>589</v>
      </c>
      <c r="F131">
        <v>0.1</v>
      </c>
      <c r="G131">
        <v>2736</v>
      </c>
      <c r="H131" t="s">
        <v>851</v>
      </c>
      <c r="I131" t="s">
        <v>836</v>
      </c>
    </row>
    <row r="132" spans="2:9" x14ac:dyDescent="0.2">
      <c r="B132" t="s">
        <v>656</v>
      </c>
      <c r="C132" t="s">
        <v>657</v>
      </c>
      <c r="D132">
        <v>180</v>
      </c>
      <c r="E132" t="s">
        <v>408</v>
      </c>
      <c r="F132">
        <v>15</v>
      </c>
      <c r="G132">
        <v>2700</v>
      </c>
      <c r="H132" t="s">
        <v>848</v>
      </c>
      <c r="I132" t="s">
        <v>836</v>
      </c>
    </row>
    <row r="133" spans="2:9" x14ac:dyDescent="0.2">
      <c r="B133" t="s">
        <v>556</v>
      </c>
      <c r="C133" t="s">
        <v>557</v>
      </c>
      <c r="D133">
        <v>7</v>
      </c>
      <c r="E133" t="s">
        <v>443</v>
      </c>
      <c r="F133">
        <v>380</v>
      </c>
      <c r="G133">
        <v>2660</v>
      </c>
      <c r="H133" t="s">
        <v>837</v>
      </c>
      <c r="I133" t="s">
        <v>843</v>
      </c>
    </row>
    <row r="134" spans="2:9" x14ac:dyDescent="0.2">
      <c r="B134" t="s">
        <v>53</v>
      </c>
      <c r="C134" t="s">
        <v>325</v>
      </c>
      <c r="D134">
        <v>21.82</v>
      </c>
      <c r="E134" t="s">
        <v>443</v>
      </c>
      <c r="F134">
        <v>120</v>
      </c>
      <c r="G134">
        <v>2618.4</v>
      </c>
      <c r="H134" t="s">
        <v>837</v>
      </c>
      <c r="I134" t="s">
        <v>840</v>
      </c>
    </row>
    <row r="135" spans="2:9" x14ac:dyDescent="0.2">
      <c r="B135" t="s">
        <v>606</v>
      </c>
      <c r="C135" t="s">
        <v>607</v>
      </c>
      <c r="D135">
        <v>179</v>
      </c>
      <c r="E135" t="s">
        <v>408</v>
      </c>
      <c r="F135">
        <v>13</v>
      </c>
      <c r="G135">
        <v>2327</v>
      </c>
      <c r="H135" t="s">
        <v>848</v>
      </c>
      <c r="I135" t="s">
        <v>836</v>
      </c>
    </row>
    <row r="136" spans="2:9" x14ac:dyDescent="0.2">
      <c r="B136" t="s">
        <v>587</v>
      </c>
      <c r="C136" t="s">
        <v>588</v>
      </c>
      <c r="D136">
        <v>713</v>
      </c>
      <c r="E136" t="s">
        <v>408</v>
      </c>
      <c r="F136">
        <v>3.2</v>
      </c>
      <c r="G136">
        <v>2281.6</v>
      </c>
      <c r="H136" t="s">
        <v>848</v>
      </c>
      <c r="I136" t="s">
        <v>836</v>
      </c>
    </row>
    <row r="137" spans="2:9" x14ac:dyDescent="0.2">
      <c r="B137" t="s">
        <v>538</v>
      </c>
      <c r="C137" t="s">
        <v>539</v>
      </c>
      <c r="D137">
        <v>15</v>
      </c>
      <c r="E137" t="s">
        <v>443</v>
      </c>
      <c r="F137">
        <v>145</v>
      </c>
      <c r="G137">
        <v>2175</v>
      </c>
      <c r="H137" t="s">
        <v>837</v>
      </c>
      <c r="I137" t="s">
        <v>842</v>
      </c>
    </row>
    <row r="138" spans="2:9" x14ac:dyDescent="0.2">
      <c r="B138" t="s">
        <v>540</v>
      </c>
      <c r="C138" t="s">
        <v>541</v>
      </c>
      <c r="D138">
        <v>15</v>
      </c>
      <c r="E138" t="s">
        <v>443</v>
      </c>
      <c r="F138">
        <v>145</v>
      </c>
      <c r="G138">
        <v>2175</v>
      </c>
      <c r="H138" t="s">
        <v>837</v>
      </c>
      <c r="I138" t="s">
        <v>842</v>
      </c>
    </row>
    <row r="139" spans="2:9" x14ac:dyDescent="0.2">
      <c r="B139" t="s">
        <v>542</v>
      </c>
      <c r="C139" t="s">
        <v>543</v>
      </c>
      <c r="D139">
        <v>15</v>
      </c>
      <c r="E139" t="s">
        <v>443</v>
      </c>
      <c r="F139">
        <v>145</v>
      </c>
      <c r="G139">
        <v>2175</v>
      </c>
      <c r="H139" t="s">
        <v>837</v>
      </c>
      <c r="I139" t="s">
        <v>842</v>
      </c>
    </row>
    <row r="140" spans="2:9" x14ac:dyDescent="0.2">
      <c r="B140" t="s">
        <v>724</v>
      </c>
      <c r="C140" t="s">
        <v>725</v>
      </c>
      <c r="D140">
        <v>1023</v>
      </c>
      <c r="E140" t="s">
        <v>589</v>
      </c>
      <c r="F140">
        <v>2.1</v>
      </c>
      <c r="G140">
        <v>2148.3000000000002</v>
      </c>
      <c r="H140" t="s">
        <v>405</v>
      </c>
      <c r="I140" t="s">
        <v>836</v>
      </c>
    </row>
    <row r="141" spans="2:9" x14ac:dyDescent="0.2">
      <c r="B141" t="s">
        <v>84</v>
      </c>
      <c r="C141" t="s">
        <v>346</v>
      </c>
      <c r="D141">
        <v>11.25</v>
      </c>
      <c r="E141" t="s">
        <v>443</v>
      </c>
      <c r="F141">
        <v>190</v>
      </c>
      <c r="G141">
        <v>2137.5</v>
      </c>
      <c r="H141" t="s">
        <v>837</v>
      </c>
      <c r="I141" t="s">
        <v>845</v>
      </c>
    </row>
    <row r="142" spans="2:9" x14ac:dyDescent="0.2">
      <c r="B142" t="s">
        <v>460</v>
      </c>
      <c r="C142" t="s">
        <v>461</v>
      </c>
      <c r="D142">
        <v>23.4</v>
      </c>
      <c r="E142" t="s">
        <v>443</v>
      </c>
      <c r="F142">
        <v>90</v>
      </c>
      <c r="G142">
        <v>2106</v>
      </c>
      <c r="H142" t="s">
        <v>837</v>
      </c>
      <c r="I142" t="s">
        <v>840</v>
      </c>
    </row>
    <row r="143" spans="2:9" x14ac:dyDescent="0.2">
      <c r="B143" t="s">
        <v>57</v>
      </c>
      <c r="C143" t="s">
        <v>336</v>
      </c>
      <c r="D143">
        <v>23.4</v>
      </c>
      <c r="E143" t="s">
        <v>443</v>
      </c>
      <c r="F143">
        <v>90</v>
      </c>
      <c r="G143">
        <v>2106</v>
      </c>
      <c r="H143" t="s">
        <v>837</v>
      </c>
      <c r="I143" t="s">
        <v>840</v>
      </c>
    </row>
    <row r="144" spans="2:9" x14ac:dyDescent="0.2">
      <c r="B144" t="s">
        <v>794</v>
      </c>
      <c r="C144" t="s">
        <v>795</v>
      </c>
      <c r="D144">
        <v>100</v>
      </c>
      <c r="E144" t="s">
        <v>589</v>
      </c>
      <c r="F144">
        <v>20.5</v>
      </c>
      <c r="G144">
        <v>2050</v>
      </c>
      <c r="H144" t="s">
        <v>850</v>
      </c>
      <c r="I144" t="s">
        <v>836</v>
      </c>
    </row>
    <row r="145" spans="2:9" x14ac:dyDescent="0.2">
      <c r="B145" t="s">
        <v>24</v>
      </c>
      <c r="C145" t="s">
        <v>360</v>
      </c>
      <c r="D145">
        <v>929</v>
      </c>
      <c r="E145" t="s">
        <v>408</v>
      </c>
      <c r="F145">
        <v>2.2000000000000002</v>
      </c>
      <c r="G145">
        <v>2043.8</v>
      </c>
      <c r="H145" t="s">
        <v>848</v>
      </c>
      <c r="I145" t="s">
        <v>836</v>
      </c>
    </row>
    <row r="146" spans="2:9" x14ac:dyDescent="0.2">
      <c r="B146" t="s">
        <v>42</v>
      </c>
      <c r="C146" t="s">
        <v>299</v>
      </c>
      <c r="D146">
        <v>816</v>
      </c>
      <c r="E146" t="s">
        <v>408</v>
      </c>
      <c r="F146">
        <v>2.5</v>
      </c>
      <c r="G146">
        <v>2040</v>
      </c>
      <c r="H146" t="s">
        <v>848</v>
      </c>
      <c r="I146" t="s">
        <v>836</v>
      </c>
    </row>
    <row r="147" spans="2:9" x14ac:dyDescent="0.2">
      <c r="B147" t="s">
        <v>474</v>
      </c>
      <c r="C147" t="s">
        <v>475</v>
      </c>
      <c r="D147">
        <v>22.5</v>
      </c>
      <c r="E147" t="s">
        <v>443</v>
      </c>
      <c r="F147">
        <v>90</v>
      </c>
      <c r="G147">
        <v>2025</v>
      </c>
      <c r="H147" t="s">
        <v>837</v>
      </c>
      <c r="I147" t="s">
        <v>840</v>
      </c>
    </row>
    <row r="148" spans="2:9" x14ac:dyDescent="0.2">
      <c r="B148" t="s">
        <v>10</v>
      </c>
      <c r="C148" t="s">
        <v>397</v>
      </c>
      <c r="D148">
        <v>175</v>
      </c>
      <c r="E148" t="s">
        <v>589</v>
      </c>
      <c r="F148">
        <v>11.5</v>
      </c>
      <c r="G148">
        <v>2012.5</v>
      </c>
      <c r="H148" t="s">
        <v>850</v>
      </c>
      <c r="I148" t="s">
        <v>836</v>
      </c>
    </row>
    <row r="149" spans="2:9" x14ac:dyDescent="0.2">
      <c r="B149" t="s">
        <v>114</v>
      </c>
      <c r="C149" t="s">
        <v>350</v>
      </c>
      <c r="D149">
        <v>19960</v>
      </c>
      <c r="E149" t="s">
        <v>589</v>
      </c>
      <c r="F149">
        <v>0.1</v>
      </c>
      <c r="G149">
        <v>1996</v>
      </c>
      <c r="H149" t="s">
        <v>851</v>
      </c>
      <c r="I149" t="s">
        <v>836</v>
      </c>
    </row>
    <row r="150" spans="2:9" x14ac:dyDescent="0.2">
      <c r="B150" t="s">
        <v>448</v>
      </c>
      <c r="C150" t="s">
        <v>449</v>
      </c>
      <c r="D150">
        <v>30</v>
      </c>
      <c r="E150" t="s">
        <v>443</v>
      </c>
      <c r="F150">
        <v>65</v>
      </c>
      <c r="G150">
        <v>1950</v>
      </c>
      <c r="H150" t="s">
        <v>837</v>
      </c>
      <c r="I150" t="s">
        <v>838</v>
      </c>
    </row>
    <row r="151" spans="2:9" x14ac:dyDescent="0.2">
      <c r="B151" t="s">
        <v>476</v>
      </c>
      <c r="C151" t="s">
        <v>477</v>
      </c>
      <c r="D151">
        <v>15</v>
      </c>
      <c r="E151" t="s">
        <v>443</v>
      </c>
      <c r="F151">
        <v>130</v>
      </c>
      <c r="G151">
        <v>1950</v>
      </c>
      <c r="H151" t="s">
        <v>837</v>
      </c>
      <c r="I151" t="s">
        <v>840</v>
      </c>
    </row>
    <row r="152" spans="2:9" x14ac:dyDescent="0.2">
      <c r="B152" t="s">
        <v>770</v>
      </c>
      <c r="C152" t="s">
        <v>771</v>
      </c>
      <c r="D152">
        <v>250</v>
      </c>
      <c r="E152" t="s">
        <v>589</v>
      </c>
      <c r="F152">
        <v>7.7</v>
      </c>
      <c r="G152">
        <v>1925</v>
      </c>
      <c r="H152" t="s">
        <v>850</v>
      </c>
      <c r="I152" t="s">
        <v>836</v>
      </c>
    </row>
    <row r="153" spans="2:9" x14ac:dyDescent="0.2">
      <c r="B153" t="s">
        <v>34</v>
      </c>
      <c r="C153" t="s">
        <v>294</v>
      </c>
      <c r="D153">
        <v>105</v>
      </c>
      <c r="E153" t="s">
        <v>408</v>
      </c>
      <c r="F153">
        <v>18</v>
      </c>
      <c r="G153">
        <v>1890</v>
      </c>
      <c r="H153" t="s">
        <v>848</v>
      </c>
      <c r="I153" t="s">
        <v>836</v>
      </c>
    </row>
    <row r="154" spans="2:9" x14ac:dyDescent="0.2">
      <c r="B154" t="s">
        <v>25</v>
      </c>
      <c r="C154" t="s">
        <v>368</v>
      </c>
      <c r="D154">
        <v>927</v>
      </c>
      <c r="E154" t="s">
        <v>408</v>
      </c>
      <c r="F154">
        <v>2</v>
      </c>
      <c r="G154">
        <v>1854</v>
      </c>
      <c r="H154" t="s">
        <v>848</v>
      </c>
      <c r="I154" t="s">
        <v>836</v>
      </c>
    </row>
    <row r="155" spans="2:9" x14ac:dyDescent="0.2">
      <c r="B155" t="s">
        <v>71</v>
      </c>
      <c r="C155" t="s">
        <v>385</v>
      </c>
      <c r="D155">
        <v>12</v>
      </c>
      <c r="E155" t="s">
        <v>443</v>
      </c>
      <c r="F155">
        <v>145</v>
      </c>
      <c r="G155">
        <v>1740</v>
      </c>
      <c r="H155" t="s">
        <v>837</v>
      </c>
      <c r="I155" t="s">
        <v>842</v>
      </c>
    </row>
    <row r="156" spans="2:9" x14ac:dyDescent="0.2">
      <c r="B156" t="s">
        <v>11</v>
      </c>
      <c r="C156" t="s">
        <v>399</v>
      </c>
      <c r="D156">
        <v>150</v>
      </c>
      <c r="E156" t="s">
        <v>589</v>
      </c>
      <c r="F156">
        <v>11.5</v>
      </c>
      <c r="G156">
        <v>1725</v>
      </c>
      <c r="H156" t="s">
        <v>850</v>
      </c>
      <c r="I156" t="s">
        <v>836</v>
      </c>
    </row>
    <row r="157" spans="2:9" x14ac:dyDescent="0.2">
      <c r="B157" t="s">
        <v>596</v>
      </c>
      <c r="C157" t="s">
        <v>597</v>
      </c>
      <c r="D157">
        <v>99</v>
      </c>
      <c r="E157" t="s">
        <v>408</v>
      </c>
      <c r="F157">
        <v>17</v>
      </c>
      <c r="G157">
        <v>1683</v>
      </c>
      <c r="H157" t="s">
        <v>848</v>
      </c>
      <c r="I157" t="s">
        <v>836</v>
      </c>
    </row>
    <row r="158" spans="2:9" x14ac:dyDescent="0.2">
      <c r="B158" t="s">
        <v>9</v>
      </c>
      <c r="C158" t="s">
        <v>347</v>
      </c>
      <c r="D158">
        <v>100</v>
      </c>
      <c r="E158" t="s">
        <v>589</v>
      </c>
      <c r="F158">
        <v>16.5</v>
      </c>
      <c r="G158">
        <v>1650</v>
      </c>
      <c r="H158" t="s">
        <v>850</v>
      </c>
      <c r="I158" t="s">
        <v>836</v>
      </c>
    </row>
    <row r="159" spans="2:9" x14ac:dyDescent="0.2">
      <c r="B159" t="s">
        <v>113</v>
      </c>
      <c r="C159" t="s">
        <v>318</v>
      </c>
      <c r="D159">
        <v>16000</v>
      </c>
      <c r="E159" t="s">
        <v>589</v>
      </c>
      <c r="F159">
        <v>0.1</v>
      </c>
      <c r="G159">
        <v>1600</v>
      </c>
      <c r="H159" t="s">
        <v>851</v>
      </c>
      <c r="I159" t="s">
        <v>836</v>
      </c>
    </row>
    <row r="160" spans="2:9" x14ac:dyDescent="0.2">
      <c r="B160" t="s">
        <v>119</v>
      </c>
      <c r="C160" t="s">
        <v>334</v>
      </c>
      <c r="D160">
        <v>16000</v>
      </c>
      <c r="E160" t="s">
        <v>589</v>
      </c>
      <c r="F160">
        <v>0.1</v>
      </c>
      <c r="G160">
        <v>1600</v>
      </c>
      <c r="H160" t="s">
        <v>851</v>
      </c>
      <c r="I160" t="s">
        <v>836</v>
      </c>
    </row>
    <row r="161" spans="2:9" x14ac:dyDescent="0.2">
      <c r="B161" t="s">
        <v>788</v>
      </c>
      <c r="C161" t="s">
        <v>789</v>
      </c>
      <c r="D161">
        <v>300</v>
      </c>
      <c r="E161" t="s">
        <v>589</v>
      </c>
      <c r="F161">
        <v>5.2</v>
      </c>
      <c r="G161">
        <v>1560</v>
      </c>
      <c r="H161" t="s">
        <v>850</v>
      </c>
      <c r="I161" t="s">
        <v>836</v>
      </c>
    </row>
    <row r="162" spans="2:9" x14ac:dyDescent="0.2">
      <c r="B162" t="s">
        <v>21</v>
      </c>
      <c r="C162" t="s">
        <v>366</v>
      </c>
      <c r="D162">
        <v>757</v>
      </c>
      <c r="E162" t="s">
        <v>408</v>
      </c>
      <c r="F162">
        <v>2</v>
      </c>
      <c r="G162">
        <v>1514</v>
      </c>
      <c r="H162" t="s">
        <v>848</v>
      </c>
      <c r="I162" t="s">
        <v>836</v>
      </c>
    </row>
    <row r="163" spans="2:9" x14ac:dyDescent="0.2">
      <c r="B163" t="s">
        <v>8</v>
      </c>
      <c r="C163" t="s">
        <v>375</v>
      </c>
      <c r="D163">
        <v>400</v>
      </c>
      <c r="E163" t="s">
        <v>589</v>
      </c>
      <c r="F163">
        <v>3.7</v>
      </c>
      <c r="G163">
        <v>1480</v>
      </c>
      <c r="H163" t="s">
        <v>850</v>
      </c>
      <c r="I163" t="s">
        <v>836</v>
      </c>
    </row>
    <row r="164" spans="2:9" x14ac:dyDescent="0.2">
      <c r="B164" t="s">
        <v>40</v>
      </c>
      <c r="C164" t="s">
        <v>392</v>
      </c>
      <c r="D164">
        <v>98</v>
      </c>
      <c r="E164" t="s">
        <v>408</v>
      </c>
      <c r="F164">
        <v>15</v>
      </c>
      <c r="G164">
        <v>1470</v>
      </c>
      <c r="H164" t="s">
        <v>848</v>
      </c>
      <c r="I164" t="s">
        <v>836</v>
      </c>
    </row>
    <row r="165" spans="2:9" x14ac:dyDescent="0.2">
      <c r="B165" t="s">
        <v>654</v>
      </c>
      <c r="C165" t="s">
        <v>655</v>
      </c>
      <c r="D165">
        <v>63</v>
      </c>
      <c r="E165" t="s">
        <v>408</v>
      </c>
      <c r="F165">
        <v>23</v>
      </c>
      <c r="G165">
        <v>1449</v>
      </c>
      <c r="H165" t="s">
        <v>848</v>
      </c>
      <c r="I165" t="s">
        <v>836</v>
      </c>
    </row>
    <row r="166" spans="2:9" x14ac:dyDescent="0.2">
      <c r="B166" t="s">
        <v>594</v>
      </c>
      <c r="C166" t="s">
        <v>595</v>
      </c>
      <c r="D166">
        <v>192</v>
      </c>
      <c r="E166" t="s">
        <v>408</v>
      </c>
      <c r="F166">
        <v>7.5</v>
      </c>
      <c r="G166">
        <v>1440</v>
      </c>
      <c r="H166" t="s">
        <v>848</v>
      </c>
      <c r="I166" t="s">
        <v>836</v>
      </c>
    </row>
    <row r="167" spans="2:9" x14ac:dyDescent="0.2">
      <c r="B167" t="s">
        <v>498</v>
      </c>
      <c r="C167" t="s">
        <v>499</v>
      </c>
      <c r="D167">
        <v>7.5</v>
      </c>
      <c r="E167" t="s">
        <v>443</v>
      </c>
      <c r="F167">
        <v>190</v>
      </c>
      <c r="G167">
        <v>1425</v>
      </c>
      <c r="H167" t="s">
        <v>837</v>
      </c>
      <c r="I167" t="s">
        <v>842</v>
      </c>
    </row>
    <row r="168" spans="2:9" x14ac:dyDescent="0.2">
      <c r="B168" t="s">
        <v>520</v>
      </c>
      <c r="C168" t="s">
        <v>521</v>
      </c>
      <c r="D168">
        <v>7.5</v>
      </c>
      <c r="E168" t="s">
        <v>443</v>
      </c>
      <c r="F168">
        <v>190</v>
      </c>
      <c r="G168">
        <v>1425</v>
      </c>
      <c r="H168" t="s">
        <v>837</v>
      </c>
      <c r="I168" t="s">
        <v>842</v>
      </c>
    </row>
    <row r="169" spans="2:9" x14ac:dyDescent="0.2">
      <c r="B169" t="s">
        <v>524</v>
      </c>
      <c r="C169" t="s">
        <v>525</v>
      </c>
      <c r="D169">
        <v>7.5</v>
      </c>
      <c r="E169" t="s">
        <v>443</v>
      </c>
      <c r="F169">
        <v>190</v>
      </c>
      <c r="G169">
        <v>1425</v>
      </c>
      <c r="H169" t="s">
        <v>837</v>
      </c>
      <c r="I169" t="s">
        <v>842</v>
      </c>
    </row>
    <row r="170" spans="2:9" x14ac:dyDescent="0.2">
      <c r="B170" t="s">
        <v>458</v>
      </c>
      <c r="C170" t="s">
        <v>459</v>
      </c>
      <c r="D170">
        <v>15.6</v>
      </c>
      <c r="E170" t="s">
        <v>443</v>
      </c>
      <c r="F170">
        <v>90</v>
      </c>
      <c r="G170">
        <v>1404</v>
      </c>
      <c r="H170" t="s">
        <v>837</v>
      </c>
      <c r="I170" t="s">
        <v>840</v>
      </c>
    </row>
    <row r="171" spans="2:9" x14ac:dyDescent="0.2">
      <c r="B171" t="s">
        <v>470</v>
      </c>
      <c r="C171" t="s">
        <v>471</v>
      </c>
      <c r="D171">
        <v>15.6</v>
      </c>
      <c r="E171" t="s">
        <v>443</v>
      </c>
      <c r="F171">
        <v>90</v>
      </c>
      <c r="G171">
        <v>1404</v>
      </c>
      <c r="H171" t="s">
        <v>837</v>
      </c>
      <c r="I171" t="s">
        <v>840</v>
      </c>
    </row>
    <row r="172" spans="2:9" x14ac:dyDescent="0.2">
      <c r="B172" t="s">
        <v>89</v>
      </c>
      <c r="C172" t="s">
        <v>379</v>
      </c>
      <c r="D172">
        <v>8.25</v>
      </c>
      <c r="E172" t="s">
        <v>443</v>
      </c>
      <c r="F172">
        <v>170</v>
      </c>
      <c r="G172">
        <v>1402.5</v>
      </c>
      <c r="H172" t="s">
        <v>837</v>
      </c>
      <c r="I172" t="s">
        <v>845</v>
      </c>
    </row>
    <row r="173" spans="2:9" x14ac:dyDescent="0.2">
      <c r="B173" t="s">
        <v>488</v>
      </c>
      <c r="C173" t="s">
        <v>489</v>
      </c>
      <c r="D173">
        <v>15</v>
      </c>
      <c r="E173" t="s">
        <v>443</v>
      </c>
      <c r="F173">
        <v>90</v>
      </c>
      <c r="G173">
        <v>1350</v>
      </c>
      <c r="H173" t="s">
        <v>837</v>
      </c>
      <c r="I173" t="s">
        <v>841</v>
      </c>
    </row>
    <row r="174" spans="2:9" x14ac:dyDescent="0.2">
      <c r="B174" t="s">
        <v>90</v>
      </c>
      <c r="C174" t="s">
        <v>382</v>
      </c>
      <c r="D174">
        <v>7.5</v>
      </c>
      <c r="E174" t="s">
        <v>443</v>
      </c>
      <c r="F174">
        <v>170</v>
      </c>
      <c r="G174">
        <v>1275</v>
      </c>
      <c r="H174" t="s">
        <v>837</v>
      </c>
      <c r="I174" t="s">
        <v>845</v>
      </c>
    </row>
    <row r="175" spans="2:9" x14ac:dyDescent="0.2">
      <c r="B175" t="s">
        <v>28</v>
      </c>
      <c r="C175" t="s">
        <v>291</v>
      </c>
      <c r="D175">
        <v>6.9</v>
      </c>
      <c r="E175" t="s">
        <v>589</v>
      </c>
      <c r="F175">
        <v>175</v>
      </c>
      <c r="G175">
        <v>1207.5</v>
      </c>
      <c r="H175" t="s">
        <v>848</v>
      </c>
      <c r="I175" t="s">
        <v>836</v>
      </c>
    </row>
    <row r="176" spans="2:9" x14ac:dyDescent="0.2">
      <c r="B176" t="s">
        <v>652</v>
      </c>
      <c r="C176" t="s">
        <v>653</v>
      </c>
      <c r="D176">
        <v>67</v>
      </c>
      <c r="E176" t="s">
        <v>408</v>
      </c>
      <c r="F176">
        <v>18</v>
      </c>
      <c r="G176">
        <v>1206</v>
      </c>
      <c r="H176" t="s">
        <v>848</v>
      </c>
      <c r="I176" t="s">
        <v>836</v>
      </c>
    </row>
    <row r="177" spans="2:9" x14ac:dyDescent="0.2">
      <c r="B177" t="s">
        <v>439</v>
      </c>
      <c r="C177" t="s">
        <v>440</v>
      </c>
      <c r="D177">
        <v>1200</v>
      </c>
      <c r="E177" t="s">
        <v>408</v>
      </c>
      <c r="F177">
        <v>1</v>
      </c>
      <c r="G177">
        <v>1200</v>
      </c>
      <c r="H177" t="s">
        <v>835</v>
      </c>
      <c r="I177" t="s">
        <v>836</v>
      </c>
    </row>
    <row r="178" spans="2:9" x14ac:dyDescent="0.2">
      <c r="B178" t="s">
        <v>109</v>
      </c>
      <c r="C178" t="s">
        <v>378</v>
      </c>
      <c r="D178">
        <v>12000</v>
      </c>
      <c r="E178" t="s">
        <v>589</v>
      </c>
      <c r="F178">
        <v>0.1</v>
      </c>
      <c r="G178">
        <v>1200</v>
      </c>
      <c r="H178" t="s">
        <v>851</v>
      </c>
      <c r="I178" t="s">
        <v>836</v>
      </c>
    </row>
    <row r="179" spans="2:9" x14ac:dyDescent="0.2">
      <c r="B179" t="s">
        <v>830</v>
      </c>
      <c r="C179" t="s">
        <v>831</v>
      </c>
      <c r="D179">
        <v>12000</v>
      </c>
      <c r="E179" t="s">
        <v>589</v>
      </c>
      <c r="F179">
        <v>0.1</v>
      </c>
      <c r="G179">
        <v>1200</v>
      </c>
      <c r="H179" t="s">
        <v>851</v>
      </c>
      <c r="I179" t="s">
        <v>836</v>
      </c>
    </row>
    <row r="180" spans="2:9" x14ac:dyDescent="0.2">
      <c r="B180" t="s">
        <v>79</v>
      </c>
      <c r="C180" t="s">
        <v>289</v>
      </c>
      <c r="D180">
        <v>3</v>
      </c>
      <c r="E180" t="s">
        <v>443</v>
      </c>
      <c r="F180">
        <v>380</v>
      </c>
      <c r="G180">
        <v>1140</v>
      </c>
      <c r="H180" t="s">
        <v>837</v>
      </c>
      <c r="I180" t="s">
        <v>843</v>
      </c>
    </row>
    <row r="181" spans="2:9" x14ac:dyDescent="0.2">
      <c r="B181" t="s">
        <v>71</v>
      </c>
      <c r="C181" t="s">
        <v>385</v>
      </c>
      <c r="D181">
        <v>7.5</v>
      </c>
      <c r="E181" t="s">
        <v>443</v>
      </c>
      <c r="F181">
        <v>145</v>
      </c>
      <c r="G181">
        <v>1087.5</v>
      </c>
      <c r="H181" t="s">
        <v>837</v>
      </c>
      <c r="I181" t="s">
        <v>842</v>
      </c>
    </row>
    <row r="182" spans="2:9" x14ac:dyDescent="0.2">
      <c r="B182" t="s">
        <v>736</v>
      </c>
      <c r="C182" t="s">
        <v>737</v>
      </c>
      <c r="D182">
        <v>300</v>
      </c>
      <c r="E182" t="s">
        <v>589</v>
      </c>
      <c r="F182">
        <v>3.5</v>
      </c>
      <c r="G182">
        <v>1050</v>
      </c>
      <c r="H182" t="s">
        <v>850</v>
      </c>
      <c r="I182" t="s">
        <v>836</v>
      </c>
    </row>
    <row r="183" spans="2:9" x14ac:dyDescent="0.2">
      <c r="B183" t="s">
        <v>822</v>
      </c>
      <c r="C183" t="s">
        <v>823</v>
      </c>
      <c r="D183">
        <v>75</v>
      </c>
      <c r="E183" t="s">
        <v>589</v>
      </c>
      <c r="F183">
        <v>14</v>
      </c>
      <c r="G183">
        <v>1050</v>
      </c>
      <c r="H183" t="s">
        <v>850</v>
      </c>
      <c r="I183" t="s">
        <v>836</v>
      </c>
    </row>
    <row r="184" spans="2:9" x14ac:dyDescent="0.2">
      <c r="B184" t="s">
        <v>824</v>
      </c>
      <c r="C184" t="s">
        <v>825</v>
      </c>
      <c r="D184">
        <v>75</v>
      </c>
      <c r="E184" t="s">
        <v>589</v>
      </c>
      <c r="F184">
        <v>14</v>
      </c>
      <c r="G184">
        <v>1050</v>
      </c>
      <c r="H184" t="s">
        <v>850</v>
      </c>
      <c r="I184" t="s">
        <v>836</v>
      </c>
    </row>
    <row r="185" spans="2:9" x14ac:dyDescent="0.2">
      <c r="B185" t="s">
        <v>431</v>
      </c>
      <c r="C185" t="s">
        <v>432</v>
      </c>
      <c r="D185">
        <v>1000</v>
      </c>
      <c r="E185" t="s">
        <v>408</v>
      </c>
      <c r="F185">
        <v>1</v>
      </c>
      <c r="G185">
        <v>1000</v>
      </c>
      <c r="H185" t="s">
        <v>835</v>
      </c>
      <c r="I185" t="s">
        <v>836</v>
      </c>
    </row>
    <row r="186" spans="2:9" x14ac:dyDescent="0.2">
      <c r="B186" t="s">
        <v>433</v>
      </c>
      <c r="C186" t="s">
        <v>434</v>
      </c>
      <c r="D186">
        <v>1000</v>
      </c>
      <c r="E186" t="s">
        <v>408</v>
      </c>
      <c r="F186">
        <v>1</v>
      </c>
      <c r="G186">
        <v>1000</v>
      </c>
      <c r="H186" t="s">
        <v>835</v>
      </c>
      <c r="I186" t="s">
        <v>836</v>
      </c>
    </row>
    <row r="187" spans="2:9" x14ac:dyDescent="0.2">
      <c r="B187" t="s">
        <v>437</v>
      </c>
      <c r="C187" t="s">
        <v>438</v>
      </c>
      <c r="D187">
        <v>1000</v>
      </c>
      <c r="E187" t="s">
        <v>408</v>
      </c>
      <c r="F187">
        <v>1</v>
      </c>
      <c r="G187">
        <v>1000</v>
      </c>
      <c r="H187" t="s">
        <v>835</v>
      </c>
      <c r="I187" t="s">
        <v>836</v>
      </c>
    </row>
    <row r="188" spans="2:9" x14ac:dyDescent="0.2">
      <c r="B188" t="s">
        <v>760</v>
      </c>
      <c r="C188" t="s">
        <v>761</v>
      </c>
      <c r="D188">
        <v>50</v>
      </c>
      <c r="E188" t="s">
        <v>589</v>
      </c>
      <c r="F188">
        <v>18.3</v>
      </c>
      <c r="G188">
        <v>915</v>
      </c>
      <c r="H188" t="s">
        <v>850</v>
      </c>
      <c r="I188" t="s">
        <v>836</v>
      </c>
    </row>
    <row r="189" spans="2:9" x14ac:dyDescent="0.2">
      <c r="B189" t="s">
        <v>423</v>
      </c>
      <c r="C189" t="s">
        <v>424</v>
      </c>
      <c r="D189">
        <v>900</v>
      </c>
      <c r="E189" t="s">
        <v>408</v>
      </c>
      <c r="F189">
        <v>1</v>
      </c>
      <c r="G189">
        <v>900</v>
      </c>
      <c r="H189" t="s">
        <v>835</v>
      </c>
      <c r="I189" t="s">
        <v>836</v>
      </c>
    </row>
    <row r="190" spans="2:9" x14ac:dyDescent="0.2">
      <c r="B190" t="s">
        <v>435</v>
      </c>
      <c r="C190" t="s">
        <v>436</v>
      </c>
      <c r="D190">
        <v>900</v>
      </c>
      <c r="E190" t="s">
        <v>408</v>
      </c>
      <c r="F190">
        <v>1</v>
      </c>
      <c r="G190">
        <v>900</v>
      </c>
      <c r="H190" t="s">
        <v>835</v>
      </c>
      <c r="I190" t="s">
        <v>836</v>
      </c>
    </row>
    <row r="191" spans="2:9" x14ac:dyDescent="0.2">
      <c r="B191" t="s">
        <v>441</v>
      </c>
      <c r="C191" t="s">
        <v>442</v>
      </c>
      <c r="D191">
        <v>900</v>
      </c>
      <c r="E191" t="s">
        <v>408</v>
      </c>
      <c r="F191">
        <v>1</v>
      </c>
      <c r="G191">
        <v>900</v>
      </c>
      <c r="H191" t="s">
        <v>835</v>
      </c>
      <c r="I191" t="s">
        <v>836</v>
      </c>
    </row>
    <row r="192" spans="2:9" x14ac:dyDescent="0.2">
      <c r="B192" t="s">
        <v>516</v>
      </c>
      <c r="C192" t="s">
        <v>517</v>
      </c>
      <c r="D192">
        <v>4.5</v>
      </c>
      <c r="E192" t="s">
        <v>443</v>
      </c>
      <c r="F192">
        <v>190</v>
      </c>
      <c r="G192">
        <v>855</v>
      </c>
      <c r="H192" t="s">
        <v>837</v>
      </c>
      <c r="I192" t="s">
        <v>842</v>
      </c>
    </row>
    <row r="193" spans="2:9" x14ac:dyDescent="0.2">
      <c r="B193" t="s">
        <v>518</v>
      </c>
      <c r="C193" t="s">
        <v>519</v>
      </c>
      <c r="D193">
        <v>4.5</v>
      </c>
      <c r="E193" t="s">
        <v>443</v>
      </c>
      <c r="F193">
        <v>190</v>
      </c>
      <c r="G193">
        <v>855</v>
      </c>
      <c r="H193" t="s">
        <v>837</v>
      </c>
      <c r="I193" t="s">
        <v>842</v>
      </c>
    </row>
    <row r="194" spans="2:9" x14ac:dyDescent="0.2">
      <c r="B194" t="s">
        <v>526</v>
      </c>
      <c r="C194" t="s">
        <v>527</v>
      </c>
      <c r="D194">
        <v>4.5</v>
      </c>
      <c r="E194" t="s">
        <v>443</v>
      </c>
      <c r="F194">
        <v>190</v>
      </c>
      <c r="G194">
        <v>855</v>
      </c>
      <c r="H194" t="s">
        <v>837</v>
      </c>
      <c r="I194" t="s">
        <v>842</v>
      </c>
    </row>
    <row r="195" spans="2:9" x14ac:dyDescent="0.2">
      <c r="B195" t="s">
        <v>530</v>
      </c>
      <c r="C195" t="s">
        <v>531</v>
      </c>
      <c r="D195">
        <v>4.5</v>
      </c>
      <c r="E195" t="s">
        <v>443</v>
      </c>
      <c r="F195">
        <v>190</v>
      </c>
      <c r="G195">
        <v>855</v>
      </c>
      <c r="H195" t="s">
        <v>837</v>
      </c>
      <c r="I195" t="s">
        <v>842</v>
      </c>
    </row>
    <row r="196" spans="2:9" x14ac:dyDescent="0.2">
      <c r="B196" t="s">
        <v>79</v>
      </c>
      <c r="C196" t="s">
        <v>289</v>
      </c>
      <c r="D196">
        <v>2.25</v>
      </c>
      <c r="E196" t="s">
        <v>443</v>
      </c>
      <c r="F196">
        <v>380</v>
      </c>
      <c r="G196">
        <v>855</v>
      </c>
      <c r="H196" t="s">
        <v>837</v>
      </c>
      <c r="I196" t="s">
        <v>843</v>
      </c>
    </row>
    <row r="197" spans="2:9" x14ac:dyDescent="0.2">
      <c r="B197" t="s">
        <v>429</v>
      </c>
      <c r="C197" t="s">
        <v>430</v>
      </c>
      <c r="D197">
        <v>850</v>
      </c>
      <c r="E197" t="s">
        <v>408</v>
      </c>
      <c r="F197">
        <v>1</v>
      </c>
      <c r="G197">
        <v>850</v>
      </c>
      <c r="H197" t="s">
        <v>835</v>
      </c>
      <c r="I197" t="s">
        <v>836</v>
      </c>
    </row>
    <row r="198" spans="2:9" x14ac:dyDescent="0.2">
      <c r="B198" t="s">
        <v>14</v>
      </c>
      <c r="C198" t="s">
        <v>310</v>
      </c>
      <c r="D198">
        <v>46.45</v>
      </c>
      <c r="E198" t="s">
        <v>589</v>
      </c>
      <c r="F198">
        <v>18</v>
      </c>
      <c r="G198">
        <v>836.1</v>
      </c>
      <c r="H198" t="s">
        <v>850</v>
      </c>
      <c r="I198" t="s">
        <v>836</v>
      </c>
    </row>
    <row r="199" spans="2:9" x14ac:dyDescent="0.2">
      <c r="B199" t="s">
        <v>746</v>
      </c>
      <c r="C199" t="s">
        <v>747</v>
      </c>
      <c r="D199">
        <v>50</v>
      </c>
      <c r="E199" t="s">
        <v>589</v>
      </c>
      <c r="F199">
        <v>16.5</v>
      </c>
      <c r="G199">
        <v>825</v>
      </c>
      <c r="H199" t="s">
        <v>850</v>
      </c>
      <c r="I199" t="s">
        <v>836</v>
      </c>
    </row>
    <row r="200" spans="2:9" x14ac:dyDescent="0.2">
      <c r="B200" t="s">
        <v>734</v>
      </c>
      <c r="C200" t="s">
        <v>735</v>
      </c>
      <c r="D200">
        <v>75</v>
      </c>
      <c r="E200" t="s">
        <v>589</v>
      </c>
      <c r="F200">
        <v>10.5</v>
      </c>
      <c r="G200">
        <v>787.5</v>
      </c>
      <c r="H200" t="s">
        <v>850</v>
      </c>
      <c r="I200" t="s">
        <v>836</v>
      </c>
    </row>
    <row r="201" spans="2:9" x14ac:dyDescent="0.2">
      <c r="B201" t="s">
        <v>116</v>
      </c>
      <c r="C201" t="s">
        <v>373</v>
      </c>
      <c r="D201">
        <v>7840</v>
      </c>
      <c r="E201" t="s">
        <v>589</v>
      </c>
      <c r="F201">
        <v>0.1</v>
      </c>
      <c r="G201">
        <v>784</v>
      </c>
      <c r="H201" t="s">
        <v>851</v>
      </c>
      <c r="I201" t="s">
        <v>836</v>
      </c>
    </row>
    <row r="202" spans="2:9" x14ac:dyDescent="0.2">
      <c r="B202" t="s">
        <v>806</v>
      </c>
      <c r="C202" t="s">
        <v>807</v>
      </c>
      <c r="D202">
        <v>150</v>
      </c>
      <c r="E202" t="s">
        <v>589</v>
      </c>
      <c r="F202">
        <v>5</v>
      </c>
      <c r="G202">
        <v>750</v>
      </c>
      <c r="H202" t="s">
        <v>850</v>
      </c>
      <c r="I202" t="s">
        <v>836</v>
      </c>
    </row>
    <row r="203" spans="2:9" x14ac:dyDescent="0.2">
      <c r="B203" t="s">
        <v>808</v>
      </c>
      <c r="C203" t="s">
        <v>809</v>
      </c>
      <c r="D203">
        <v>150</v>
      </c>
      <c r="E203" t="s">
        <v>589</v>
      </c>
      <c r="F203">
        <v>5</v>
      </c>
      <c r="G203">
        <v>750</v>
      </c>
      <c r="H203" t="s">
        <v>850</v>
      </c>
      <c r="I203" t="s">
        <v>836</v>
      </c>
    </row>
    <row r="204" spans="2:9" x14ac:dyDescent="0.2">
      <c r="B204" t="s">
        <v>810</v>
      </c>
      <c r="C204" t="s">
        <v>811</v>
      </c>
      <c r="D204">
        <v>150</v>
      </c>
      <c r="E204" t="s">
        <v>589</v>
      </c>
      <c r="F204">
        <v>5</v>
      </c>
      <c r="G204">
        <v>750</v>
      </c>
      <c r="H204" t="s">
        <v>850</v>
      </c>
      <c r="I204" t="s">
        <v>836</v>
      </c>
    </row>
    <row r="205" spans="2:9" x14ac:dyDescent="0.2">
      <c r="B205" t="s">
        <v>110</v>
      </c>
      <c r="C205" t="s">
        <v>314</v>
      </c>
      <c r="D205">
        <v>7390</v>
      </c>
      <c r="E205" t="s">
        <v>589</v>
      </c>
      <c r="F205">
        <v>0.1</v>
      </c>
      <c r="G205">
        <v>739</v>
      </c>
      <c r="H205" t="s">
        <v>851</v>
      </c>
      <c r="I205" t="s">
        <v>836</v>
      </c>
    </row>
    <row r="206" spans="2:9" x14ac:dyDescent="0.2">
      <c r="B206" t="s">
        <v>472</v>
      </c>
      <c r="C206" t="s">
        <v>473</v>
      </c>
      <c r="D206">
        <v>7.8</v>
      </c>
      <c r="E206" t="s">
        <v>443</v>
      </c>
      <c r="F206">
        <v>90</v>
      </c>
      <c r="G206">
        <v>702</v>
      </c>
      <c r="H206" t="s">
        <v>837</v>
      </c>
      <c r="I206" t="s">
        <v>840</v>
      </c>
    </row>
    <row r="207" spans="2:9" x14ac:dyDescent="0.2">
      <c r="B207" t="s">
        <v>419</v>
      </c>
      <c r="C207" t="s">
        <v>420</v>
      </c>
      <c r="D207">
        <v>700</v>
      </c>
      <c r="E207" t="s">
        <v>408</v>
      </c>
      <c r="F207">
        <v>1</v>
      </c>
      <c r="G207">
        <v>700</v>
      </c>
      <c r="H207" t="s">
        <v>835</v>
      </c>
      <c r="I207" t="s">
        <v>836</v>
      </c>
    </row>
    <row r="208" spans="2:9" x14ac:dyDescent="0.2">
      <c r="B208" t="s">
        <v>802</v>
      </c>
      <c r="C208" t="s">
        <v>803</v>
      </c>
      <c r="D208">
        <v>100</v>
      </c>
      <c r="E208" t="s">
        <v>589</v>
      </c>
      <c r="F208">
        <v>7</v>
      </c>
      <c r="G208">
        <v>700</v>
      </c>
      <c r="H208" t="s">
        <v>850</v>
      </c>
      <c r="I208" t="s">
        <v>836</v>
      </c>
    </row>
    <row r="209" spans="2:9" x14ac:dyDescent="0.2">
      <c r="B209" t="s">
        <v>812</v>
      </c>
      <c r="C209" t="s">
        <v>813</v>
      </c>
      <c r="D209">
        <v>100</v>
      </c>
      <c r="E209" t="s">
        <v>589</v>
      </c>
      <c r="F209">
        <v>7</v>
      </c>
      <c r="G209">
        <v>700</v>
      </c>
      <c r="H209" t="s">
        <v>850</v>
      </c>
      <c r="I209" t="s">
        <v>836</v>
      </c>
    </row>
    <row r="210" spans="2:9" x14ac:dyDescent="0.2">
      <c r="B210" t="s">
        <v>577</v>
      </c>
      <c r="C210" t="s">
        <v>578</v>
      </c>
      <c r="D210">
        <v>7</v>
      </c>
      <c r="E210" t="s">
        <v>443</v>
      </c>
      <c r="F210">
        <v>90</v>
      </c>
      <c r="G210">
        <v>630</v>
      </c>
      <c r="H210" t="s">
        <v>847</v>
      </c>
      <c r="I210" t="s">
        <v>836</v>
      </c>
    </row>
    <row r="211" spans="2:9" x14ac:dyDescent="0.2">
      <c r="B211" t="s">
        <v>638</v>
      </c>
      <c r="C211" t="s">
        <v>639</v>
      </c>
      <c r="D211">
        <v>24</v>
      </c>
      <c r="E211" t="s">
        <v>408</v>
      </c>
      <c r="F211">
        <v>25</v>
      </c>
      <c r="G211">
        <v>600</v>
      </c>
      <c r="H211" t="s">
        <v>848</v>
      </c>
      <c r="I211" t="s">
        <v>836</v>
      </c>
    </row>
    <row r="212" spans="2:9" x14ac:dyDescent="0.2">
      <c r="B212" t="s">
        <v>742</v>
      </c>
      <c r="C212" t="s">
        <v>743</v>
      </c>
      <c r="D212">
        <v>100</v>
      </c>
      <c r="E212" t="s">
        <v>589</v>
      </c>
      <c r="F212">
        <v>5.9</v>
      </c>
      <c r="G212">
        <v>590</v>
      </c>
      <c r="H212" t="s">
        <v>850</v>
      </c>
      <c r="I212" t="s">
        <v>836</v>
      </c>
    </row>
    <row r="213" spans="2:9" x14ac:dyDescent="0.2">
      <c r="B213" t="s">
        <v>425</v>
      </c>
      <c r="C213" t="s">
        <v>426</v>
      </c>
      <c r="D213">
        <v>580</v>
      </c>
      <c r="E213" t="s">
        <v>408</v>
      </c>
      <c r="F213">
        <v>1</v>
      </c>
      <c r="G213">
        <v>580</v>
      </c>
      <c r="H213" t="s">
        <v>835</v>
      </c>
      <c r="I213" t="s">
        <v>836</v>
      </c>
    </row>
    <row r="214" spans="2:9" x14ac:dyDescent="0.2">
      <c r="B214" t="s">
        <v>522</v>
      </c>
      <c r="C214" t="s">
        <v>523</v>
      </c>
      <c r="D214">
        <v>3</v>
      </c>
      <c r="E214" t="s">
        <v>443</v>
      </c>
      <c r="F214">
        <v>190</v>
      </c>
      <c r="G214">
        <v>570</v>
      </c>
      <c r="H214" t="s">
        <v>837</v>
      </c>
      <c r="I214" t="s">
        <v>842</v>
      </c>
    </row>
    <row r="215" spans="2:9" x14ac:dyDescent="0.2">
      <c r="B215" t="s">
        <v>534</v>
      </c>
      <c r="C215" t="s">
        <v>535</v>
      </c>
      <c r="D215">
        <v>3</v>
      </c>
      <c r="E215" t="s">
        <v>443</v>
      </c>
      <c r="F215">
        <v>190</v>
      </c>
      <c r="G215">
        <v>570</v>
      </c>
      <c r="H215" t="s">
        <v>837</v>
      </c>
      <c r="I215" t="s">
        <v>842</v>
      </c>
    </row>
    <row r="216" spans="2:9" x14ac:dyDescent="0.2">
      <c r="B216" t="s">
        <v>818</v>
      </c>
      <c r="C216" t="s">
        <v>819</v>
      </c>
      <c r="D216">
        <v>54.5</v>
      </c>
      <c r="E216" t="s">
        <v>589</v>
      </c>
      <c r="F216">
        <v>10</v>
      </c>
      <c r="G216">
        <v>545</v>
      </c>
      <c r="H216" t="s">
        <v>850</v>
      </c>
      <c r="I216" t="s">
        <v>836</v>
      </c>
    </row>
    <row r="217" spans="2:9" x14ac:dyDescent="0.2">
      <c r="B217" t="s">
        <v>778</v>
      </c>
      <c r="C217" t="s">
        <v>779</v>
      </c>
      <c r="D217">
        <v>100</v>
      </c>
      <c r="E217" t="s">
        <v>589</v>
      </c>
      <c r="F217">
        <v>5.4</v>
      </c>
      <c r="G217">
        <v>540</v>
      </c>
      <c r="H217" t="s">
        <v>850</v>
      </c>
      <c r="I217" t="s">
        <v>836</v>
      </c>
    </row>
    <row r="218" spans="2:9" x14ac:dyDescent="0.2">
      <c r="B218" t="s">
        <v>12</v>
      </c>
      <c r="C218" t="s">
        <v>308</v>
      </c>
      <c r="D218">
        <v>76.95</v>
      </c>
      <c r="E218" t="s">
        <v>589</v>
      </c>
      <c r="F218">
        <v>7</v>
      </c>
      <c r="G218">
        <v>538.65</v>
      </c>
      <c r="H218" t="s">
        <v>850</v>
      </c>
      <c r="I218" t="s">
        <v>836</v>
      </c>
    </row>
    <row r="219" spans="2:9" x14ac:dyDescent="0.2">
      <c r="B219" t="s">
        <v>415</v>
      </c>
      <c r="C219" t="s">
        <v>416</v>
      </c>
      <c r="D219">
        <v>500</v>
      </c>
      <c r="E219" t="s">
        <v>408</v>
      </c>
      <c r="F219">
        <v>1</v>
      </c>
      <c r="G219">
        <v>500</v>
      </c>
      <c r="H219" t="s">
        <v>835</v>
      </c>
      <c r="I219" t="s">
        <v>836</v>
      </c>
    </row>
    <row r="220" spans="2:9" x14ac:dyDescent="0.2">
      <c r="B220" t="s">
        <v>744</v>
      </c>
      <c r="C220" t="s">
        <v>745</v>
      </c>
      <c r="D220">
        <v>30</v>
      </c>
      <c r="E220" t="s">
        <v>589</v>
      </c>
      <c r="F220">
        <v>16.100000000000001</v>
      </c>
      <c r="G220">
        <v>483</v>
      </c>
      <c r="H220" t="s">
        <v>850</v>
      </c>
      <c r="I220" t="s">
        <v>836</v>
      </c>
    </row>
    <row r="221" spans="2:9" x14ac:dyDescent="0.2">
      <c r="B221" t="s">
        <v>772</v>
      </c>
      <c r="C221" t="s">
        <v>773</v>
      </c>
      <c r="D221">
        <v>50</v>
      </c>
      <c r="E221" t="s">
        <v>589</v>
      </c>
      <c r="F221">
        <v>8.6</v>
      </c>
      <c r="G221">
        <v>430</v>
      </c>
      <c r="H221" t="s">
        <v>850</v>
      </c>
      <c r="I221" t="s">
        <v>836</v>
      </c>
    </row>
    <row r="222" spans="2:9" x14ac:dyDescent="0.2">
      <c r="B222" t="s">
        <v>13</v>
      </c>
      <c r="C222" t="s">
        <v>309</v>
      </c>
      <c r="D222">
        <v>56.95</v>
      </c>
      <c r="E222" t="s">
        <v>589</v>
      </c>
      <c r="F222">
        <v>7</v>
      </c>
      <c r="G222">
        <v>398.65</v>
      </c>
      <c r="H222" t="s">
        <v>850</v>
      </c>
      <c r="I222" t="s">
        <v>836</v>
      </c>
    </row>
    <row r="223" spans="2:9" x14ac:dyDescent="0.2">
      <c r="B223" t="s">
        <v>796</v>
      </c>
      <c r="C223" t="s">
        <v>797</v>
      </c>
      <c r="D223">
        <v>50</v>
      </c>
      <c r="E223" t="s">
        <v>589</v>
      </c>
      <c r="F223">
        <v>7.5</v>
      </c>
      <c r="G223">
        <v>375</v>
      </c>
      <c r="H223" t="s">
        <v>850</v>
      </c>
      <c r="I223" t="s">
        <v>836</v>
      </c>
    </row>
    <row r="224" spans="2:9" x14ac:dyDescent="0.2">
      <c r="B224" t="s">
        <v>798</v>
      </c>
      <c r="C224" t="s">
        <v>799</v>
      </c>
      <c r="D224">
        <v>50</v>
      </c>
      <c r="E224" t="s">
        <v>589</v>
      </c>
      <c r="F224">
        <v>7.5</v>
      </c>
      <c r="G224">
        <v>375</v>
      </c>
      <c r="H224" t="s">
        <v>850</v>
      </c>
      <c r="I224" t="s">
        <v>836</v>
      </c>
    </row>
    <row r="225" spans="2:9" x14ac:dyDescent="0.2">
      <c r="B225" t="s">
        <v>602</v>
      </c>
      <c r="C225" t="s">
        <v>603</v>
      </c>
      <c r="D225">
        <v>184</v>
      </c>
      <c r="E225" t="s">
        <v>408</v>
      </c>
      <c r="F225">
        <v>2</v>
      </c>
      <c r="G225">
        <v>368</v>
      </c>
      <c r="H225" t="s">
        <v>848</v>
      </c>
      <c r="I225" t="s">
        <v>836</v>
      </c>
    </row>
    <row r="226" spans="2:9" x14ac:dyDescent="0.2">
      <c r="B226" t="s">
        <v>804</v>
      </c>
      <c r="C226" t="s">
        <v>805</v>
      </c>
      <c r="D226">
        <v>50</v>
      </c>
      <c r="E226" t="s">
        <v>589</v>
      </c>
      <c r="F226">
        <v>7</v>
      </c>
      <c r="G226">
        <v>350</v>
      </c>
      <c r="H226" t="s">
        <v>850</v>
      </c>
      <c r="I226" t="s">
        <v>836</v>
      </c>
    </row>
    <row r="227" spans="2:9" x14ac:dyDescent="0.2">
      <c r="B227" t="s">
        <v>748</v>
      </c>
      <c r="C227" t="s">
        <v>749</v>
      </c>
      <c r="D227">
        <v>10</v>
      </c>
      <c r="E227" t="s">
        <v>589</v>
      </c>
      <c r="F227">
        <v>31.4</v>
      </c>
      <c r="G227">
        <v>314</v>
      </c>
      <c r="H227" t="s">
        <v>850</v>
      </c>
      <c r="I227" t="s">
        <v>836</v>
      </c>
    </row>
    <row r="228" spans="2:9" x14ac:dyDescent="0.2">
      <c r="B228" t="s">
        <v>664</v>
      </c>
      <c r="C228" t="s">
        <v>665</v>
      </c>
      <c r="D228">
        <v>41</v>
      </c>
      <c r="E228" t="s">
        <v>408</v>
      </c>
      <c r="F228">
        <v>7.6</v>
      </c>
      <c r="G228">
        <v>311.60000000000002</v>
      </c>
      <c r="H228" t="s">
        <v>848</v>
      </c>
      <c r="I228" t="s">
        <v>836</v>
      </c>
    </row>
    <row r="229" spans="2:9" x14ac:dyDescent="0.2">
      <c r="B229" t="s">
        <v>417</v>
      </c>
      <c r="C229" t="s">
        <v>418</v>
      </c>
      <c r="D229">
        <v>300</v>
      </c>
      <c r="E229" t="s">
        <v>408</v>
      </c>
      <c r="F229">
        <v>1</v>
      </c>
      <c r="G229">
        <v>300</v>
      </c>
      <c r="H229" t="s">
        <v>835</v>
      </c>
      <c r="I229" t="s">
        <v>836</v>
      </c>
    </row>
    <row r="230" spans="2:9" x14ac:dyDescent="0.2">
      <c r="B230" t="s">
        <v>15</v>
      </c>
      <c r="C230" t="s">
        <v>311</v>
      </c>
      <c r="D230">
        <v>16.649999999999999</v>
      </c>
      <c r="E230" t="s">
        <v>589</v>
      </c>
      <c r="F230">
        <v>18</v>
      </c>
      <c r="G230">
        <v>299.7</v>
      </c>
      <c r="H230" t="s">
        <v>850</v>
      </c>
      <c r="I230" t="s">
        <v>836</v>
      </c>
    </row>
    <row r="231" spans="2:9" x14ac:dyDescent="0.2">
      <c r="B231" t="s">
        <v>28</v>
      </c>
      <c r="C231" t="s">
        <v>291</v>
      </c>
      <c r="D231">
        <v>1.6</v>
      </c>
      <c r="E231" t="s">
        <v>589</v>
      </c>
      <c r="F231">
        <v>175</v>
      </c>
      <c r="G231">
        <v>280</v>
      </c>
      <c r="H231" t="s">
        <v>848</v>
      </c>
      <c r="I231" t="s">
        <v>836</v>
      </c>
    </row>
    <row r="232" spans="2:9" x14ac:dyDescent="0.2">
      <c r="B232" t="s">
        <v>676</v>
      </c>
      <c r="C232" t="s">
        <v>677</v>
      </c>
      <c r="D232">
        <v>273</v>
      </c>
      <c r="E232" t="s">
        <v>408</v>
      </c>
      <c r="F232">
        <v>1</v>
      </c>
      <c r="G232">
        <v>273</v>
      </c>
      <c r="H232" t="s">
        <v>848</v>
      </c>
      <c r="I232" t="s">
        <v>836</v>
      </c>
    </row>
    <row r="233" spans="2:9" x14ac:dyDescent="0.2">
      <c r="B233" t="s">
        <v>756</v>
      </c>
      <c r="C233" t="s">
        <v>757</v>
      </c>
      <c r="D233">
        <v>50</v>
      </c>
      <c r="E233" t="s">
        <v>589</v>
      </c>
      <c r="F233">
        <v>5.4</v>
      </c>
      <c r="G233">
        <v>270</v>
      </c>
      <c r="H233" t="s">
        <v>850</v>
      </c>
      <c r="I233" t="s">
        <v>836</v>
      </c>
    </row>
    <row r="234" spans="2:9" x14ac:dyDescent="0.2">
      <c r="B234" t="s">
        <v>674</v>
      </c>
      <c r="C234" t="s">
        <v>675</v>
      </c>
      <c r="D234">
        <v>123</v>
      </c>
      <c r="E234" t="s">
        <v>408</v>
      </c>
      <c r="F234">
        <v>2</v>
      </c>
      <c r="G234">
        <v>246</v>
      </c>
      <c r="H234" t="s">
        <v>848</v>
      </c>
      <c r="I234" t="s">
        <v>836</v>
      </c>
    </row>
    <row r="235" spans="2:9" x14ac:dyDescent="0.2">
      <c r="B235" t="s">
        <v>754</v>
      </c>
      <c r="C235" t="s">
        <v>755</v>
      </c>
      <c r="D235">
        <v>50</v>
      </c>
      <c r="E235" t="s">
        <v>589</v>
      </c>
      <c r="F235">
        <v>4.7</v>
      </c>
      <c r="G235">
        <v>235</v>
      </c>
      <c r="H235" t="s">
        <v>850</v>
      </c>
      <c r="I235" t="s">
        <v>836</v>
      </c>
    </row>
    <row r="236" spans="2:9" x14ac:dyDescent="0.2">
      <c r="B236" t="s">
        <v>766</v>
      </c>
      <c r="C236" t="s">
        <v>767</v>
      </c>
      <c r="D236">
        <v>50</v>
      </c>
      <c r="E236" t="s">
        <v>589</v>
      </c>
      <c r="F236">
        <v>4.7</v>
      </c>
      <c r="G236">
        <v>235</v>
      </c>
      <c r="H236" t="s">
        <v>850</v>
      </c>
      <c r="I236" t="s">
        <v>836</v>
      </c>
    </row>
    <row r="237" spans="2:9" x14ac:dyDescent="0.2">
      <c r="B237" t="s">
        <v>776</v>
      </c>
      <c r="C237" t="s">
        <v>777</v>
      </c>
      <c r="D237">
        <v>50</v>
      </c>
      <c r="E237" t="s">
        <v>589</v>
      </c>
      <c r="F237">
        <v>4.7</v>
      </c>
      <c r="G237">
        <v>235</v>
      </c>
      <c r="H237" t="s">
        <v>850</v>
      </c>
      <c r="I237" t="s">
        <v>836</v>
      </c>
    </row>
    <row r="238" spans="2:9" x14ac:dyDescent="0.2">
      <c r="B238" t="s">
        <v>27</v>
      </c>
      <c r="C238" t="s">
        <v>396</v>
      </c>
      <c r="D238">
        <v>154</v>
      </c>
      <c r="E238" t="s">
        <v>408</v>
      </c>
      <c r="F238">
        <v>1.5</v>
      </c>
      <c r="G238">
        <v>231</v>
      </c>
      <c r="H238" t="s">
        <v>848</v>
      </c>
      <c r="I238" t="s">
        <v>836</v>
      </c>
    </row>
    <row r="239" spans="2:9" x14ac:dyDescent="0.2">
      <c r="B239" t="s">
        <v>750</v>
      </c>
      <c r="C239" t="s">
        <v>751</v>
      </c>
      <c r="D239">
        <v>50</v>
      </c>
      <c r="E239" t="s">
        <v>589</v>
      </c>
      <c r="F239">
        <v>4.5</v>
      </c>
      <c r="G239">
        <v>225</v>
      </c>
      <c r="H239" t="s">
        <v>850</v>
      </c>
      <c r="I239" t="s">
        <v>836</v>
      </c>
    </row>
    <row r="240" spans="2:9" x14ac:dyDescent="0.2">
      <c r="B240" t="s">
        <v>762</v>
      </c>
      <c r="C240" t="s">
        <v>763</v>
      </c>
      <c r="D240">
        <v>50</v>
      </c>
      <c r="E240" t="s">
        <v>589</v>
      </c>
      <c r="F240">
        <v>4.5</v>
      </c>
      <c r="G240">
        <v>225</v>
      </c>
      <c r="H240" t="s">
        <v>850</v>
      </c>
      <c r="I240" t="s">
        <v>836</v>
      </c>
    </row>
    <row r="241" spans="2:9" x14ac:dyDescent="0.2">
      <c r="B241" t="s">
        <v>768</v>
      </c>
      <c r="C241" t="s">
        <v>769</v>
      </c>
      <c r="D241">
        <v>50</v>
      </c>
      <c r="E241" t="s">
        <v>589</v>
      </c>
      <c r="F241">
        <v>4.5</v>
      </c>
      <c r="G241">
        <v>225</v>
      </c>
      <c r="H241" t="s">
        <v>850</v>
      </c>
      <c r="I241" t="s">
        <v>836</v>
      </c>
    </row>
    <row r="242" spans="2:9" x14ac:dyDescent="0.2">
      <c r="B242" t="s">
        <v>774</v>
      </c>
      <c r="C242" t="s">
        <v>775</v>
      </c>
      <c r="D242">
        <v>50</v>
      </c>
      <c r="E242" t="s">
        <v>589</v>
      </c>
      <c r="F242">
        <v>4.5</v>
      </c>
      <c r="G242">
        <v>225</v>
      </c>
      <c r="H242" t="s">
        <v>850</v>
      </c>
      <c r="I242" t="s">
        <v>836</v>
      </c>
    </row>
    <row r="243" spans="2:9" x14ac:dyDescent="0.2">
      <c r="B243" t="s">
        <v>780</v>
      </c>
      <c r="C243" t="s">
        <v>781</v>
      </c>
      <c r="D243">
        <v>50</v>
      </c>
      <c r="E243" t="s">
        <v>589</v>
      </c>
      <c r="F243">
        <v>4.5</v>
      </c>
      <c r="G243">
        <v>225</v>
      </c>
      <c r="H243" t="s">
        <v>850</v>
      </c>
      <c r="I243" t="s">
        <v>836</v>
      </c>
    </row>
    <row r="244" spans="2:9" x14ac:dyDescent="0.2">
      <c r="B244" t="s">
        <v>782</v>
      </c>
      <c r="C244" t="s">
        <v>783</v>
      </c>
      <c r="D244">
        <v>50</v>
      </c>
      <c r="E244" t="s">
        <v>589</v>
      </c>
      <c r="F244">
        <v>4.5</v>
      </c>
      <c r="G244">
        <v>225</v>
      </c>
      <c r="H244" t="s">
        <v>850</v>
      </c>
      <c r="I244" t="s">
        <v>836</v>
      </c>
    </row>
    <row r="245" spans="2:9" x14ac:dyDescent="0.2">
      <c r="B245" t="s">
        <v>784</v>
      </c>
      <c r="C245" t="s">
        <v>785</v>
      </c>
      <c r="D245">
        <v>50</v>
      </c>
      <c r="E245" t="s">
        <v>589</v>
      </c>
      <c r="F245">
        <v>4.5</v>
      </c>
      <c r="G245">
        <v>225</v>
      </c>
      <c r="H245" t="s">
        <v>850</v>
      </c>
      <c r="I245" t="s">
        <v>836</v>
      </c>
    </row>
    <row r="246" spans="2:9" x14ac:dyDescent="0.2">
      <c r="B246" t="s">
        <v>792</v>
      </c>
      <c r="C246" t="s">
        <v>793</v>
      </c>
      <c r="D246">
        <v>40</v>
      </c>
      <c r="E246" t="s">
        <v>589</v>
      </c>
      <c r="F246">
        <v>5.4</v>
      </c>
      <c r="G246">
        <v>216</v>
      </c>
      <c r="H246" t="s">
        <v>850</v>
      </c>
      <c r="I246" t="s">
        <v>836</v>
      </c>
    </row>
    <row r="247" spans="2:9" x14ac:dyDescent="0.2">
      <c r="B247" t="s">
        <v>740</v>
      </c>
      <c r="C247" t="s">
        <v>741</v>
      </c>
      <c r="D247">
        <v>50</v>
      </c>
      <c r="E247" t="s">
        <v>589</v>
      </c>
      <c r="F247">
        <v>4.2</v>
      </c>
      <c r="G247">
        <v>210</v>
      </c>
      <c r="H247" t="s">
        <v>850</v>
      </c>
      <c r="I247" t="s">
        <v>836</v>
      </c>
    </row>
    <row r="248" spans="2:9" x14ac:dyDescent="0.2">
      <c r="B248" t="s">
        <v>604</v>
      </c>
      <c r="C248" t="s">
        <v>605</v>
      </c>
      <c r="D248">
        <v>49</v>
      </c>
      <c r="E248" t="s">
        <v>408</v>
      </c>
      <c r="F248">
        <v>4</v>
      </c>
      <c r="G248">
        <v>196</v>
      </c>
      <c r="H248" t="s">
        <v>848</v>
      </c>
      <c r="I248" t="s">
        <v>836</v>
      </c>
    </row>
    <row r="249" spans="2:9" x14ac:dyDescent="0.2">
      <c r="B249" t="s">
        <v>612</v>
      </c>
      <c r="C249" t="s">
        <v>613</v>
      </c>
      <c r="D249">
        <v>190</v>
      </c>
      <c r="E249" t="s">
        <v>408</v>
      </c>
      <c r="F249">
        <v>1</v>
      </c>
      <c r="G249">
        <v>190</v>
      </c>
      <c r="H249" t="s">
        <v>848</v>
      </c>
      <c r="I249" t="s">
        <v>836</v>
      </c>
    </row>
    <row r="250" spans="2:9" x14ac:dyDescent="0.2">
      <c r="B250" t="s">
        <v>698</v>
      </c>
      <c r="C250" t="s">
        <v>699</v>
      </c>
      <c r="D250">
        <v>185</v>
      </c>
      <c r="E250" t="s">
        <v>408</v>
      </c>
      <c r="F250">
        <v>1</v>
      </c>
      <c r="G250">
        <v>185</v>
      </c>
      <c r="H250" t="s">
        <v>848</v>
      </c>
      <c r="I250" t="s">
        <v>836</v>
      </c>
    </row>
    <row r="251" spans="2:9" x14ac:dyDescent="0.2">
      <c r="B251" t="s">
        <v>790</v>
      </c>
      <c r="C251" t="s">
        <v>791</v>
      </c>
      <c r="D251">
        <v>40</v>
      </c>
      <c r="E251" t="s">
        <v>589</v>
      </c>
      <c r="F251">
        <v>4.5999999999999996</v>
      </c>
      <c r="G251">
        <v>184</v>
      </c>
      <c r="H251" t="s">
        <v>850</v>
      </c>
      <c r="I251" t="s">
        <v>836</v>
      </c>
    </row>
    <row r="252" spans="2:9" x14ac:dyDescent="0.2">
      <c r="B252" t="s">
        <v>764</v>
      </c>
      <c r="C252" t="s">
        <v>765</v>
      </c>
      <c r="D252">
        <v>40</v>
      </c>
      <c r="E252" t="s">
        <v>589</v>
      </c>
      <c r="F252">
        <v>4.4000000000000004</v>
      </c>
      <c r="G252">
        <v>176</v>
      </c>
      <c r="H252" t="s">
        <v>850</v>
      </c>
      <c r="I252" t="s">
        <v>836</v>
      </c>
    </row>
    <row r="253" spans="2:9" x14ac:dyDescent="0.2">
      <c r="B253" t="s">
        <v>800</v>
      </c>
      <c r="C253" t="s">
        <v>801</v>
      </c>
      <c r="D253">
        <v>150</v>
      </c>
      <c r="E253" t="s">
        <v>589</v>
      </c>
      <c r="F253">
        <v>1</v>
      </c>
      <c r="G253">
        <v>150</v>
      </c>
      <c r="H253" t="s">
        <v>850</v>
      </c>
      <c r="I253" t="s">
        <v>836</v>
      </c>
    </row>
    <row r="254" spans="2:9" x14ac:dyDescent="0.2">
      <c r="B254" t="s">
        <v>71</v>
      </c>
      <c r="C254" t="s">
        <v>385</v>
      </c>
      <c r="D254">
        <v>0.98</v>
      </c>
      <c r="E254" t="s">
        <v>443</v>
      </c>
      <c r="F254">
        <v>145</v>
      </c>
      <c r="G254">
        <v>142.1</v>
      </c>
      <c r="H254" t="s">
        <v>837</v>
      </c>
      <c r="I254" t="s">
        <v>842</v>
      </c>
    </row>
    <row r="255" spans="2:9" x14ac:dyDescent="0.2">
      <c r="B255" t="s">
        <v>738</v>
      </c>
      <c r="C255" t="s">
        <v>739</v>
      </c>
      <c r="D255">
        <v>40</v>
      </c>
      <c r="E255" t="s">
        <v>589</v>
      </c>
      <c r="F255">
        <v>3.5</v>
      </c>
      <c r="G255">
        <v>140</v>
      </c>
      <c r="H255" t="s">
        <v>850</v>
      </c>
      <c r="I255" t="s">
        <v>836</v>
      </c>
    </row>
    <row r="256" spans="2:9" x14ac:dyDescent="0.2">
      <c r="B256" t="s">
        <v>56</v>
      </c>
      <c r="C256" t="s">
        <v>287</v>
      </c>
      <c r="D256">
        <v>1.4</v>
      </c>
      <c r="E256" t="s">
        <v>443</v>
      </c>
      <c r="F256">
        <v>90</v>
      </c>
      <c r="G256">
        <v>126</v>
      </c>
      <c r="H256" t="s">
        <v>837</v>
      </c>
      <c r="I256" t="s">
        <v>840</v>
      </c>
    </row>
    <row r="257" spans="2:9" x14ac:dyDescent="0.2">
      <c r="B257" t="s">
        <v>7</v>
      </c>
      <c r="C257" t="s">
        <v>307</v>
      </c>
      <c r="D257">
        <v>16.399999999999999</v>
      </c>
      <c r="E257" t="s">
        <v>589</v>
      </c>
      <c r="F257">
        <v>6.7</v>
      </c>
      <c r="G257">
        <v>109.88</v>
      </c>
      <c r="H257" t="s">
        <v>850</v>
      </c>
      <c r="I257" t="s">
        <v>836</v>
      </c>
    </row>
    <row r="258" spans="2:9" x14ac:dyDescent="0.2">
      <c r="B258" t="s">
        <v>5</v>
      </c>
      <c r="C258" t="s">
        <v>305</v>
      </c>
      <c r="D258">
        <v>8.6999999999999993</v>
      </c>
      <c r="E258" t="s">
        <v>589</v>
      </c>
      <c r="F258">
        <v>11.5</v>
      </c>
      <c r="G258">
        <v>100.05</v>
      </c>
      <c r="H258" t="s">
        <v>850</v>
      </c>
      <c r="I258" t="s">
        <v>836</v>
      </c>
    </row>
    <row r="259" spans="2:9" x14ac:dyDescent="0.2">
      <c r="B259" t="s">
        <v>421</v>
      </c>
      <c r="C259" t="s">
        <v>422</v>
      </c>
      <c r="D259">
        <v>100</v>
      </c>
      <c r="E259" t="s">
        <v>408</v>
      </c>
      <c r="F259">
        <v>1</v>
      </c>
      <c r="G259">
        <v>100</v>
      </c>
      <c r="H259" t="s">
        <v>835</v>
      </c>
      <c r="I259" t="s">
        <v>836</v>
      </c>
    </row>
    <row r="260" spans="2:9" x14ac:dyDescent="0.2">
      <c r="B260" t="s">
        <v>427</v>
      </c>
      <c r="C260" t="s">
        <v>428</v>
      </c>
      <c r="D260">
        <v>100</v>
      </c>
      <c r="E260" t="s">
        <v>408</v>
      </c>
      <c r="F260">
        <v>1</v>
      </c>
      <c r="G260">
        <v>100</v>
      </c>
      <c r="H260" t="s">
        <v>835</v>
      </c>
      <c r="I260" t="s">
        <v>836</v>
      </c>
    </row>
    <row r="261" spans="2:9" x14ac:dyDescent="0.2">
      <c r="B261" t="s">
        <v>69</v>
      </c>
      <c r="C261" t="s">
        <v>288</v>
      </c>
      <c r="D261">
        <v>0.44</v>
      </c>
      <c r="E261" t="s">
        <v>443</v>
      </c>
      <c r="F261">
        <v>190</v>
      </c>
      <c r="G261">
        <v>83.6</v>
      </c>
      <c r="H261" t="s">
        <v>837</v>
      </c>
      <c r="I261" t="s">
        <v>842</v>
      </c>
    </row>
    <row r="262" spans="2:9" x14ac:dyDescent="0.2">
      <c r="B262" t="s">
        <v>34</v>
      </c>
      <c r="C262" t="s">
        <v>294</v>
      </c>
      <c r="D262">
        <v>4</v>
      </c>
      <c r="E262" t="s">
        <v>408</v>
      </c>
      <c r="F262">
        <v>18</v>
      </c>
      <c r="G262">
        <v>72</v>
      </c>
      <c r="H262" t="s">
        <v>848</v>
      </c>
      <c r="I262" t="s">
        <v>836</v>
      </c>
    </row>
    <row r="263" spans="2:9" x14ac:dyDescent="0.2">
      <c r="B263" t="s">
        <v>614</v>
      </c>
      <c r="C263" t="s">
        <v>615</v>
      </c>
      <c r="D263">
        <v>70</v>
      </c>
      <c r="E263" t="s">
        <v>408</v>
      </c>
      <c r="F263">
        <v>1</v>
      </c>
      <c r="G263">
        <v>70</v>
      </c>
      <c r="H263" t="s">
        <v>848</v>
      </c>
      <c r="I263" t="s">
        <v>836</v>
      </c>
    </row>
    <row r="264" spans="2:9" x14ac:dyDescent="0.2">
      <c r="B264" t="s">
        <v>36</v>
      </c>
      <c r="C264" t="s">
        <v>296</v>
      </c>
      <c r="D264">
        <v>4</v>
      </c>
      <c r="E264" t="s">
        <v>408</v>
      </c>
      <c r="F264">
        <v>15</v>
      </c>
      <c r="G264">
        <v>60</v>
      </c>
      <c r="H264" t="s">
        <v>848</v>
      </c>
      <c r="I264" t="s">
        <v>836</v>
      </c>
    </row>
    <row r="265" spans="2:9" x14ac:dyDescent="0.2">
      <c r="B265" t="s">
        <v>5</v>
      </c>
      <c r="C265" t="s">
        <v>305</v>
      </c>
      <c r="D265">
        <v>5</v>
      </c>
      <c r="E265" t="s">
        <v>589</v>
      </c>
      <c r="F265">
        <v>11.5</v>
      </c>
      <c r="G265">
        <v>57.5</v>
      </c>
      <c r="H265" t="s">
        <v>850</v>
      </c>
      <c r="I265" t="s">
        <v>836</v>
      </c>
    </row>
    <row r="266" spans="2:9" x14ac:dyDescent="0.2">
      <c r="B266" t="s">
        <v>6</v>
      </c>
      <c r="C266" t="s">
        <v>306</v>
      </c>
      <c r="D266">
        <v>3.4</v>
      </c>
      <c r="E266" t="s">
        <v>589</v>
      </c>
      <c r="F266">
        <v>16.8</v>
      </c>
      <c r="G266">
        <v>57.12</v>
      </c>
      <c r="H266" t="s">
        <v>850</v>
      </c>
      <c r="I266" t="s">
        <v>836</v>
      </c>
    </row>
    <row r="267" spans="2:9" x14ac:dyDescent="0.2">
      <c r="B267" t="s">
        <v>708</v>
      </c>
      <c r="C267" t="s">
        <v>709</v>
      </c>
      <c r="D267">
        <v>43</v>
      </c>
      <c r="E267" t="s">
        <v>408</v>
      </c>
      <c r="F267">
        <v>1.3</v>
      </c>
      <c r="G267">
        <v>55.9</v>
      </c>
      <c r="H267" t="s">
        <v>848</v>
      </c>
      <c r="I267" t="s">
        <v>836</v>
      </c>
    </row>
    <row r="268" spans="2:9" x14ac:dyDescent="0.2">
      <c r="B268" t="s">
        <v>98</v>
      </c>
      <c r="C268" t="s">
        <v>335</v>
      </c>
      <c r="D268">
        <v>50</v>
      </c>
      <c r="E268" t="s">
        <v>408</v>
      </c>
      <c r="F268">
        <v>1</v>
      </c>
      <c r="G268">
        <v>50</v>
      </c>
      <c r="H268" t="s">
        <v>835</v>
      </c>
      <c r="I268" t="s">
        <v>836</v>
      </c>
    </row>
    <row r="269" spans="2:9" x14ac:dyDescent="0.2">
      <c r="B269" t="s">
        <v>69</v>
      </c>
      <c r="C269" t="s">
        <v>288</v>
      </c>
      <c r="D269">
        <v>0.25</v>
      </c>
      <c r="E269" t="s">
        <v>443</v>
      </c>
      <c r="F269">
        <v>190</v>
      </c>
      <c r="G269">
        <v>47.5</v>
      </c>
      <c r="H269" t="s">
        <v>837</v>
      </c>
      <c r="I269" t="s">
        <v>842</v>
      </c>
    </row>
    <row r="270" spans="2:9" x14ac:dyDescent="0.2">
      <c r="B270" t="s">
        <v>820</v>
      </c>
      <c r="C270" t="s">
        <v>821</v>
      </c>
      <c r="D270">
        <v>4.5</v>
      </c>
      <c r="E270" t="s">
        <v>589</v>
      </c>
      <c r="F270">
        <v>10</v>
      </c>
      <c r="G270">
        <v>45</v>
      </c>
      <c r="H270" t="s">
        <v>850</v>
      </c>
      <c r="I270" t="s">
        <v>836</v>
      </c>
    </row>
    <row r="271" spans="2:9" x14ac:dyDescent="0.2">
      <c r="B271" t="s">
        <v>702</v>
      </c>
      <c r="C271" t="s">
        <v>703</v>
      </c>
      <c r="D271">
        <v>43</v>
      </c>
      <c r="E271" t="s">
        <v>408</v>
      </c>
      <c r="F271">
        <v>1</v>
      </c>
      <c r="G271">
        <v>43</v>
      </c>
      <c r="H271" t="s">
        <v>848</v>
      </c>
      <c r="I271" t="s">
        <v>836</v>
      </c>
    </row>
    <row r="272" spans="2:9" x14ac:dyDescent="0.2">
      <c r="B272" t="s">
        <v>105</v>
      </c>
      <c r="C272" t="s">
        <v>313</v>
      </c>
      <c r="D272">
        <v>400</v>
      </c>
      <c r="E272" t="s">
        <v>589</v>
      </c>
      <c r="F272">
        <v>0.1</v>
      </c>
      <c r="G272">
        <v>40</v>
      </c>
      <c r="H272" t="s">
        <v>851</v>
      </c>
      <c r="I272" t="s">
        <v>836</v>
      </c>
    </row>
    <row r="273" spans="2:9" x14ac:dyDescent="0.2">
      <c r="B273" t="s">
        <v>682</v>
      </c>
      <c r="C273" t="s">
        <v>683</v>
      </c>
      <c r="D273">
        <v>11</v>
      </c>
      <c r="E273" t="s">
        <v>408</v>
      </c>
      <c r="F273">
        <v>3.5</v>
      </c>
      <c r="G273">
        <v>38.5</v>
      </c>
      <c r="H273" t="s">
        <v>848</v>
      </c>
      <c r="I273" t="s">
        <v>836</v>
      </c>
    </row>
    <row r="274" spans="2:9" x14ac:dyDescent="0.2">
      <c r="B274" t="s">
        <v>4</v>
      </c>
      <c r="C274" t="s">
        <v>304</v>
      </c>
      <c r="D274">
        <v>3.6</v>
      </c>
      <c r="E274" t="s">
        <v>589</v>
      </c>
      <c r="F274">
        <v>10.1</v>
      </c>
      <c r="G274">
        <v>36.36</v>
      </c>
      <c r="H274" t="s">
        <v>850</v>
      </c>
      <c r="I274" t="s">
        <v>836</v>
      </c>
    </row>
    <row r="275" spans="2:9" x14ac:dyDescent="0.2">
      <c r="B275" t="s">
        <v>35</v>
      </c>
      <c r="C275" t="s">
        <v>295</v>
      </c>
      <c r="D275">
        <v>2</v>
      </c>
      <c r="E275" t="s">
        <v>408</v>
      </c>
      <c r="F275">
        <v>18</v>
      </c>
      <c r="G275">
        <v>36</v>
      </c>
      <c r="H275" t="s">
        <v>848</v>
      </c>
      <c r="I275" t="s">
        <v>836</v>
      </c>
    </row>
    <row r="276" spans="2:9" x14ac:dyDescent="0.2">
      <c r="B276" t="s">
        <v>37</v>
      </c>
      <c r="C276" t="s">
        <v>297</v>
      </c>
      <c r="D276">
        <v>2</v>
      </c>
      <c r="E276" t="s">
        <v>408</v>
      </c>
      <c r="F276">
        <v>18</v>
      </c>
      <c r="G276">
        <v>36</v>
      </c>
      <c r="H276" t="s">
        <v>848</v>
      </c>
      <c r="I276" t="s">
        <v>836</v>
      </c>
    </row>
    <row r="277" spans="2:9" x14ac:dyDescent="0.2">
      <c r="B277" t="s">
        <v>39</v>
      </c>
      <c r="C277" t="s">
        <v>298</v>
      </c>
      <c r="D277">
        <v>2</v>
      </c>
      <c r="E277" t="s">
        <v>408</v>
      </c>
      <c r="F277">
        <v>18</v>
      </c>
      <c r="G277">
        <v>36</v>
      </c>
      <c r="H277" t="s">
        <v>848</v>
      </c>
      <c r="I277" t="s">
        <v>836</v>
      </c>
    </row>
    <row r="278" spans="2:9" x14ac:dyDescent="0.2">
      <c r="B278" t="s">
        <v>94</v>
      </c>
      <c r="C278" t="s">
        <v>280</v>
      </c>
      <c r="D278">
        <v>10</v>
      </c>
      <c r="E278" t="s">
        <v>408</v>
      </c>
      <c r="F278">
        <v>3.5</v>
      </c>
      <c r="G278">
        <v>35</v>
      </c>
      <c r="H278" t="s">
        <v>835</v>
      </c>
      <c r="I278" t="s">
        <v>836</v>
      </c>
    </row>
    <row r="279" spans="2:9" x14ac:dyDescent="0.2">
      <c r="B279" t="s">
        <v>13</v>
      </c>
      <c r="C279" t="s">
        <v>309</v>
      </c>
      <c r="D279">
        <v>4.8</v>
      </c>
      <c r="E279" t="s">
        <v>589</v>
      </c>
      <c r="F279">
        <v>7</v>
      </c>
      <c r="G279">
        <v>33.6</v>
      </c>
      <c r="H279" t="s">
        <v>850</v>
      </c>
      <c r="I279" t="s">
        <v>836</v>
      </c>
    </row>
    <row r="280" spans="2:9" x14ac:dyDescent="0.2">
      <c r="B280" t="s">
        <v>620</v>
      </c>
      <c r="C280" t="s">
        <v>621</v>
      </c>
      <c r="D280">
        <v>33</v>
      </c>
      <c r="E280" t="s">
        <v>408</v>
      </c>
      <c r="F280">
        <v>1</v>
      </c>
      <c r="G280">
        <v>33</v>
      </c>
      <c r="H280" t="s">
        <v>848</v>
      </c>
      <c r="I280" t="s">
        <v>836</v>
      </c>
    </row>
    <row r="281" spans="2:9" x14ac:dyDescent="0.2">
      <c r="B281" t="s">
        <v>48</v>
      </c>
      <c r="C281" t="s">
        <v>359</v>
      </c>
      <c r="D281">
        <v>7.4999999999999997E-2</v>
      </c>
      <c r="E281" t="s">
        <v>443</v>
      </c>
      <c r="F281">
        <v>412</v>
      </c>
      <c r="G281">
        <v>30.9</v>
      </c>
      <c r="H281" t="s">
        <v>847</v>
      </c>
      <c r="I281" t="s">
        <v>836</v>
      </c>
    </row>
    <row r="282" spans="2:9" x14ac:dyDescent="0.2">
      <c r="B282" t="s">
        <v>31</v>
      </c>
      <c r="C282" t="s">
        <v>293</v>
      </c>
      <c r="D282">
        <v>6</v>
      </c>
      <c r="E282" t="s">
        <v>408</v>
      </c>
      <c r="F282">
        <v>5</v>
      </c>
      <c r="G282">
        <v>30</v>
      </c>
      <c r="H282" t="s">
        <v>848</v>
      </c>
      <c r="I282" t="s">
        <v>836</v>
      </c>
    </row>
    <row r="283" spans="2:9" x14ac:dyDescent="0.2">
      <c r="B283" t="s">
        <v>15</v>
      </c>
      <c r="C283" t="s">
        <v>311</v>
      </c>
      <c r="D283">
        <v>1.5</v>
      </c>
      <c r="E283" t="s">
        <v>589</v>
      </c>
      <c r="F283">
        <v>18</v>
      </c>
      <c r="G283">
        <v>27</v>
      </c>
      <c r="H283" t="s">
        <v>850</v>
      </c>
      <c r="I283" t="s">
        <v>836</v>
      </c>
    </row>
    <row r="284" spans="2:9" x14ac:dyDescent="0.2">
      <c r="B284" t="s">
        <v>632</v>
      </c>
      <c r="C284" t="s">
        <v>633</v>
      </c>
      <c r="D284">
        <v>26</v>
      </c>
      <c r="E284" t="s">
        <v>408</v>
      </c>
      <c r="F284">
        <v>1</v>
      </c>
      <c r="G284">
        <v>26</v>
      </c>
      <c r="H284" t="s">
        <v>848</v>
      </c>
      <c r="I284" t="s">
        <v>836</v>
      </c>
    </row>
    <row r="285" spans="2:9" x14ac:dyDescent="0.2">
      <c r="B285" t="s">
        <v>608</v>
      </c>
      <c r="C285" t="s">
        <v>609</v>
      </c>
      <c r="D285">
        <v>25</v>
      </c>
      <c r="E285" t="s">
        <v>408</v>
      </c>
      <c r="F285">
        <v>1</v>
      </c>
      <c r="G285">
        <v>25</v>
      </c>
      <c r="H285" t="s">
        <v>848</v>
      </c>
      <c r="I285" t="s">
        <v>836</v>
      </c>
    </row>
    <row r="286" spans="2:9" x14ac:dyDescent="0.2">
      <c r="B286" t="s">
        <v>105</v>
      </c>
      <c r="C286" t="s">
        <v>313</v>
      </c>
      <c r="D286">
        <v>250</v>
      </c>
      <c r="E286" t="s">
        <v>589</v>
      </c>
      <c r="F286">
        <v>0.1</v>
      </c>
      <c r="G286">
        <v>25</v>
      </c>
      <c r="H286" t="s">
        <v>851</v>
      </c>
      <c r="I286" t="s">
        <v>836</v>
      </c>
    </row>
    <row r="287" spans="2:9" x14ac:dyDescent="0.2">
      <c r="B287" t="s">
        <v>622</v>
      </c>
      <c r="C287" t="s">
        <v>623</v>
      </c>
      <c r="D287">
        <v>24</v>
      </c>
      <c r="E287" t="s">
        <v>408</v>
      </c>
      <c r="F287">
        <v>1</v>
      </c>
      <c r="G287">
        <v>24</v>
      </c>
      <c r="H287" t="s">
        <v>848</v>
      </c>
      <c r="I287" t="s">
        <v>836</v>
      </c>
    </row>
    <row r="288" spans="2:9" x14ac:dyDescent="0.2">
      <c r="B288" t="s">
        <v>668</v>
      </c>
      <c r="C288" t="s">
        <v>669</v>
      </c>
      <c r="D288">
        <v>3</v>
      </c>
      <c r="E288" t="s">
        <v>408</v>
      </c>
      <c r="F288">
        <v>8</v>
      </c>
      <c r="G288">
        <v>24</v>
      </c>
      <c r="H288" t="s">
        <v>848</v>
      </c>
      <c r="I288" t="s">
        <v>836</v>
      </c>
    </row>
    <row r="289" spans="2:9" x14ac:dyDescent="0.2">
      <c r="B289" t="s">
        <v>47</v>
      </c>
      <c r="C289" t="s">
        <v>328</v>
      </c>
      <c r="D289">
        <v>0.1</v>
      </c>
      <c r="E289" t="s">
        <v>443</v>
      </c>
      <c r="F289">
        <v>235</v>
      </c>
      <c r="G289">
        <v>23.5</v>
      </c>
      <c r="H289" t="s">
        <v>847</v>
      </c>
      <c r="I289" t="s">
        <v>836</v>
      </c>
    </row>
    <row r="290" spans="2:9" x14ac:dyDescent="0.2">
      <c r="B290" t="s">
        <v>29</v>
      </c>
      <c r="C290" t="s">
        <v>292</v>
      </c>
      <c r="D290">
        <v>0.8</v>
      </c>
      <c r="E290" t="s">
        <v>589</v>
      </c>
      <c r="F290">
        <v>27</v>
      </c>
      <c r="G290">
        <v>21.6</v>
      </c>
      <c r="H290" t="s">
        <v>848</v>
      </c>
      <c r="I290" t="s">
        <v>836</v>
      </c>
    </row>
    <row r="291" spans="2:9" x14ac:dyDescent="0.2">
      <c r="B291" t="s">
        <v>4</v>
      </c>
      <c r="C291" t="s">
        <v>304</v>
      </c>
      <c r="D291">
        <v>2.1</v>
      </c>
      <c r="E291" t="s">
        <v>589</v>
      </c>
      <c r="F291">
        <v>10.1</v>
      </c>
      <c r="G291">
        <v>21.21</v>
      </c>
      <c r="H291" t="s">
        <v>850</v>
      </c>
      <c r="I291" t="s">
        <v>836</v>
      </c>
    </row>
    <row r="292" spans="2:9" x14ac:dyDescent="0.2">
      <c r="B292" t="s">
        <v>29</v>
      </c>
      <c r="C292" t="s">
        <v>292</v>
      </c>
      <c r="D292">
        <v>0.75</v>
      </c>
      <c r="E292" t="s">
        <v>589</v>
      </c>
      <c r="F292">
        <v>27</v>
      </c>
      <c r="G292">
        <v>20.25</v>
      </c>
      <c r="H292" t="s">
        <v>848</v>
      </c>
      <c r="I292" t="s">
        <v>836</v>
      </c>
    </row>
    <row r="293" spans="2:9" x14ac:dyDescent="0.2">
      <c r="B293" t="s">
        <v>2</v>
      </c>
      <c r="C293" t="s">
        <v>303</v>
      </c>
      <c r="D293">
        <v>3.6</v>
      </c>
      <c r="E293" t="s">
        <v>589</v>
      </c>
      <c r="F293">
        <v>5.0999999999999996</v>
      </c>
      <c r="G293">
        <v>18.36</v>
      </c>
      <c r="H293" t="s">
        <v>850</v>
      </c>
      <c r="I293" t="s">
        <v>836</v>
      </c>
    </row>
    <row r="294" spans="2:9" x14ac:dyDescent="0.2">
      <c r="B294" t="s">
        <v>27</v>
      </c>
      <c r="C294" t="s">
        <v>396</v>
      </c>
      <c r="D294">
        <v>12</v>
      </c>
      <c r="E294" t="s">
        <v>408</v>
      </c>
      <c r="F294">
        <v>1.5</v>
      </c>
      <c r="G294">
        <v>18</v>
      </c>
      <c r="H294" t="s">
        <v>848</v>
      </c>
      <c r="I294" t="s">
        <v>836</v>
      </c>
    </row>
    <row r="295" spans="2:9" x14ac:dyDescent="0.2">
      <c r="B295" t="s">
        <v>648</v>
      </c>
      <c r="C295" t="s">
        <v>649</v>
      </c>
      <c r="D295">
        <v>18</v>
      </c>
      <c r="E295" t="s">
        <v>408</v>
      </c>
      <c r="F295">
        <v>1</v>
      </c>
      <c r="G295">
        <v>18</v>
      </c>
      <c r="H295" t="s">
        <v>848</v>
      </c>
      <c r="I295" t="s">
        <v>836</v>
      </c>
    </row>
    <row r="296" spans="2:9" x14ac:dyDescent="0.2">
      <c r="B296" t="s">
        <v>688</v>
      </c>
      <c r="C296" t="s">
        <v>689</v>
      </c>
      <c r="D296">
        <v>18</v>
      </c>
      <c r="E296" t="s">
        <v>408</v>
      </c>
      <c r="F296">
        <v>1</v>
      </c>
      <c r="G296">
        <v>18</v>
      </c>
      <c r="H296" t="s">
        <v>848</v>
      </c>
      <c r="I296" t="s">
        <v>836</v>
      </c>
    </row>
    <row r="297" spans="2:9" x14ac:dyDescent="0.2">
      <c r="B297" t="s">
        <v>45</v>
      </c>
      <c r="C297" t="s">
        <v>374</v>
      </c>
      <c r="D297">
        <v>0.25</v>
      </c>
      <c r="E297" t="s">
        <v>443</v>
      </c>
      <c r="F297">
        <v>65</v>
      </c>
      <c r="G297">
        <v>16.25</v>
      </c>
      <c r="H297" t="s">
        <v>837</v>
      </c>
      <c r="I297" t="s">
        <v>838</v>
      </c>
    </row>
    <row r="298" spans="2:9" x14ac:dyDescent="0.2">
      <c r="B298" t="s">
        <v>610</v>
      </c>
      <c r="C298" t="s">
        <v>611</v>
      </c>
      <c r="D298">
        <v>15</v>
      </c>
      <c r="E298" t="s">
        <v>408</v>
      </c>
      <c r="F298">
        <v>1</v>
      </c>
      <c r="G298">
        <v>15</v>
      </c>
      <c r="H298" t="s">
        <v>848</v>
      </c>
      <c r="I298" t="s">
        <v>836</v>
      </c>
    </row>
    <row r="299" spans="2:9" x14ac:dyDescent="0.2">
      <c r="B299" t="s">
        <v>624</v>
      </c>
      <c r="C299" t="s">
        <v>625</v>
      </c>
      <c r="D299">
        <v>14</v>
      </c>
      <c r="E299" t="s">
        <v>408</v>
      </c>
      <c r="F299">
        <v>1</v>
      </c>
      <c r="G299">
        <v>14</v>
      </c>
      <c r="H299" t="s">
        <v>848</v>
      </c>
      <c r="I299" t="s">
        <v>836</v>
      </c>
    </row>
    <row r="300" spans="2:9" x14ac:dyDescent="0.2">
      <c r="B300" t="s">
        <v>6</v>
      </c>
      <c r="C300" t="s">
        <v>306</v>
      </c>
      <c r="D300">
        <v>0.8</v>
      </c>
      <c r="E300" t="s">
        <v>589</v>
      </c>
      <c r="F300">
        <v>16.8</v>
      </c>
      <c r="G300">
        <v>13.44</v>
      </c>
      <c r="H300" t="s">
        <v>850</v>
      </c>
      <c r="I300" t="s">
        <v>836</v>
      </c>
    </row>
    <row r="301" spans="2:9" x14ac:dyDescent="0.2">
      <c r="B301" t="s">
        <v>93</v>
      </c>
      <c r="C301" t="s">
        <v>327</v>
      </c>
      <c r="D301">
        <v>0.19</v>
      </c>
      <c r="E301" t="s">
        <v>443</v>
      </c>
      <c r="F301">
        <v>70</v>
      </c>
      <c r="G301">
        <v>13.3</v>
      </c>
      <c r="H301" t="s">
        <v>837</v>
      </c>
      <c r="I301" t="s">
        <v>846</v>
      </c>
    </row>
    <row r="302" spans="2:9" x14ac:dyDescent="0.2">
      <c r="B302" t="s">
        <v>30</v>
      </c>
      <c r="C302" t="s">
        <v>332</v>
      </c>
      <c r="D302">
        <v>2</v>
      </c>
      <c r="E302" t="s">
        <v>408</v>
      </c>
      <c r="F302">
        <v>6</v>
      </c>
      <c r="G302">
        <v>12</v>
      </c>
      <c r="H302" t="s">
        <v>848</v>
      </c>
      <c r="I302" t="s">
        <v>836</v>
      </c>
    </row>
    <row r="303" spans="2:9" x14ac:dyDescent="0.2">
      <c r="B303" t="s">
        <v>616</v>
      </c>
      <c r="C303" t="s">
        <v>617</v>
      </c>
      <c r="D303">
        <v>10</v>
      </c>
      <c r="E303" t="s">
        <v>408</v>
      </c>
      <c r="F303">
        <v>1</v>
      </c>
      <c r="G303">
        <v>10</v>
      </c>
      <c r="H303" t="s">
        <v>848</v>
      </c>
      <c r="I303" t="s">
        <v>836</v>
      </c>
    </row>
    <row r="304" spans="2:9" x14ac:dyDescent="0.2">
      <c r="B304" t="s">
        <v>680</v>
      </c>
      <c r="C304" t="s">
        <v>681</v>
      </c>
      <c r="D304">
        <v>10</v>
      </c>
      <c r="E304" t="s">
        <v>408</v>
      </c>
      <c r="F304">
        <v>1</v>
      </c>
      <c r="G304">
        <v>10</v>
      </c>
      <c r="H304" t="s">
        <v>848</v>
      </c>
      <c r="I304" t="s">
        <v>836</v>
      </c>
    </row>
    <row r="305" spans="2:9" x14ac:dyDescent="0.2">
      <c r="B305" t="s">
        <v>42</v>
      </c>
      <c r="C305" t="s">
        <v>299</v>
      </c>
      <c r="D305">
        <v>4</v>
      </c>
      <c r="E305" t="s">
        <v>408</v>
      </c>
      <c r="F305">
        <v>2.5</v>
      </c>
      <c r="G305">
        <v>10</v>
      </c>
      <c r="H305" t="s">
        <v>848</v>
      </c>
      <c r="I305" t="s">
        <v>836</v>
      </c>
    </row>
    <row r="306" spans="2:9" x14ac:dyDescent="0.2">
      <c r="B306" t="s">
        <v>12</v>
      </c>
      <c r="C306" t="s">
        <v>308</v>
      </c>
      <c r="D306">
        <v>1.4</v>
      </c>
      <c r="E306" t="s">
        <v>589</v>
      </c>
      <c r="F306">
        <v>7</v>
      </c>
      <c r="G306">
        <v>9.8000000000000007</v>
      </c>
      <c r="H306" t="s">
        <v>850</v>
      </c>
      <c r="I306" t="s">
        <v>836</v>
      </c>
    </row>
    <row r="307" spans="2:9" x14ac:dyDescent="0.2">
      <c r="B307" t="s">
        <v>122</v>
      </c>
      <c r="C307" t="s">
        <v>302</v>
      </c>
      <c r="D307">
        <v>2</v>
      </c>
      <c r="E307" t="s">
        <v>408</v>
      </c>
      <c r="F307">
        <v>4.2</v>
      </c>
      <c r="G307">
        <v>8.4</v>
      </c>
      <c r="H307" t="s">
        <v>405</v>
      </c>
      <c r="I307" t="s">
        <v>836</v>
      </c>
    </row>
    <row r="308" spans="2:9" x14ac:dyDescent="0.2">
      <c r="B308" t="s">
        <v>700</v>
      </c>
      <c r="C308" t="s">
        <v>701</v>
      </c>
      <c r="D308">
        <v>8</v>
      </c>
      <c r="E308" t="s">
        <v>408</v>
      </c>
      <c r="F308">
        <v>1</v>
      </c>
      <c r="G308">
        <v>8</v>
      </c>
      <c r="H308" t="s">
        <v>848</v>
      </c>
      <c r="I308" t="s">
        <v>836</v>
      </c>
    </row>
    <row r="309" spans="2:9" x14ac:dyDescent="0.2">
      <c r="B309" t="s">
        <v>17</v>
      </c>
      <c r="C309" t="s">
        <v>394</v>
      </c>
      <c r="D309">
        <v>2</v>
      </c>
      <c r="E309" t="s">
        <v>408</v>
      </c>
      <c r="F309">
        <v>3.5</v>
      </c>
      <c r="G309">
        <v>7</v>
      </c>
      <c r="H309" t="s">
        <v>848</v>
      </c>
      <c r="I309" t="s">
        <v>836</v>
      </c>
    </row>
    <row r="310" spans="2:9" x14ac:dyDescent="0.2">
      <c r="B310" t="s">
        <v>18</v>
      </c>
      <c r="C310" t="s">
        <v>395</v>
      </c>
      <c r="D310">
        <v>2</v>
      </c>
      <c r="E310" t="s">
        <v>408</v>
      </c>
      <c r="F310">
        <v>3.5</v>
      </c>
      <c r="G310">
        <v>7</v>
      </c>
      <c r="H310" t="s">
        <v>848</v>
      </c>
      <c r="I310" t="s">
        <v>836</v>
      </c>
    </row>
    <row r="311" spans="2:9" x14ac:dyDescent="0.2">
      <c r="B311" t="s">
        <v>26</v>
      </c>
      <c r="C311" t="s">
        <v>361</v>
      </c>
      <c r="D311">
        <v>4</v>
      </c>
      <c r="E311" t="s">
        <v>408</v>
      </c>
      <c r="F311">
        <v>1.5</v>
      </c>
      <c r="G311">
        <v>6</v>
      </c>
      <c r="H311" t="s">
        <v>848</v>
      </c>
      <c r="I311" t="s">
        <v>836</v>
      </c>
    </row>
    <row r="312" spans="2:9" x14ac:dyDescent="0.2">
      <c r="B312" t="s">
        <v>666</v>
      </c>
      <c r="C312" t="s">
        <v>667</v>
      </c>
      <c r="D312">
        <v>6</v>
      </c>
      <c r="E312" t="s">
        <v>408</v>
      </c>
      <c r="F312">
        <v>1</v>
      </c>
      <c r="G312">
        <v>6</v>
      </c>
      <c r="H312" t="s">
        <v>848</v>
      </c>
      <c r="I312" t="s">
        <v>836</v>
      </c>
    </row>
    <row r="313" spans="2:9" x14ac:dyDescent="0.2">
      <c r="B313" t="s">
        <v>110</v>
      </c>
      <c r="C313" t="s">
        <v>314</v>
      </c>
      <c r="D313">
        <v>60</v>
      </c>
      <c r="E313" t="s">
        <v>589</v>
      </c>
      <c r="F313">
        <v>0.1</v>
      </c>
      <c r="G313">
        <v>6</v>
      </c>
      <c r="H313" t="s">
        <v>851</v>
      </c>
      <c r="I313" t="s">
        <v>836</v>
      </c>
    </row>
    <row r="314" spans="2:9" x14ac:dyDescent="0.2">
      <c r="B314" t="s">
        <v>14</v>
      </c>
      <c r="C314" t="s">
        <v>310</v>
      </c>
      <c r="D314">
        <v>0.3</v>
      </c>
      <c r="E314" t="s">
        <v>589</v>
      </c>
      <c r="F314">
        <v>18</v>
      </c>
      <c r="G314">
        <v>5.4</v>
      </c>
      <c r="H314" t="s">
        <v>850</v>
      </c>
      <c r="I314" t="s">
        <v>836</v>
      </c>
    </row>
    <row r="315" spans="2:9" x14ac:dyDescent="0.2">
      <c r="B315" t="s">
        <v>610</v>
      </c>
      <c r="C315" t="s">
        <v>611</v>
      </c>
      <c r="D315">
        <v>5</v>
      </c>
      <c r="E315" t="s">
        <v>408</v>
      </c>
      <c r="F315">
        <v>1</v>
      </c>
      <c r="G315">
        <v>5</v>
      </c>
      <c r="H315" t="s">
        <v>848</v>
      </c>
      <c r="I315" t="s">
        <v>836</v>
      </c>
    </row>
    <row r="316" spans="2:9" x14ac:dyDescent="0.2">
      <c r="B316" t="s">
        <v>610</v>
      </c>
      <c r="C316" t="s">
        <v>611</v>
      </c>
      <c r="D316">
        <v>5</v>
      </c>
      <c r="E316" t="s">
        <v>408</v>
      </c>
      <c r="F316">
        <v>1</v>
      </c>
      <c r="G316">
        <v>5</v>
      </c>
      <c r="H316" t="s">
        <v>848</v>
      </c>
      <c r="I316" t="s">
        <v>836</v>
      </c>
    </row>
    <row r="317" spans="2:9" x14ac:dyDescent="0.2">
      <c r="B317" t="s">
        <v>24</v>
      </c>
      <c r="C317" t="s">
        <v>360</v>
      </c>
      <c r="D317">
        <v>2</v>
      </c>
      <c r="E317" t="s">
        <v>408</v>
      </c>
      <c r="F317">
        <v>2.2000000000000002</v>
      </c>
      <c r="G317">
        <v>4.4000000000000004</v>
      </c>
      <c r="H317" t="s">
        <v>848</v>
      </c>
      <c r="I317" t="s">
        <v>836</v>
      </c>
    </row>
    <row r="318" spans="2:9" x14ac:dyDescent="0.2">
      <c r="B318" t="s">
        <v>122</v>
      </c>
      <c r="C318" t="s">
        <v>302</v>
      </c>
      <c r="D318">
        <v>1</v>
      </c>
      <c r="E318" t="s">
        <v>408</v>
      </c>
      <c r="F318">
        <v>4.2</v>
      </c>
      <c r="G318">
        <v>4.2</v>
      </c>
      <c r="H318" t="s">
        <v>405</v>
      </c>
      <c r="I318" t="s">
        <v>836</v>
      </c>
    </row>
    <row r="319" spans="2:9" x14ac:dyDescent="0.2">
      <c r="B319" t="s">
        <v>95</v>
      </c>
      <c r="C319" t="s">
        <v>281</v>
      </c>
      <c r="D319">
        <v>2</v>
      </c>
      <c r="E319" t="s">
        <v>408</v>
      </c>
      <c r="F319">
        <v>2</v>
      </c>
      <c r="G319">
        <v>4</v>
      </c>
      <c r="H319" t="s">
        <v>835</v>
      </c>
      <c r="I319" t="s">
        <v>836</v>
      </c>
    </row>
    <row r="320" spans="2:9" x14ac:dyDescent="0.2">
      <c r="B320" t="s">
        <v>678</v>
      </c>
      <c r="C320" t="s">
        <v>679</v>
      </c>
      <c r="D320">
        <v>4</v>
      </c>
      <c r="E320" t="s">
        <v>408</v>
      </c>
      <c r="F320">
        <v>1</v>
      </c>
      <c r="G320">
        <v>4</v>
      </c>
      <c r="H320" t="s">
        <v>848</v>
      </c>
      <c r="I320" t="s">
        <v>836</v>
      </c>
    </row>
    <row r="321" spans="2:9" x14ac:dyDescent="0.2">
      <c r="B321" t="s">
        <v>108</v>
      </c>
      <c r="C321" t="s">
        <v>323</v>
      </c>
      <c r="D321">
        <v>40</v>
      </c>
      <c r="E321" t="s">
        <v>589</v>
      </c>
      <c r="F321">
        <v>0.1</v>
      </c>
      <c r="G321">
        <v>4</v>
      </c>
      <c r="H321" t="s">
        <v>851</v>
      </c>
      <c r="I321" t="s">
        <v>836</v>
      </c>
    </row>
    <row r="322" spans="2:9" x14ac:dyDescent="0.2">
      <c r="B322" t="s">
        <v>94</v>
      </c>
      <c r="C322" t="s">
        <v>280</v>
      </c>
      <c r="D322">
        <v>1</v>
      </c>
      <c r="E322" t="s">
        <v>408</v>
      </c>
      <c r="F322">
        <v>3.5</v>
      </c>
      <c r="G322">
        <v>3.5</v>
      </c>
      <c r="H322" t="s">
        <v>835</v>
      </c>
      <c r="I322" t="s">
        <v>836</v>
      </c>
    </row>
    <row r="323" spans="2:9" x14ac:dyDescent="0.2">
      <c r="B323" t="s">
        <v>12</v>
      </c>
      <c r="C323" t="s">
        <v>308</v>
      </c>
      <c r="D323">
        <v>0.45</v>
      </c>
      <c r="E323" t="s">
        <v>589</v>
      </c>
      <c r="F323">
        <v>7</v>
      </c>
      <c r="G323">
        <v>3.15</v>
      </c>
      <c r="H323" t="s">
        <v>850</v>
      </c>
      <c r="I323" t="s">
        <v>836</v>
      </c>
    </row>
    <row r="324" spans="2:9" x14ac:dyDescent="0.2">
      <c r="B324" t="s">
        <v>634</v>
      </c>
      <c r="C324" t="s">
        <v>635</v>
      </c>
      <c r="D324">
        <v>3</v>
      </c>
      <c r="E324" t="s">
        <v>408</v>
      </c>
      <c r="F324">
        <v>1</v>
      </c>
      <c r="G324">
        <v>3</v>
      </c>
      <c r="H324" t="s">
        <v>848</v>
      </c>
      <c r="I324" t="s">
        <v>836</v>
      </c>
    </row>
    <row r="325" spans="2:9" x14ac:dyDescent="0.2">
      <c r="B325" t="s">
        <v>636</v>
      </c>
      <c r="C325" t="s">
        <v>637</v>
      </c>
      <c r="D325">
        <v>3</v>
      </c>
      <c r="E325" t="s">
        <v>408</v>
      </c>
      <c r="F325">
        <v>1</v>
      </c>
      <c r="G325">
        <v>3</v>
      </c>
      <c r="H325" t="s">
        <v>848</v>
      </c>
      <c r="I325" t="s">
        <v>836</v>
      </c>
    </row>
    <row r="326" spans="2:9" x14ac:dyDescent="0.2">
      <c r="B326" t="s">
        <v>19</v>
      </c>
      <c r="C326" t="s">
        <v>329</v>
      </c>
      <c r="D326">
        <v>1</v>
      </c>
      <c r="E326" t="s">
        <v>408</v>
      </c>
      <c r="F326">
        <v>2.9</v>
      </c>
      <c r="G326">
        <v>2.9</v>
      </c>
      <c r="H326" t="s">
        <v>848</v>
      </c>
      <c r="I326" t="s">
        <v>836</v>
      </c>
    </row>
    <row r="327" spans="2:9" x14ac:dyDescent="0.2">
      <c r="B327" t="s">
        <v>20</v>
      </c>
      <c r="C327" t="s">
        <v>330</v>
      </c>
      <c r="D327">
        <v>1</v>
      </c>
      <c r="E327" t="s">
        <v>408</v>
      </c>
      <c r="F327">
        <v>2.9</v>
      </c>
      <c r="G327">
        <v>2.9</v>
      </c>
      <c r="H327" t="s">
        <v>848</v>
      </c>
      <c r="I327" t="s">
        <v>836</v>
      </c>
    </row>
    <row r="328" spans="2:9" x14ac:dyDescent="0.2">
      <c r="B328" t="s">
        <v>7</v>
      </c>
      <c r="C328" t="s">
        <v>307</v>
      </c>
      <c r="D328">
        <v>0.4</v>
      </c>
      <c r="E328" t="s">
        <v>589</v>
      </c>
      <c r="F328">
        <v>6.7</v>
      </c>
      <c r="G328">
        <v>2.68</v>
      </c>
      <c r="H328" t="s">
        <v>850</v>
      </c>
      <c r="I328" t="s">
        <v>836</v>
      </c>
    </row>
    <row r="329" spans="2:9" x14ac:dyDescent="0.2">
      <c r="B329" t="s">
        <v>60</v>
      </c>
      <c r="C329" t="s">
        <v>337</v>
      </c>
      <c r="D329">
        <v>0.02</v>
      </c>
      <c r="E329" t="s">
        <v>443</v>
      </c>
      <c r="F329">
        <v>130</v>
      </c>
      <c r="G329">
        <v>2.6</v>
      </c>
      <c r="H329" t="s">
        <v>837</v>
      </c>
      <c r="I329" t="s">
        <v>840</v>
      </c>
    </row>
    <row r="330" spans="2:9" x14ac:dyDescent="0.2">
      <c r="B330" t="s">
        <v>411</v>
      </c>
      <c r="C330" t="s">
        <v>412</v>
      </c>
      <c r="D330">
        <v>2</v>
      </c>
      <c r="E330" t="s">
        <v>408</v>
      </c>
      <c r="F330">
        <v>1</v>
      </c>
      <c r="G330">
        <v>2</v>
      </c>
      <c r="H330" t="s">
        <v>835</v>
      </c>
      <c r="I330" t="s">
        <v>836</v>
      </c>
    </row>
    <row r="331" spans="2:9" x14ac:dyDescent="0.2">
      <c r="B331" t="s">
        <v>630</v>
      </c>
      <c r="C331" t="s">
        <v>631</v>
      </c>
      <c r="D331">
        <v>2</v>
      </c>
      <c r="E331" t="s">
        <v>408</v>
      </c>
      <c r="F331">
        <v>1</v>
      </c>
      <c r="G331">
        <v>2</v>
      </c>
      <c r="H331" t="s">
        <v>848</v>
      </c>
      <c r="I331" t="s">
        <v>836</v>
      </c>
    </row>
    <row r="332" spans="2:9" x14ac:dyDescent="0.2">
      <c r="B332" t="s">
        <v>670</v>
      </c>
      <c r="C332" t="s">
        <v>671</v>
      </c>
      <c r="D332">
        <v>2</v>
      </c>
      <c r="E332" t="s">
        <v>408</v>
      </c>
      <c r="F332">
        <v>1</v>
      </c>
      <c r="G332">
        <v>2</v>
      </c>
      <c r="H332" t="s">
        <v>848</v>
      </c>
      <c r="I332" t="s">
        <v>836</v>
      </c>
    </row>
    <row r="333" spans="2:9" x14ac:dyDescent="0.2">
      <c r="B333" t="s">
        <v>690</v>
      </c>
      <c r="C333" t="s">
        <v>691</v>
      </c>
      <c r="D333">
        <v>2</v>
      </c>
      <c r="E333" t="s">
        <v>408</v>
      </c>
      <c r="F333">
        <v>1</v>
      </c>
      <c r="G333">
        <v>2</v>
      </c>
      <c r="H333" t="s">
        <v>848</v>
      </c>
      <c r="I333" t="s">
        <v>836</v>
      </c>
    </row>
    <row r="334" spans="2:9" x14ac:dyDescent="0.2">
      <c r="B334" t="s">
        <v>692</v>
      </c>
      <c r="C334" t="s">
        <v>693</v>
      </c>
      <c r="D334">
        <v>2</v>
      </c>
      <c r="E334" t="s">
        <v>408</v>
      </c>
      <c r="F334">
        <v>1</v>
      </c>
      <c r="G334">
        <v>2</v>
      </c>
      <c r="H334" t="s">
        <v>848</v>
      </c>
      <c r="I334" t="s">
        <v>836</v>
      </c>
    </row>
    <row r="335" spans="2:9" x14ac:dyDescent="0.2">
      <c r="B335" t="s">
        <v>672</v>
      </c>
      <c r="C335" t="s">
        <v>673</v>
      </c>
      <c r="D335">
        <v>1</v>
      </c>
      <c r="E335" t="s">
        <v>408</v>
      </c>
      <c r="F335">
        <v>1</v>
      </c>
      <c r="G335">
        <v>1</v>
      </c>
      <c r="H335" t="s">
        <v>848</v>
      </c>
      <c r="I335" t="s">
        <v>836</v>
      </c>
    </row>
    <row r="336" spans="2:9" x14ac:dyDescent="0.2">
      <c r="B336" t="s">
        <v>694</v>
      </c>
      <c r="C336" t="s">
        <v>695</v>
      </c>
      <c r="D336">
        <v>1</v>
      </c>
      <c r="E336" t="s">
        <v>408</v>
      </c>
      <c r="F336">
        <v>1</v>
      </c>
      <c r="G336">
        <v>1</v>
      </c>
      <c r="H336" t="s">
        <v>848</v>
      </c>
      <c r="I336" t="s">
        <v>836</v>
      </c>
    </row>
    <row r="337" spans="2:9" x14ac:dyDescent="0.2">
      <c r="B337" t="s">
        <v>696</v>
      </c>
      <c r="C337" t="s">
        <v>697</v>
      </c>
      <c r="D337">
        <v>1</v>
      </c>
      <c r="E337" t="s">
        <v>408</v>
      </c>
      <c r="F337">
        <v>1</v>
      </c>
      <c r="G337">
        <v>1</v>
      </c>
      <c r="H337" t="s">
        <v>848</v>
      </c>
      <c r="I337" t="s">
        <v>836</v>
      </c>
    </row>
    <row r="338" spans="2:9" x14ac:dyDescent="0.2">
      <c r="B338" t="s">
        <v>94</v>
      </c>
      <c r="C338" t="s">
        <v>280</v>
      </c>
      <c r="D338">
        <v>0</v>
      </c>
      <c r="E338" t="s">
        <v>408</v>
      </c>
      <c r="F338">
        <v>3.5</v>
      </c>
      <c r="G338">
        <v>0</v>
      </c>
      <c r="H338" t="s">
        <v>835</v>
      </c>
      <c r="I338" t="s">
        <v>836</v>
      </c>
    </row>
    <row r="339" spans="2:9" x14ac:dyDescent="0.2">
      <c r="B339" t="s">
        <v>409</v>
      </c>
      <c r="C339" t="s">
        <v>410</v>
      </c>
      <c r="D339">
        <v>0</v>
      </c>
      <c r="E339" t="s">
        <v>408</v>
      </c>
      <c r="F339">
        <v>3.5</v>
      </c>
      <c r="G339">
        <v>0</v>
      </c>
      <c r="H339" t="s">
        <v>835</v>
      </c>
      <c r="I339" t="s">
        <v>836</v>
      </c>
    </row>
    <row r="340" spans="2:9" x14ac:dyDescent="0.2">
      <c r="B340" t="s">
        <v>95</v>
      </c>
      <c r="C340" t="s">
        <v>281</v>
      </c>
      <c r="D340">
        <v>0</v>
      </c>
      <c r="E340" t="s">
        <v>408</v>
      </c>
      <c r="F340">
        <v>2</v>
      </c>
      <c r="G340">
        <v>0</v>
      </c>
      <c r="H340" t="s">
        <v>835</v>
      </c>
      <c r="I340" t="s">
        <v>836</v>
      </c>
    </row>
    <row r="341" spans="2:9" x14ac:dyDescent="0.2">
      <c r="B341" t="s">
        <v>95</v>
      </c>
      <c r="C341" t="s">
        <v>281</v>
      </c>
      <c r="D341">
        <v>0</v>
      </c>
      <c r="E341" t="s">
        <v>408</v>
      </c>
      <c r="F341">
        <v>2</v>
      </c>
      <c r="G341">
        <v>0</v>
      </c>
      <c r="H341" t="s">
        <v>835</v>
      </c>
      <c r="I341" t="s">
        <v>836</v>
      </c>
    </row>
    <row r="342" spans="2:9" x14ac:dyDescent="0.2">
      <c r="B342" t="s">
        <v>95</v>
      </c>
      <c r="C342" t="s">
        <v>281</v>
      </c>
      <c r="D342">
        <v>0</v>
      </c>
      <c r="E342" t="s">
        <v>408</v>
      </c>
      <c r="F342">
        <v>2</v>
      </c>
      <c r="G342">
        <v>0</v>
      </c>
      <c r="H342" t="s">
        <v>835</v>
      </c>
      <c r="I342" t="s">
        <v>836</v>
      </c>
    </row>
    <row r="343" spans="2:9" x14ac:dyDescent="0.2">
      <c r="B343" t="s">
        <v>96</v>
      </c>
      <c r="C343" t="s">
        <v>282</v>
      </c>
      <c r="D343">
        <v>0</v>
      </c>
      <c r="E343" t="s">
        <v>408</v>
      </c>
      <c r="F343">
        <v>1</v>
      </c>
      <c r="G343">
        <v>0</v>
      </c>
      <c r="H343" t="s">
        <v>835</v>
      </c>
      <c r="I343" t="s">
        <v>836</v>
      </c>
    </row>
    <row r="344" spans="2:9" x14ac:dyDescent="0.2">
      <c r="B344" t="s">
        <v>97</v>
      </c>
      <c r="C344" t="s">
        <v>283</v>
      </c>
      <c r="D344">
        <v>0</v>
      </c>
      <c r="E344" t="s">
        <v>408</v>
      </c>
      <c r="F344">
        <v>1</v>
      </c>
      <c r="G344">
        <v>0</v>
      </c>
      <c r="H344" t="s">
        <v>835</v>
      </c>
      <c r="I344" t="s">
        <v>836</v>
      </c>
    </row>
    <row r="345" spans="2:9" x14ac:dyDescent="0.2">
      <c r="B345" t="s">
        <v>99</v>
      </c>
      <c r="C345" t="s">
        <v>284</v>
      </c>
      <c r="D345">
        <v>0</v>
      </c>
      <c r="E345" t="s">
        <v>408</v>
      </c>
      <c r="F345">
        <v>0</v>
      </c>
      <c r="G345">
        <v>0</v>
      </c>
      <c r="H345" t="s">
        <v>835</v>
      </c>
      <c r="I345" t="s">
        <v>836</v>
      </c>
    </row>
    <row r="346" spans="2:9" x14ac:dyDescent="0.2">
      <c r="B346" t="s">
        <v>100</v>
      </c>
      <c r="C346" t="s">
        <v>285</v>
      </c>
      <c r="D346">
        <v>0</v>
      </c>
      <c r="E346" t="s">
        <v>408</v>
      </c>
      <c r="F346">
        <v>0</v>
      </c>
      <c r="G346">
        <v>0</v>
      </c>
      <c r="H346" t="s">
        <v>835</v>
      </c>
      <c r="I346" t="s">
        <v>836</v>
      </c>
    </row>
    <row r="347" spans="2:9" x14ac:dyDescent="0.2">
      <c r="B347" t="s">
        <v>44</v>
      </c>
      <c r="C347" t="s">
        <v>324</v>
      </c>
      <c r="D347">
        <v>0</v>
      </c>
      <c r="E347" t="s">
        <v>443</v>
      </c>
      <c r="F347">
        <v>65</v>
      </c>
      <c r="G347">
        <v>0</v>
      </c>
      <c r="H347" t="s">
        <v>837</v>
      </c>
      <c r="I347" t="s">
        <v>838</v>
      </c>
    </row>
    <row r="348" spans="2:9" x14ac:dyDescent="0.2">
      <c r="B348" t="s">
        <v>45</v>
      </c>
      <c r="C348" t="s">
        <v>374</v>
      </c>
      <c r="D348">
        <v>0</v>
      </c>
      <c r="E348" t="s">
        <v>443</v>
      </c>
      <c r="F348">
        <v>65</v>
      </c>
      <c r="G348">
        <v>0</v>
      </c>
      <c r="H348" t="s">
        <v>837</v>
      </c>
      <c r="I348" t="s">
        <v>838</v>
      </c>
    </row>
    <row r="349" spans="2:9" x14ac:dyDescent="0.2">
      <c r="B349" t="s">
        <v>444</v>
      </c>
      <c r="C349" t="s">
        <v>445</v>
      </c>
      <c r="D349">
        <v>0</v>
      </c>
      <c r="E349" t="s">
        <v>443</v>
      </c>
      <c r="F349">
        <v>65</v>
      </c>
      <c r="G349">
        <v>0</v>
      </c>
      <c r="H349" t="s">
        <v>837</v>
      </c>
      <c r="I349" t="s">
        <v>838</v>
      </c>
    </row>
    <row r="350" spans="2:9" x14ac:dyDescent="0.2">
      <c r="B350" t="s">
        <v>446</v>
      </c>
      <c r="C350" t="s">
        <v>447</v>
      </c>
      <c r="D350">
        <v>0</v>
      </c>
      <c r="E350" t="s">
        <v>443</v>
      </c>
      <c r="F350">
        <v>65</v>
      </c>
      <c r="G350">
        <v>0</v>
      </c>
      <c r="H350" t="s">
        <v>837</v>
      </c>
      <c r="I350" t="s">
        <v>838</v>
      </c>
    </row>
    <row r="351" spans="2:9" x14ac:dyDescent="0.2">
      <c r="B351" t="s">
        <v>452</v>
      </c>
      <c r="C351" t="s">
        <v>453</v>
      </c>
      <c r="D351">
        <v>0</v>
      </c>
      <c r="E351" t="s">
        <v>443</v>
      </c>
      <c r="F351">
        <v>55</v>
      </c>
      <c r="G351">
        <v>0</v>
      </c>
      <c r="H351" t="s">
        <v>837</v>
      </c>
      <c r="I351" t="s">
        <v>838</v>
      </c>
    </row>
    <row r="352" spans="2:9" x14ac:dyDescent="0.2">
      <c r="B352" t="s">
        <v>454</v>
      </c>
      <c r="C352" t="s">
        <v>455</v>
      </c>
      <c r="D352">
        <v>0</v>
      </c>
      <c r="E352" t="s">
        <v>443</v>
      </c>
      <c r="F352">
        <v>55</v>
      </c>
      <c r="G352">
        <v>0</v>
      </c>
      <c r="H352" t="s">
        <v>837</v>
      </c>
      <c r="I352" t="s">
        <v>838</v>
      </c>
    </row>
    <row r="353" spans="2:9" x14ac:dyDescent="0.2">
      <c r="B353" t="s">
        <v>50</v>
      </c>
      <c r="C353" t="s">
        <v>357</v>
      </c>
      <c r="D353">
        <v>0</v>
      </c>
      <c r="E353" t="s">
        <v>443</v>
      </c>
      <c r="F353">
        <v>151</v>
      </c>
      <c r="G353">
        <v>0</v>
      </c>
      <c r="H353" t="s">
        <v>837</v>
      </c>
      <c r="I353" t="s">
        <v>839</v>
      </c>
    </row>
    <row r="354" spans="2:9" x14ac:dyDescent="0.2">
      <c r="B354" t="s">
        <v>51</v>
      </c>
      <c r="C354" t="s">
        <v>286</v>
      </c>
      <c r="D354">
        <v>0</v>
      </c>
      <c r="E354" t="s">
        <v>443</v>
      </c>
      <c r="F354">
        <v>419</v>
      </c>
      <c r="G354">
        <v>0</v>
      </c>
      <c r="H354" t="s">
        <v>837</v>
      </c>
      <c r="I354" t="s">
        <v>839</v>
      </c>
    </row>
    <row r="355" spans="2:9" x14ac:dyDescent="0.2">
      <c r="B355" t="s">
        <v>52</v>
      </c>
      <c r="C355" t="s">
        <v>321</v>
      </c>
      <c r="D355">
        <v>0</v>
      </c>
      <c r="E355" t="s">
        <v>443</v>
      </c>
      <c r="F355">
        <v>120</v>
      </c>
      <c r="G355">
        <v>0</v>
      </c>
      <c r="H355" t="s">
        <v>837</v>
      </c>
      <c r="I355" t="s">
        <v>840</v>
      </c>
    </row>
    <row r="356" spans="2:9" x14ac:dyDescent="0.2">
      <c r="B356" t="s">
        <v>58</v>
      </c>
      <c r="C356" t="s">
        <v>365</v>
      </c>
      <c r="D356">
        <v>0</v>
      </c>
      <c r="E356" t="s">
        <v>443</v>
      </c>
      <c r="F356">
        <v>90</v>
      </c>
      <c r="G356">
        <v>0</v>
      </c>
      <c r="H356" t="s">
        <v>837</v>
      </c>
      <c r="I356" t="s">
        <v>840</v>
      </c>
    </row>
    <row r="357" spans="2:9" x14ac:dyDescent="0.2">
      <c r="B357" t="s">
        <v>464</v>
      </c>
      <c r="C357" t="s">
        <v>465</v>
      </c>
      <c r="D357">
        <v>0</v>
      </c>
      <c r="E357" t="s">
        <v>443</v>
      </c>
      <c r="F357">
        <v>90</v>
      </c>
      <c r="G357">
        <v>0</v>
      </c>
      <c r="H357" t="s">
        <v>837</v>
      </c>
      <c r="I357" t="s">
        <v>840</v>
      </c>
    </row>
    <row r="358" spans="2:9" x14ac:dyDescent="0.2">
      <c r="B358" t="s">
        <v>466</v>
      </c>
      <c r="C358" t="s">
        <v>467</v>
      </c>
      <c r="D358">
        <v>0</v>
      </c>
      <c r="E358" t="s">
        <v>443</v>
      </c>
      <c r="F358">
        <v>90</v>
      </c>
      <c r="G358">
        <v>0</v>
      </c>
      <c r="H358" t="s">
        <v>837</v>
      </c>
      <c r="I358" t="s">
        <v>840</v>
      </c>
    </row>
    <row r="359" spans="2:9" x14ac:dyDescent="0.2">
      <c r="B359" t="s">
        <v>478</v>
      </c>
      <c r="C359" t="s">
        <v>479</v>
      </c>
      <c r="D359">
        <v>0</v>
      </c>
      <c r="E359" t="s">
        <v>443</v>
      </c>
      <c r="F359">
        <v>130</v>
      </c>
      <c r="G359">
        <v>0</v>
      </c>
      <c r="H359" t="s">
        <v>837</v>
      </c>
      <c r="I359" t="s">
        <v>840</v>
      </c>
    </row>
    <row r="360" spans="2:9" x14ac:dyDescent="0.2">
      <c r="B360" t="s">
        <v>502</v>
      </c>
      <c r="C360" t="s">
        <v>503</v>
      </c>
      <c r="D360">
        <v>0</v>
      </c>
      <c r="E360" t="s">
        <v>443</v>
      </c>
      <c r="F360">
        <v>190</v>
      </c>
      <c r="G360">
        <v>0</v>
      </c>
      <c r="H360" t="s">
        <v>837</v>
      </c>
      <c r="I360" t="s">
        <v>842</v>
      </c>
    </row>
    <row r="361" spans="2:9" x14ac:dyDescent="0.2">
      <c r="B361" t="s">
        <v>61</v>
      </c>
      <c r="C361" t="s">
        <v>341</v>
      </c>
      <c r="D361">
        <v>0</v>
      </c>
      <c r="E361" t="s">
        <v>443</v>
      </c>
      <c r="F361">
        <v>190</v>
      </c>
      <c r="G361">
        <v>0</v>
      </c>
      <c r="H361" t="s">
        <v>837</v>
      </c>
      <c r="I361" t="s">
        <v>842</v>
      </c>
    </row>
    <row r="362" spans="2:9" x14ac:dyDescent="0.2">
      <c r="B362" t="s">
        <v>69</v>
      </c>
      <c r="C362" t="s">
        <v>288</v>
      </c>
      <c r="D362">
        <v>0</v>
      </c>
      <c r="E362" t="s">
        <v>443</v>
      </c>
      <c r="F362">
        <v>190</v>
      </c>
      <c r="G362">
        <v>0</v>
      </c>
      <c r="H362" t="s">
        <v>837</v>
      </c>
      <c r="I362" t="s">
        <v>842</v>
      </c>
    </row>
    <row r="363" spans="2:9" x14ac:dyDescent="0.2">
      <c r="B363" t="s">
        <v>72</v>
      </c>
      <c r="C363" t="s">
        <v>387</v>
      </c>
      <c r="D363">
        <v>0</v>
      </c>
      <c r="E363" t="s">
        <v>443</v>
      </c>
      <c r="F363">
        <v>145</v>
      </c>
      <c r="G363">
        <v>0</v>
      </c>
      <c r="H363" t="s">
        <v>837</v>
      </c>
      <c r="I363" t="s">
        <v>842</v>
      </c>
    </row>
    <row r="364" spans="2:9" x14ac:dyDescent="0.2">
      <c r="B364" t="s">
        <v>76</v>
      </c>
      <c r="C364" t="s">
        <v>376</v>
      </c>
      <c r="D364">
        <v>0</v>
      </c>
      <c r="E364" t="s">
        <v>443</v>
      </c>
      <c r="F364">
        <v>145</v>
      </c>
      <c r="G364">
        <v>0</v>
      </c>
      <c r="H364" t="s">
        <v>837</v>
      </c>
      <c r="I364" t="s">
        <v>842</v>
      </c>
    </row>
    <row r="365" spans="2:9" x14ac:dyDescent="0.2">
      <c r="B365" t="s">
        <v>78</v>
      </c>
      <c r="C365" t="s">
        <v>389</v>
      </c>
      <c r="D365">
        <v>0</v>
      </c>
      <c r="E365" t="s">
        <v>443</v>
      </c>
      <c r="F365">
        <v>145</v>
      </c>
      <c r="G365">
        <v>0</v>
      </c>
      <c r="H365" t="s">
        <v>837</v>
      </c>
      <c r="I365" t="s">
        <v>842</v>
      </c>
    </row>
    <row r="366" spans="2:9" x14ac:dyDescent="0.2">
      <c r="B366" t="s">
        <v>82</v>
      </c>
      <c r="C366" t="s">
        <v>319</v>
      </c>
      <c r="D366">
        <v>0</v>
      </c>
      <c r="E366" t="s">
        <v>443</v>
      </c>
      <c r="F366">
        <v>380</v>
      </c>
      <c r="G366">
        <v>0</v>
      </c>
      <c r="H366" t="s">
        <v>837</v>
      </c>
      <c r="I366" t="s">
        <v>843</v>
      </c>
    </row>
    <row r="367" spans="2:9" x14ac:dyDescent="0.2">
      <c r="B367" t="s">
        <v>552</v>
      </c>
      <c r="C367" t="s">
        <v>553</v>
      </c>
      <c r="D367">
        <v>0</v>
      </c>
      <c r="E367" t="s">
        <v>443</v>
      </c>
      <c r="F367">
        <v>410</v>
      </c>
      <c r="G367">
        <v>0</v>
      </c>
      <c r="H367" t="s">
        <v>837</v>
      </c>
      <c r="I367" t="s">
        <v>843</v>
      </c>
    </row>
    <row r="368" spans="2:9" x14ac:dyDescent="0.2">
      <c r="B368" t="s">
        <v>83</v>
      </c>
      <c r="C368" t="s">
        <v>315</v>
      </c>
      <c r="D368">
        <v>0</v>
      </c>
      <c r="E368" t="s">
        <v>443</v>
      </c>
      <c r="F368">
        <v>365</v>
      </c>
      <c r="G368">
        <v>0</v>
      </c>
      <c r="H368" t="s">
        <v>837</v>
      </c>
      <c r="I368" t="s">
        <v>843</v>
      </c>
    </row>
    <row r="369" spans="2:9" x14ac:dyDescent="0.2">
      <c r="B369" t="s">
        <v>562</v>
      </c>
      <c r="C369" t="s">
        <v>563</v>
      </c>
      <c r="D369">
        <v>0</v>
      </c>
      <c r="E369" t="s">
        <v>443</v>
      </c>
      <c r="F369">
        <v>365</v>
      </c>
      <c r="G369">
        <v>0</v>
      </c>
      <c r="H369" t="s">
        <v>837</v>
      </c>
      <c r="I369" t="s">
        <v>843</v>
      </c>
    </row>
    <row r="370" spans="2:9" x14ac:dyDescent="0.2">
      <c r="B370" t="s">
        <v>564</v>
      </c>
      <c r="C370" t="s">
        <v>565</v>
      </c>
      <c r="D370">
        <v>0</v>
      </c>
      <c r="E370" t="s">
        <v>443</v>
      </c>
      <c r="F370">
        <v>400</v>
      </c>
      <c r="G370">
        <v>0</v>
      </c>
      <c r="H370" t="s">
        <v>837</v>
      </c>
      <c r="I370" t="s">
        <v>844</v>
      </c>
    </row>
    <row r="371" spans="2:9" x14ac:dyDescent="0.2">
      <c r="B371" t="s">
        <v>566</v>
      </c>
      <c r="C371" t="s">
        <v>567</v>
      </c>
      <c r="D371">
        <v>0</v>
      </c>
      <c r="E371" t="s">
        <v>443</v>
      </c>
      <c r="F371">
        <v>400</v>
      </c>
      <c r="G371">
        <v>0</v>
      </c>
      <c r="H371" t="s">
        <v>837</v>
      </c>
      <c r="I371" t="s">
        <v>844</v>
      </c>
    </row>
    <row r="372" spans="2:9" x14ac:dyDescent="0.2">
      <c r="B372" t="s">
        <v>568</v>
      </c>
      <c r="C372" t="s">
        <v>569</v>
      </c>
      <c r="D372">
        <v>0</v>
      </c>
      <c r="E372" t="s">
        <v>443</v>
      </c>
      <c r="F372">
        <v>230</v>
      </c>
      <c r="G372">
        <v>0</v>
      </c>
      <c r="H372" t="s">
        <v>837</v>
      </c>
      <c r="I372" t="s">
        <v>845</v>
      </c>
    </row>
    <row r="373" spans="2:9" x14ac:dyDescent="0.2">
      <c r="B373" t="s">
        <v>84</v>
      </c>
      <c r="C373" t="s">
        <v>346</v>
      </c>
      <c r="D373">
        <v>0</v>
      </c>
      <c r="E373" t="s">
        <v>443</v>
      </c>
      <c r="F373">
        <v>190</v>
      </c>
      <c r="G373">
        <v>0</v>
      </c>
      <c r="H373" t="s">
        <v>837</v>
      </c>
      <c r="I373" t="s">
        <v>845</v>
      </c>
    </row>
    <row r="374" spans="2:9" x14ac:dyDescent="0.2">
      <c r="B374" t="s">
        <v>573</v>
      </c>
      <c r="C374" t="s">
        <v>574</v>
      </c>
      <c r="D374">
        <v>67.5</v>
      </c>
      <c r="E374" t="s">
        <v>443</v>
      </c>
      <c r="F374">
        <v>0</v>
      </c>
      <c r="G374">
        <v>0</v>
      </c>
      <c r="H374" t="s">
        <v>837</v>
      </c>
      <c r="I374" t="s">
        <v>845</v>
      </c>
    </row>
    <row r="375" spans="2:9" x14ac:dyDescent="0.2">
      <c r="B375" t="s">
        <v>575</v>
      </c>
      <c r="C375" t="s">
        <v>576</v>
      </c>
      <c r="D375">
        <v>118.5</v>
      </c>
      <c r="E375" t="s">
        <v>443</v>
      </c>
      <c r="F375">
        <v>0</v>
      </c>
      <c r="G375">
        <v>0</v>
      </c>
      <c r="H375" t="s">
        <v>837</v>
      </c>
      <c r="I375" t="s">
        <v>845</v>
      </c>
    </row>
    <row r="376" spans="2:9" x14ac:dyDescent="0.2">
      <c r="B376" t="s">
        <v>92</v>
      </c>
      <c r="C376" t="s">
        <v>380</v>
      </c>
      <c r="D376">
        <v>0</v>
      </c>
      <c r="E376" t="s">
        <v>443</v>
      </c>
      <c r="F376">
        <v>0</v>
      </c>
      <c r="G376">
        <v>0</v>
      </c>
      <c r="H376" t="s">
        <v>837</v>
      </c>
      <c r="I376" t="s">
        <v>845</v>
      </c>
    </row>
    <row r="377" spans="2:9" x14ac:dyDescent="0.2">
      <c r="B377" t="s">
        <v>93</v>
      </c>
      <c r="C377" t="s">
        <v>327</v>
      </c>
      <c r="D377">
        <v>0</v>
      </c>
      <c r="E377" t="s">
        <v>443</v>
      </c>
      <c r="F377">
        <v>70</v>
      </c>
      <c r="G377">
        <v>0</v>
      </c>
      <c r="H377" t="s">
        <v>837</v>
      </c>
      <c r="I377" t="s">
        <v>846</v>
      </c>
    </row>
    <row r="378" spans="2:9" x14ac:dyDescent="0.2">
      <c r="B378" t="s">
        <v>47</v>
      </c>
      <c r="C378" t="s">
        <v>328</v>
      </c>
      <c r="D378">
        <v>0</v>
      </c>
      <c r="E378" t="s">
        <v>443</v>
      </c>
      <c r="F378">
        <v>235</v>
      </c>
      <c r="G378">
        <v>0</v>
      </c>
      <c r="H378" t="s">
        <v>847</v>
      </c>
      <c r="I378" t="s">
        <v>836</v>
      </c>
    </row>
    <row r="379" spans="2:9" x14ac:dyDescent="0.2">
      <c r="B379" t="s">
        <v>49</v>
      </c>
      <c r="C379" t="s">
        <v>290</v>
      </c>
      <c r="D379">
        <v>0</v>
      </c>
      <c r="E379" t="s">
        <v>443</v>
      </c>
      <c r="F379">
        <v>248</v>
      </c>
      <c r="G379">
        <v>0</v>
      </c>
      <c r="H379" t="s">
        <v>847</v>
      </c>
      <c r="I379" t="s">
        <v>836</v>
      </c>
    </row>
    <row r="380" spans="2:9" x14ac:dyDescent="0.2">
      <c r="B380" t="s">
        <v>19</v>
      </c>
      <c r="C380" t="s">
        <v>329</v>
      </c>
      <c r="D380">
        <v>0</v>
      </c>
      <c r="E380" t="s">
        <v>408</v>
      </c>
      <c r="F380">
        <v>2.9</v>
      </c>
      <c r="G380">
        <v>0</v>
      </c>
      <c r="H380" t="s">
        <v>848</v>
      </c>
      <c r="I380" t="s">
        <v>836</v>
      </c>
    </row>
    <row r="381" spans="2:9" x14ac:dyDescent="0.2">
      <c r="B381" t="s">
        <v>20</v>
      </c>
      <c r="C381" t="s">
        <v>330</v>
      </c>
      <c r="D381">
        <v>0</v>
      </c>
      <c r="E381" t="s">
        <v>408</v>
      </c>
      <c r="F381">
        <v>2.9</v>
      </c>
      <c r="G381">
        <v>0</v>
      </c>
      <c r="H381" t="s">
        <v>848</v>
      </c>
      <c r="I381" t="s">
        <v>836</v>
      </c>
    </row>
    <row r="382" spans="2:9" x14ac:dyDescent="0.2">
      <c r="B382" t="s">
        <v>22</v>
      </c>
      <c r="C382" t="s">
        <v>331</v>
      </c>
      <c r="D382">
        <v>0</v>
      </c>
      <c r="E382" t="s">
        <v>408</v>
      </c>
      <c r="F382">
        <v>2.5</v>
      </c>
      <c r="G382">
        <v>0</v>
      </c>
      <c r="H382" t="s">
        <v>848</v>
      </c>
      <c r="I382" t="s">
        <v>836</v>
      </c>
    </row>
    <row r="383" spans="2:9" x14ac:dyDescent="0.2">
      <c r="B383" t="s">
        <v>23</v>
      </c>
      <c r="C383" t="s">
        <v>367</v>
      </c>
      <c r="D383">
        <v>0</v>
      </c>
      <c r="E383" t="s">
        <v>408</v>
      </c>
      <c r="F383">
        <v>2.5</v>
      </c>
      <c r="G383">
        <v>0</v>
      </c>
      <c r="H383" t="s">
        <v>848</v>
      </c>
      <c r="I383" t="s">
        <v>836</v>
      </c>
    </row>
    <row r="384" spans="2:9" x14ac:dyDescent="0.2">
      <c r="B384" t="s">
        <v>29</v>
      </c>
      <c r="C384" t="s">
        <v>292</v>
      </c>
      <c r="D384">
        <v>0</v>
      </c>
      <c r="E384" t="s">
        <v>589</v>
      </c>
      <c r="F384">
        <v>27</v>
      </c>
      <c r="G384">
        <v>0</v>
      </c>
      <c r="H384" t="s">
        <v>848</v>
      </c>
      <c r="I384" t="s">
        <v>836</v>
      </c>
    </row>
    <row r="385" spans="2:9" x14ac:dyDescent="0.2">
      <c r="B385" t="s">
        <v>30</v>
      </c>
      <c r="C385" t="s">
        <v>332</v>
      </c>
      <c r="D385">
        <v>0</v>
      </c>
      <c r="E385" t="s">
        <v>408</v>
      </c>
      <c r="F385">
        <v>6</v>
      </c>
      <c r="G385">
        <v>0</v>
      </c>
      <c r="H385" t="s">
        <v>848</v>
      </c>
      <c r="I385" t="s">
        <v>836</v>
      </c>
    </row>
    <row r="386" spans="2:9" x14ac:dyDescent="0.2">
      <c r="B386" t="s">
        <v>628</v>
      </c>
      <c r="C386" t="s">
        <v>629</v>
      </c>
      <c r="D386">
        <v>0</v>
      </c>
      <c r="E386" t="s">
        <v>408</v>
      </c>
      <c r="F386">
        <v>102.5</v>
      </c>
      <c r="G386">
        <v>0</v>
      </c>
      <c r="H386" t="s">
        <v>848</v>
      </c>
      <c r="I386" t="s">
        <v>836</v>
      </c>
    </row>
    <row r="387" spans="2:9" x14ac:dyDescent="0.2">
      <c r="B387" t="s">
        <v>660</v>
      </c>
      <c r="C387" t="s">
        <v>661</v>
      </c>
      <c r="D387">
        <v>0</v>
      </c>
      <c r="E387" t="s">
        <v>408</v>
      </c>
      <c r="F387">
        <v>15</v>
      </c>
      <c r="G387">
        <v>0</v>
      </c>
      <c r="H387" t="s">
        <v>848</v>
      </c>
      <c r="I387" t="s">
        <v>836</v>
      </c>
    </row>
    <row r="388" spans="2:9" x14ac:dyDescent="0.2">
      <c r="B388" t="s">
        <v>684</v>
      </c>
      <c r="C388" t="s">
        <v>685</v>
      </c>
      <c r="D388">
        <v>0</v>
      </c>
      <c r="E388" t="s">
        <v>408</v>
      </c>
      <c r="F388">
        <v>4.0999999999999996</v>
      </c>
      <c r="G388">
        <v>0</v>
      </c>
      <c r="H388" t="s">
        <v>848</v>
      </c>
      <c r="I388" t="s">
        <v>836</v>
      </c>
    </row>
    <row r="389" spans="2:9" x14ac:dyDescent="0.2">
      <c r="B389" t="s">
        <v>686</v>
      </c>
      <c r="C389" t="s">
        <v>687</v>
      </c>
      <c r="D389">
        <v>0</v>
      </c>
      <c r="E389" t="s">
        <v>408</v>
      </c>
      <c r="F389">
        <v>1</v>
      </c>
      <c r="G389">
        <v>0</v>
      </c>
      <c r="H389" t="s">
        <v>848</v>
      </c>
      <c r="I389" t="s">
        <v>836</v>
      </c>
    </row>
    <row r="390" spans="2:9" x14ac:dyDescent="0.2">
      <c r="B390" t="s">
        <v>704</v>
      </c>
      <c r="C390" t="s">
        <v>705</v>
      </c>
      <c r="D390">
        <v>0</v>
      </c>
      <c r="E390" t="s">
        <v>408</v>
      </c>
      <c r="F390">
        <v>1</v>
      </c>
      <c r="G390">
        <v>0</v>
      </c>
      <c r="H390" t="s">
        <v>848</v>
      </c>
      <c r="I390" t="s">
        <v>836</v>
      </c>
    </row>
    <row r="391" spans="2:9" x14ac:dyDescent="0.2">
      <c r="B391" t="s">
        <v>43</v>
      </c>
      <c r="C391" t="s">
        <v>300</v>
      </c>
      <c r="D391">
        <v>0</v>
      </c>
      <c r="E391" t="s">
        <v>408</v>
      </c>
      <c r="F391">
        <v>9.5</v>
      </c>
      <c r="G391">
        <v>0</v>
      </c>
      <c r="H391" t="s">
        <v>848</v>
      </c>
      <c r="I391" t="s">
        <v>836</v>
      </c>
    </row>
    <row r="392" spans="2:9" x14ac:dyDescent="0.2">
      <c r="B392" t="s">
        <v>101</v>
      </c>
      <c r="C392" t="s">
        <v>333</v>
      </c>
      <c r="D392">
        <v>0</v>
      </c>
      <c r="E392" t="s">
        <v>443</v>
      </c>
      <c r="F392">
        <v>1200</v>
      </c>
      <c r="G392">
        <v>0</v>
      </c>
      <c r="H392" t="s">
        <v>849</v>
      </c>
      <c r="I392" t="s">
        <v>836</v>
      </c>
    </row>
    <row r="393" spans="2:9" x14ac:dyDescent="0.2">
      <c r="B393" t="s">
        <v>104</v>
      </c>
      <c r="C393" t="s">
        <v>343</v>
      </c>
      <c r="D393">
        <v>0</v>
      </c>
      <c r="E393" t="s">
        <v>443</v>
      </c>
      <c r="F393">
        <v>890</v>
      </c>
      <c r="G393">
        <v>0</v>
      </c>
      <c r="H393" t="s">
        <v>849</v>
      </c>
      <c r="I393" t="s">
        <v>836</v>
      </c>
    </row>
    <row r="394" spans="2:9" x14ac:dyDescent="0.2">
      <c r="B394" t="s">
        <v>712</v>
      </c>
      <c r="C394" t="s">
        <v>713</v>
      </c>
      <c r="D394">
        <v>0</v>
      </c>
      <c r="E394" t="s">
        <v>443</v>
      </c>
      <c r="F394">
        <v>890</v>
      </c>
      <c r="G394">
        <v>0</v>
      </c>
      <c r="H394" t="s">
        <v>849</v>
      </c>
      <c r="I394" t="s">
        <v>836</v>
      </c>
    </row>
    <row r="395" spans="2:9" x14ac:dyDescent="0.2">
      <c r="B395" t="s">
        <v>714</v>
      </c>
      <c r="C395" t="s">
        <v>715</v>
      </c>
      <c r="D395">
        <v>0</v>
      </c>
      <c r="E395" t="s">
        <v>443</v>
      </c>
      <c r="F395">
        <v>890</v>
      </c>
      <c r="G395">
        <v>0</v>
      </c>
      <c r="H395" t="s">
        <v>849</v>
      </c>
      <c r="I395" t="s">
        <v>836</v>
      </c>
    </row>
    <row r="396" spans="2:9" x14ac:dyDescent="0.2">
      <c r="B396" t="s">
        <v>716</v>
      </c>
      <c r="C396" t="s">
        <v>717</v>
      </c>
      <c r="D396">
        <v>0</v>
      </c>
      <c r="E396" t="s">
        <v>443</v>
      </c>
      <c r="F396">
        <v>890</v>
      </c>
      <c r="G396">
        <v>0</v>
      </c>
      <c r="H396" t="s">
        <v>849</v>
      </c>
      <c r="I396" t="s">
        <v>836</v>
      </c>
    </row>
    <row r="397" spans="2:9" x14ac:dyDescent="0.2">
      <c r="B397" t="s">
        <v>718</v>
      </c>
      <c r="C397" t="s">
        <v>719</v>
      </c>
      <c r="D397">
        <v>0</v>
      </c>
      <c r="E397" t="s">
        <v>443</v>
      </c>
      <c r="F397">
        <v>890</v>
      </c>
      <c r="G397">
        <v>0</v>
      </c>
      <c r="H397" t="s">
        <v>849</v>
      </c>
      <c r="I397" t="s">
        <v>836</v>
      </c>
    </row>
    <row r="398" spans="2:9" x14ac:dyDescent="0.2">
      <c r="B398" t="s">
        <v>720</v>
      </c>
      <c r="C398" t="s">
        <v>721</v>
      </c>
      <c r="D398">
        <v>0</v>
      </c>
      <c r="E398" t="s">
        <v>443</v>
      </c>
      <c r="F398">
        <v>890</v>
      </c>
      <c r="G398">
        <v>0</v>
      </c>
      <c r="H398" t="s">
        <v>849</v>
      </c>
      <c r="I398" t="s">
        <v>836</v>
      </c>
    </row>
    <row r="399" spans="2:9" x14ac:dyDescent="0.2">
      <c r="B399" t="s">
        <v>121</v>
      </c>
      <c r="C399" t="s">
        <v>301</v>
      </c>
      <c r="D399">
        <v>0</v>
      </c>
      <c r="E399" t="s">
        <v>408</v>
      </c>
      <c r="F399">
        <v>0.95</v>
      </c>
      <c r="G399">
        <v>0</v>
      </c>
      <c r="H399" t="s">
        <v>405</v>
      </c>
      <c r="I399" t="s">
        <v>836</v>
      </c>
    </row>
    <row r="400" spans="2:9" x14ac:dyDescent="0.2">
      <c r="B400" t="s">
        <v>122</v>
      </c>
      <c r="C400" t="s">
        <v>302</v>
      </c>
      <c r="D400">
        <v>0</v>
      </c>
      <c r="E400" t="s">
        <v>408</v>
      </c>
      <c r="F400">
        <v>4.2</v>
      </c>
      <c r="G400">
        <v>0</v>
      </c>
      <c r="H400" t="s">
        <v>405</v>
      </c>
      <c r="I400" t="s">
        <v>836</v>
      </c>
    </row>
    <row r="401" spans="2:9" x14ac:dyDescent="0.2">
      <c r="B401" t="s">
        <v>722</v>
      </c>
      <c r="C401" t="s">
        <v>723</v>
      </c>
      <c r="D401">
        <v>0</v>
      </c>
      <c r="E401" t="s">
        <v>408</v>
      </c>
      <c r="F401">
        <v>16.8</v>
      </c>
      <c r="G401">
        <v>0</v>
      </c>
      <c r="H401" t="s">
        <v>405</v>
      </c>
      <c r="I401" t="s">
        <v>836</v>
      </c>
    </row>
    <row r="402" spans="2:9" x14ac:dyDescent="0.2">
      <c r="B402" t="s">
        <v>726</v>
      </c>
      <c r="C402" t="s">
        <v>727</v>
      </c>
      <c r="D402">
        <v>0</v>
      </c>
      <c r="E402" t="s">
        <v>408</v>
      </c>
      <c r="F402">
        <v>0</v>
      </c>
      <c r="G402">
        <v>0</v>
      </c>
      <c r="H402" t="s">
        <v>405</v>
      </c>
      <c r="I402" t="s">
        <v>836</v>
      </c>
    </row>
    <row r="403" spans="2:9" x14ac:dyDescent="0.2">
      <c r="B403" t="s">
        <v>728</v>
      </c>
      <c r="C403" t="s">
        <v>729</v>
      </c>
      <c r="D403">
        <v>0</v>
      </c>
      <c r="E403" t="s">
        <v>408</v>
      </c>
      <c r="F403">
        <v>0.26</v>
      </c>
      <c r="G403">
        <v>0</v>
      </c>
      <c r="H403" t="s">
        <v>405</v>
      </c>
      <c r="I403" t="s">
        <v>836</v>
      </c>
    </row>
    <row r="404" spans="2:9" x14ac:dyDescent="0.2">
      <c r="B404" t="s">
        <v>730</v>
      </c>
      <c r="C404" t="s">
        <v>731</v>
      </c>
      <c r="D404">
        <v>0</v>
      </c>
      <c r="E404" t="s">
        <v>408</v>
      </c>
      <c r="F404">
        <v>0</v>
      </c>
      <c r="G404">
        <v>0</v>
      </c>
      <c r="H404" t="s">
        <v>405</v>
      </c>
      <c r="I404" t="s">
        <v>836</v>
      </c>
    </row>
    <row r="405" spans="2:9" x14ac:dyDescent="0.2">
      <c r="B405" t="s">
        <v>4</v>
      </c>
      <c r="C405" t="s">
        <v>304</v>
      </c>
      <c r="D405">
        <v>0</v>
      </c>
      <c r="E405" t="s">
        <v>589</v>
      </c>
      <c r="F405">
        <v>10.1</v>
      </c>
      <c r="G405">
        <v>0</v>
      </c>
      <c r="H405" t="s">
        <v>850</v>
      </c>
      <c r="I405" t="s">
        <v>836</v>
      </c>
    </row>
    <row r="406" spans="2:9" x14ac:dyDescent="0.2">
      <c r="B406" t="s">
        <v>5</v>
      </c>
      <c r="C406" t="s">
        <v>305</v>
      </c>
      <c r="D406">
        <v>0</v>
      </c>
      <c r="E406" t="s">
        <v>589</v>
      </c>
      <c r="F406">
        <v>11.5</v>
      </c>
      <c r="G406">
        <v>0</v>
      </c>
      <c r="H406" t="s">
        <v>850</v>
      </c>
      <c r="I406" t="s">
        <v>836</v>
      </c>
    </row>
    <row r="407" spans="2:9" x14ac:dyDescent="0.2">
      <c r="B407" t="s">
        <v>8</v>
      </c>
      <c r="C407" t="s">
        <v>375</v>
      </c>
      <c r="D407">
        <v>0</v>
      </c>
      <c r="E407" t="s">
        <v>589</v>
      </c>
      <c r="F407">
        <v>3.7</v>
      </c>
      <c r="G407">
        <v>0</v>
      </c>
      <c r="H407" t="s">
        <v>850</v>
      </c>
      <c r="I407" t="s">
        <v>836</v>
      </c>
    </row>
    <row r="408" spans="2:9" x14ac:dyDescent="0.2">
      <c r="B408" t="s">
        <v>732</v>
      </c>
      <c r="C408" t="s">
        <v>733</v>
      </c>
      <c r="D408">
        <v>0</v>
      </c>
      <c r="E408" t="s">
        <v>589</v>
      </c>
      <c r="F408">
        <v>13.9</v>
      </c>
      <c r="G408">
        <v>0</v>
      </c>
      <c r="H408" t="s">
        <v>850</v>
      </c>
      <c r="I408" t="s">
        <v>836</v>
      </c>
    </row>
    <row r="409" spans="2:9" x14ac:dyDescent="0.2">
      <c r="B409" t="s">
        <v>814</v>
      </c>
      <c r="C409" t="s">
        <v>815</v>
      </c>
      <c r="D409">
        <v>200</v>
      </c>
      <c r="E409" t="s">
        <v>589</v>
      </c>
      <c r="F409">
        <v>0</v>
      </c>
      <c r="G409">
        <v>0</v>
      </c>
      <c r="H409" t="s">
        <v>850</v>
      </c>
      <c r="I409" t="s">
        <v>836</v>
      </c>
    </row>
    <row r="410" spans="2:9" x14ac:dyDescent="0.2">
      <c r="B410" t="s">
        <v>816</v>
      </c>
      <c r="C410" t="s">
        <v>817</v>
      </c>
      <c r="D410">
        <v>12</v>
      </c>
      <c r="E410" t="s">
        <v>589</v>
      </c>
      <c r="F410">
        <v>0</v>
      </c>
      <c r="G410">
        <v>0</v>
      </c>
      <c r="H410" t="s">
        <v>850</v>
      </c>
      <c r="I410" t="s">
        <v>836</v>
      </c>
    </row>
    <row r="411" spans="2:9" x14ac:dyDescent="0.2">
      <c r="B411" t="s">
        <v>16</v>
      </c>
      <c r="C411" t="s">
        <v>312</v>
      </c>
      <c r="D411">
        <v>0</v>
      </c>
      <c r="E411" t="s">
        <v>589</v>
      </c>
      <c r="F411">
        <v>30</v>
      </c>
      <c r="G411">
        <v>0</v>
      </c>
      <c r="H411" t="s">
        <v>850</v>
      </c>
      <c r="I411" t="s">
        <v>836</v>
      </c>
    </row>
    <row r="412" spans="2:9" x14ac:dyDescent="0.2">
      <c r="B412" t="s">
        <v>826</v>
      </c>
      <c r="C412" t="s">
        <v>827</v>
      </c>
      <c r="D412">
        <v>0</v>
      </c>
      <c r="E412" t="s">
        <v>589</v>
      </c>
      <c r="F412">
        <v>30</v>
      </c>
      <c r="G412">
        <v>0</v>
      </c>
      <c r="H412" t="s">
        <v>850</v>
      </c>
      <c r="I412" t="s">
        <v>836</v>
      </c>
    </row>
    <row r="413" spans="2:9" x14ac:dyDescent="0.2">
      <c r="B413" t="s">
        <v>105</v>
      </c>
      <c r="C413" t="s">
        <v>313</v>
      </c>
      <c r="D413">
        <v>0</v>
      </c>
      <c r="E413" t="s">
        <v>589</v>
      </c>
      <c r="F413">
        <v>0.1</v>
      </c>
      <c r="G413">
        <v>0</v>
      </c>
      <c r="H413" t="s">
        <v>851</v>
      </c>
      <c r="I413" t="s">
        <v>836</v>
      </c>
    </row>
    <row r="414" spans="2:9" x14ac:dyDescent="0.2">
      <c r="B414" t="s">
        <v>108</v>
      </c>
      <c r="C414" t="s">
        <v>323</v>
      </c>
      <c r="D414">
        <v>0</v>
      </c>
      <c r="E414" t="s">
        <v>589</v>
      </c>
      <c r="F414">
        <v>0.1</v>
      </c>
      <c r="G414">
        <v>0</v>
      </c>
      <c r="H414" t="s">
        <v>851</v>
      </c>
      <c r="I414" t="s">
        <v>836</v>
      </c>
    </row>
    <row r="415" spans="2:9" x14ac:dyDescent="0.2">
      <c r="B415" t="s">
        <v>111</v>
      </c>
      <c r="C415" t="s">
        <v>320</v>
      </c>
      <c r="D415">
        <v>0</v>
      </c>
      <c r="E415" t="s">
        <v>589</v>
      </c>
      <c r="F415">
        <v>0.1</v>
      </c>
      <c r="G415">
        <v>0</v>
      </c>
      <c r="H415" t="s">
        <v>851</v>
      </c>
      <c r="I415" t="s">
        <v>836</v>
      </c>
    </row>
    <row r="416" spans="2:9" x14ac:dyDescent="0.2">
      <c r="B416" t="s">
        <v>117</v>
      </c>
      <c r="C416" t="s">
        <v>352</v>
      </c>
      <c r="D416">
        <v>0</v>
      </c>
      <c r="E416" t="s">
        <v>589</v>
      </c>
      <c r="F416">
        <v>0.1</v>
      </c>
      <c r="G416">
        <v>0</v>
      </c>
      <c r="H416" t="s">
        <v>851</v>
      </c>
      <c r="I416" t="s">
        <v>836</v>
      </c>
    </row>
    <row r="417" spans="2:9" x14ac:dyDescent="0.2">
      <c r="B417" t="s">
        <v>120</v>
      </c>
      <c r="C417" t="s">
        <v>340</v>
      </c>
      <c r="D417">
        <v>0</v>
      </c>
      <c r="E417" t="s">
        <v>589</v>
      </c>
      <c r="F417">
        <v>0.1</v>
      </c>
      <c r="G417">
        <v>0</v>
      </c>
      <c r="H417" t="s">
        <v>851</v>
      </c>
      <c r="I417" t="s">
        <v>836</v>
      </c>
    </row>
  </sheetData>
  <mergeCells count="1">
    <mergeCell ref="L2:M2"/>
  </mergeCells>
  <phoneticPr fontId="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9EB4-D979-4FF5-9F55-C6D4FD456AC7}">
  <sheetPr codeName="Sheet5"/>
  <dimension ref="B1:G5"/>
  <sheetViews>
    <sheetView showGridLines="0" workbookViewId="0">
      <selection activeCell="D12" sqref="D12"/>
    </sheetView>
  </sheetViews>
  <sheetFormatPr defaultRowHeight="12.75" x14ac:dyDescent="0.2"/>
  <cols>
    <col min="2" max="2" width="14" bestFit="1" customWidth="1"/>
    <col min="3" max="3" width="14.7109375" bestFit="1" customWidth="1"/>
    <col min="4" max="4" width="14" bestFit="1" customWidth="1"/>
    <col min="5" max="5" width="11.140625" bestFit="1" customWidth="1"/>
    <col min="6" max="6" width="25.140625" bestFit="1" customWidth="1"/>
    <col min="7" max="7" width="22.42578125" bestFit="1" customWidth="1"/>
  </cols>
  <sheetData>
    <row r="1" spans="2:7" ht="24" customHeight="1" x14ac:dyDescent="0.2"/>
    <row r="2" spans="2:7" ht="18.75" x14ac:dyDescent="0.3">
      <c r="E2" s="10" t="s">
        <v>279</v>
      </c>
      <c r="F2" s="19">
        <f>SUBTOTAL(9,Query1[Value_without labor CZK])</f>
        <v>0</v>
      </c>
      <c r="G2" s="19">
        <f>SUBTOTAL(9,Query1[Value_with labor CZK])</f>
        <v>0</v>
      </c>
    </row>
    <row r="3" spans="2:7" ht="24" customHeight="1" x14ac:dyDescent="0.2"/>
    <row r="4" spans="2:7" x14ac:dyDescent="0.2">
      <c r="B4" s="18" t="s">
        <v>273</v>
      </c>
      <c r="C4" s="18" t="s">
        <v>271</v>
      </c>
      <c r="D4" s="18" t="s">
        <v>852</v>
      </c>
      <c r="E4" s="18" t="s">
        <v>853</v>
      </c>
      <c r="F4" s="17" t="s">
        <v>854</v>
      </c>
      <c r="G4" s="17" t="s">
        <v>855</v>
      </c>
    </row>
    <row r="5" spans="2:7" x14ac:dyDescent="0.2">
      <c r="F5" s="13"/>
      <c r="G5" s="1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5EB0F-EC9C-4E88-AB80-1A8910B21192}">
  <sheetPr codeName="Sheet4"/>
  <dimension ref="A1:W3609"/>
  <sheetViews>
    <sheetView topLeftCell="F1" workbookViewId="0">
      <selection activeCell="T2" sqref="T2"/>
    </sheetView>
  </sheetViews>
  <sheetFormatPr defaultRowHeight="12.75" x14ac:dyDescent="0.2"/>
  <cols>
    <col min="1" max="1" width="26.7109375" bestFit="1" customWidth="1"/>
    <col min="2" max="2" width="11.7109375" bestFit="1" customWidth="1"/>
    <col min="3" max="3" width="12" bestFit="1" customWidth="1"/>
    <col min="4" max="4" width="42.42578125" bestFit="1" customWidth="1"/>
    <col min="5" max="5" width="6" bestFit="1" customWidth="1"/>
    <col min="6" max="6" width="8.28515625" bestFit="1" customWidth="1"/>
    <col min="7" max="7" width="8" bestFit="1" customWidth="1"/>
    <col min="9" max="9" width="26.7109375" bestFit="1" customWidth="1"/>
    <col min="10" max="10" width="11.7109375" customWidth="1"/>
    <col min="12" max="12" width="17.42578125" bestFit="1" customWidth="1"/>
    <col min="14" max="14" width="13.5703125" bestFit="1" customWidth="1"/>
    <col min="17" max="17" width="7.140625" customWidth="1"/>
    <col min="18" max="18" width="19.42578125" bestFit="1" customWidth="1"/>
    <col min="20" max="20" width="11.7109375" bestFit="1" customWidth="1"/>
    <col min="21" max="21" width="6.85546875" bestFit="1" customWidth="1"/>
    <col min="22" max="22" width="19.42578125" bestFit="1" customWidth="1"/>
    <col min="23" max="23" width="4.85546875" customWidth="1"/>
  </cols>
  <sheetData>
    <row r="1" spans="1:23" x14ac:dyDescent="0.2">
      <c r="A1" t="s">
        <v>271</v>
      </c>
      <c r="B1" t="s">
        <v>273</v>
      </c>
      <c r="C1" t="s">
        <v>0</v>
      </c>
      <c r="D1" t="s">
        <v>1</v>
      </c>
      <c r="E1" t="s">
        <v>191</v>
      </c>
      <c r="F1" t="s">
        <v>274</v>
      </c>
      <c r="G1" t="s">
        <v>275</v>
      </c>
      <c r="I1" t="s">
        <v>271</v>
      </c>
      <c r="J1" t="s">
        <v>273</v>
      </c>
      <c r="L1" s="2" t="s">
        <v>273</v>
      </c>
      <c r="N1" t="s">
        <v>1</v>
      </c>
      <c r="R1" t="s">
        <v>1</v>
      </c>
      <c r="T1" t="s">
        <v>273</v>
      </c>
      <c r="U1" t="s">
        <v>277</v>
      </c>
      <c r="V1" t="s">
        <v>1</v>
      </c>
      <c r="W1" t="s">
        <v>278</v>
      </c>
    </row>
    <row r="2" spans="1:23" x14ac:dyDescent="0.2">
      <c r="A2" t="s">
        <v>150</v>
      </c>
      <c r="B2" t="s">
        <v>267</v>
      </c>
      <c r="C2" t="s">
        <v>94</v>
      </c>
      <c r="D2" t="s">
        <v>280</v>
      </c>
      <c r="E2">
        <v>1</v>
      </c>
      <c r="F2">
        <v>3.5</v>
      </c>
      <c r="G2">
        <v>3.5</v>
      </c>
      <c r="I2" t="s">
        <v>150</v>
      </c>
      <c r="J2" t="s">
        <v>267</v>
      </c>
      <c r="L2" s="1" t="s">
        <v>260</v>
      </c>
      <c r="N2" t="s">
        <v>401</v>
      </c>
      <c r="R2" t="s">
        <v>1051</v>
      </c>
      <c r="T2" t="s">
        <v>857</v>
      </c>
      <c r="U2" t="s">
        <v>1042</v>
      </c>
      <c r="V2" t="s">
        <v>401</v>
      </c>
      <c r="W2">
        <v>50</v>
      </c>
    </row>
    <row r="3" spans="1:23" x14ac:dyDescent="0.2">
      <c r="A3" t="s">
        <v>150</v>
      </c>
      <c r="B3" t="s">
        <v>267</v>
      </c>
      <c r="C3" t="s">
        <v>95</v>
      </c>
      <c r="D3" t="s">
        <v>281</v>
      </c>
      <c r="E3">
        <v>3</v>
      </c>
      <c r="F3">
        <v>2</v>
      </c>
      <c r="G3">
        <v>6</v>
      </c>
      <c r="I3" t="s">
        <v>962</v>
      </c>
      <c r="J3" t="s">
        <v>226</v>
      </c>
      <c r="N3" t="s">
        <v>272</v>
      </c>
      <c r="R3" t="s">
        <v>1052</v>
      </c>
      <c r="T3" t="s">
        <v>857</v>
      </c>
      <c r="U3" t="s">
        <v>1043</v>
      </c>
      <c r="V3" t="s">
        <v>272</v>
      </c>
      <c r="W3">
        <v>120</v>
      </c>
    </row>
    <row r="4" spans="1:23" x14ac:dyDescent="0.2">
      <c r="A4" t="s">
        <v>150</v>
      </c>
      <c r="B4" t="s">
        <v>267</v>
      </c>
      <c r="C4" t="s">
        <v>44</v>
      </c>
      <c r="D4" t="s">
        <v>324</v>
      </c>
      <c r="E4">
        <v>0.25</v>
      </c>
      <c r="F4">
        <v>65</v>
      </c>
      <c r="G4">
        <v>16.25</v>
      </c>
      <c r="I4" t="s">
        <v>968</v>
      </c>
      <c r="J4" t="s">
        <v>213</v>
      </c>
      <c r="N4" t="s">
        <v>405</v>
      </c>
      <c r="R4" t="s">
        <v>1053</v>
      </c>
      <c r="T4" t="s">
        <v>857</v>
      </c>
      <c r="U4" t="s">
        <v>1044</v>
      </c>
      <c r="V4" t="s">
        <v>405</v>
      </c>
      <c r="W4">
        <v>120</v>
      </c>
    </row>
    <row r="5" spans="1:23" x14ac:dyDescent="0.2">
      <c r="A5" t="s">
        <v>150</v>
      </c>
      <c r="B5" t="s">
        <v>267</v>
      </c>
      <c r="C5" t="s">
        <v>52</v>
      </c>
      <c r="D5" t="s">
        <v>321</v>
      </c>
      <c r="E5">
        <v>0.7</v>
      </c>
      <c r="F5">
        <v>120</v>
      </c>
      <c r="G5">
        <v>84</v>
      </c>
      <c r="I5" t="s">
        <v>963</v>
      </c>
      <c r="J5" t="s">
        <v>220</v>
      </c>
      <c r="N5" t="s">
        <v>402</v>
      </c>
      <c r="R5" t="s">
        <v>1054</v>
      </c>
      <c r="T5" t="s">
        <v>857</v>
      </c>
      <c r="U5" t="s">
        <v>1045</v>
      </c>
      <c r="V5" t="s">
        <v>402</v>
      </c>
      <c r="W5">
        <v>120</v>
      </c>
    </row>
    <row r="6" spans="1:23" x14ac:dyDescent="0.2">
      <c r="A6" t="s">
        <v>150</v>
      </c>
      <c r="B6" t="s">
        <v>267</v>
      </c>
      <c r="C6" t="s">
        <v>60</v>
      </c>
      <c r="D6" t="s">
        <v>337</v>
      </c>
      <c r="E6">
        <v>0.02</v>
      </c>
      <c r="F6">
        <v>130</v>
      </c>
      <c r="G6">
        <v>2.6</v>
      </c>
      <c r="I6" t="s">
        <v>969</v>
      </c>
      <c r="J6" t="s">
        <v>201</v>
      </c>
      <c r="R6" t="s">
        <v>1055</v>
      </c>
      <c r="T6" t="s">
        <v>857</v>
      </c>
      <c r="U6" t="s">
        <v>1046</v>
      </c>
      <c r="V6" t="s">
        <v>1051</v>
      </c>
      <c r="W6">
        <v>120</v>
      </c>
    </row>
    <row r="7" spans="1:23" x14ac:dyDescent="0.2">
      <c r="A7" t="s">
        <v>150</v>
      </c>
      <c r="B7" t="s">
        <v>267</v>
      </c>
      <c r="C7" t="s">
        <v>61</v>
      </c>
      <c r="D7" t="s">
        <v>341</v>
      </c>
      <c r="E7">
        <v>1.125</v>
      </c>
      <c r="F7">
        <v>190</v>
      </c>
      <c r="G7">
        <v>213.75</v>
      </c>
      <c r="I7" t="s">
        <v>965</v>
      </c>
      <c r="J7" t="s">
        <v>221</v>
      </c>
      <c r="T7" t="s">
        <v>857</v>
      </c>
      <c r="U7" t="s">
        <v>1047</v>
      </c>
      <c r="V7" t="s">
        <v>1052</v>
      </c>
      <c r="W7">
        <v>120</v>
      </c>
    </row>
    <row r="8" spans="1:23" x14ac:dyDescent="0.2">
      <c r="A8" t="s">
        <v>150</v>
      </c>
      <c r="B8" t="s">
        <v>267</v>
      </c>
      <c r="C8" t="s">
        <v>69</v>
      </c>
      <c r="D8" t="s">
        <v>288</v>
      </c>
      <c r="E8">
        <v>0.22</v>
      </c>
      <c r="F8">
        <v>190</v>
      </c>
      <c r="G8">
        <v>41.8</v>
      </c>
      <c r="I8" t="s">
        <v>971</v>
      </c>
      <c r="J8" t="s">
        <v>266</v>
      </c>
      <c r="T8" t="s">
        <v>857</v>
      </c>
      <c r="U8" t="s">
        <v>1048</v>
      </c>
      <c r="V8" t="s">
        <v>1053</v>
      </c>
      <c r="W8">
        <v>120</v>
      </c>
    </row>
    <row r="9" spans="1:23" x14ac:dyDescent="0.2">
      <c r="A9" t="s">
        <v>150</v>
      </c>
      <c r="B9" t="s">
        <v>267</v>
      </c>
      <c r="C9" t="s">
        <v>47</v>
      </c>
      <c r="D9" t="s">
        <v>328</v>
      </c>
      <c r="E9">
        <v>0.12</v>
      </c>
      <c r="F9">
        <v>235</v>
      </c>
      <c r="G9">
        <v>28.2</v>
      </c>
      <c r="I9" t="s">
        <v>967</v>
      </c>
      <c r="J9" t="s">
        <v>268</v>
      </c>
      <c r="T9" t="s">
        <v>857</v>
      </c>
      <c r="U9" t="s">
        <v>1049</v>
      </c>
      <c r="V9" t="s">
        <v>1054</v>
      </c>
      <c r="W9">
        <v>120</v>
      </c>
    </row>
    <row r="10" spans="1:23" x14ac:dyDescent="0.2">
      <c r="A10" t="s">
        <v>150</v>
      </c>
      <c r="B10" t="s">
        <v>267</v>
      </c>
      <c r="C10" t="s">
        <v>48</v>
      </c>
      <c r="D10" t="s">
        <v>359</v>
      </c>
      <c r="E10">
        <v>7.4999999999999997E-2</v>
      </c>
      <c r="F10">
        <v>412</v>
      </c>
      <c r="G10">
        <v>30.9</v>
      </c>
      <c r="I10" t="s">
        <v>964</v>
      </c>
      <c r="J10" t="s">
        <v>222</v>
      </c>
      <c r="T10" t="s">
        <v>857</v>
      </c>
      <c r="U10" t="s">
        <v>1050</v>
      </c>
      <c r="V10" t="s">
        <v>1055</v>
      </c>
      <c r="W10">
        <v>120</v>
      </c>
    </row>
    <row r="11" spans="1:23" x14ac:dyDescent="0.2">
      <c r="A11" t="s">
        <v>150</v>
      </c>
      <c r="B11" t="s">
        <v>267</v>
      </c>
      <c r="C11" t="s">
        <v>19</v>
      </c>
      <c r="D11" t="s">
        <v>329</v>
      </c>
      <c r="E11">
        <v>3</v>
      </c>
      <c r="F11">
        <v>2.9</v>
      </c>
      <c r="G11">
        <v>8.6999999999999993</v>
      </c>
      <c r="I11" t="s">
        <v>970</v>
      </c>
      <c r="J11" t="s">
        <v>218</v>
      </c>
      <c r="T11" t="s">
        <v>859</v>
      </c>
      <c r="U11" t="s">
        <v>1042</v>
      </c>
      <c r="V11" t="s">
        <v>401</v>
      </c>
      <c r="W11">
        <v>50</v>
      </c>
    </row>
    <row r="12" spans="1:23" x14ac:dyDescent="0.2">
      <c r="A12" t="s">
        <v>150</v>
      </c>
      <c r="B12" t="s">
        <v>267</v>
      </c>
      <c r="C12" t="s">
        <v>20</v>
      </c>
      <c r="D12" t="s">
        <v>330</v>
      </c>
      <c r="E12">
        <v>3</v>
      </c>
      <c r="F12">
        <v>2.9</v>
      </c>
      <c r="G12">
        <v>8.6999999999999993</v>
      </c>
      <c r="I12" t="s">
        <v>966</v>
      </c>
      <c r="J12" t="s">
        <v>269</v>
      </c>
      <c r="T12" t="s">
        <v>859</v>
      </c>
      <c r="U12" t="s">
        <v>1043</v>
      </c>
      <c r="V12" t="s">
        <v>272</v>
      </c>
      <c r="W12">
        <v>1</v>
      </c>
    </row>
    <row r="13" spans="1:23" x14ac:dyDescent="0.2">
      <c r="A13" t="s">
        <v>150</v>
      </c>
      <c r="B13" t="s">
        <v>267</v>
      </c>
      <c r="C13" t="s">
        <v>24</v>
      </c>
      <c r="D13" t="s">
        <v>360</v>
      </c>
      <c r="E13">
        <v>2</v>
      </c>
      <c r="F13">
        <v>2.2000000000000002</v>
      </c>
      <c r="G13">
        <v>4.4000000000000004</v>
      </c>
      <c r="I13" t="s">
        <v>856</v>
      </c>
      <c r="J13" t="s">
        <v>857</v>
      </c>
      <c r="T13" t="s">
        <v>859</v>
      </c>
      <c r="U13" t="s">
        <v>1044</v>
      </c>
      <c r="V13" t="s">
        <v>405</v>
      </c>
      <c r="W13">
        <v>100</v>
      </c>
    </row>
    <row r="14" spans="1:23" x14ac:dyDescent="0.2">
      <c r="A14" t="s">
        <v>150</v>
      </c>
      <c r="B14" t="s">
        <v>267</v>
      </c>
      <c r="C14" t="s">
        <v>26</v>
      </c>
      <c r="D14" t="s">
        <v>361</v>
      </c>
      <c r="E14">
        <v>4</v>
      </c>
      <c r="F14">
        <v>1.5</v>
      </c>
      <c r="G14">
        <v>6</v>
      </c>
      <c r="I14" t="s">
        <v>860</v>
      </c>
      <c r="J14" t="s">
        <v>861</v>
      </c>
      <c r="T14" t="s">
        <v>859</v>
      </c>
      <c r="U14" t="s">
        <v>1045</v>
      </c>
      <c r="V14" t="s">
        <v>402</v>
      </c>
      <c r="W14">
        <v>60</v>
      </c>
    </row>
    <row r="15" spans="1:23" x14ac:dyDescent="0.2">
      <c r="A15" t="s">
        <v>150</v>
      </c>
      <c r="B15" t="s">
        <v>267</v>
      </c>
      <c r="C15" t="s">
        <v>29</v>
      </c>
      <c r="D15" t="s">
        <v>292</v>
      </c>
      <c r="E15">
        <v>1.6</v>
      </c>
      <c r="F15">
        <v>27</v>
      </c>
      <c r="G15">
        <v>43.2</v>
      </c>
      <c r="I15" t="s">
        <v>858</v>
      </c>
      <c r="J15" t="s">
        <v>859</v>
      </c>
      <c r="T15" t="s">
        <v>859</v>
      </c>
      <c r="U15" t="s">
        <v>1046</v>
      </c>
      <c r="V15" t="s">
        <v>1051</v>
      </c>
      <c r="W15">
        <v>70</v>
      </c>
    </row>
    <row r="16" spans="1:23" x14ac:dyDescent="0.2">
      <c r="A16" t="s">
        <v>150</v>
      </c>
      <c r="B16" t="s">
        <v>267</v>
      </c>
      <c r="C16" t="s">
        <v>31</v>
      </c>
      <c r="D16" t="s">
        <v>293</v>
      </c>
      <c r="E16">
        <v>4</v>
      </c>
      <c r="F16">
        <v>5</v>
      </c>
      <c r="G16">
        <v>20</v>
      </c>
      <c r="I16" t="s">
        <v>956</v>
      </c>
      <c r="J16" t="s">
        <v>219</v>
      </c>
      <c r="T16" t="s">
        <v>859</v>
      </c>
      <c r="U16" t="s">
        <v>1047</v>
      </c>
      <c r="V16" t="s">
        <v>1052</v>
      </c>
      <c r="W16">
        <v>70</v>
      </c>
    </row>
    <row r="17" spans="1:23" x14ac:dyDescent="0.2">
      <c r="A17" t="s">
        <v>150</v>
      </c>
      <c r="B17" t="s">
        <v>267</v>
      </c>
      <c r="C17" t="s">
        <v>590</v>
      </c>
      <c r="D17" t="s">
        <v>591</v>
      </c>
      <c r="E17">
        <v>1</v>
      </c>
      <c r="F17">
        <v>2.8</v>
      </c>
      <c r="G17">
        <v>2.8</v>
      </c>
      <c r="I17" t="s">
        <v>957</v>
      </c>
      <c r="J17" t="s">
        <v>223</v>
      </c>
      <c r="T17" t="s">
        <v>859</v>
      </c>
      <c r="U17" t="s">
        <v>1048</v>
      </c>
      <c r="V17" t="s">
        <v>1053</v>
      </c>
      <c r="W17">
        <v>250</v>
      </c>
    </row>
    <row r="18" spans="1:23" x14ac:dyDescent="0.2">
      <c r="A18" t="s">
        <v>150</v>
      </c>
      <c r="B18" t="s">
        <v>267</v>
      </c>
      <c r="C18" t="s">
        <v>42</v>
      </c>
      <c r="D18" t="s">
        <v>299</v>
      </c>
      <c r="E18">
        <v>2</v>
      </c>
      <c r="F18">
        <v>2.5</v>
      </c>
      <c r="G18">
        <v>5</v>
      </c>
      <c r="I18" t="s">
        <v>958</v>
      </c>
      <c r="J18" t="s">
        <v>224</v>
      </c>
      <c r="T18" t="s">
        <v>859</v>
      </c>
      <c r="U18" t="s">
        <v>1049</v>
      </c>
      <c r="V18" t="s">
        <v>1054</v>
      </c>
      <c r="W18">
        <v>750</v>
      </c>
    </row>
    <row r="19" spans="1:23" x14ac:dyDescent="0.2">
      <c r="A19" t="s">
        <v>150</v>
      </c>
      <c r="B19" t="s">
        <v>267</v>
      </c>
      <c r="C19" t="s">
        <v>121</v>
      </c>
      <c r="D19" t="s">
        <v>301</v>
      </c>
      <c r="E19">
        <v>1</v>
      </c>
      <c r="F19">
        <v>0.95</v>
      </c>
      <c r="G19">
        <v>0.95</v>
      </c>
      <c r="I19" t="s">
        <v>961</v>
      </c>
      <c r="J19" t="s">
        <v>227</v>
      </c>
      <c r="T19" t="s">
        <v>859</v>
      </c>
      <c r="U19" t="s">
        <v>1050</v>
      </c>
      <c r="V19" t="s">
        <v>1055</v>
      </c>
      <c r="W19">
        <v>0</v>
      </c>
    </row>
    <row r="20" spans="1:23" x14ac:dyDescent="0.2">
      <c r="A20" t="s">
        <v>150</v>
      </c>
      <c r="B20" t="s">
        <v>267</v>
      </c>
      <c r="C20" t="s">
        <v>122</v>
      </c>
      <c r="D20" t="s">
        <v>302</v>
      </c>
      <c r="E20">
        <v>1</v>
      </c>
      <c r="F20">
        <v>4.2</v>
      </c>
      <c r="G20">
        <v>4.2</v>
      </c>
      <c r="I20" t="s">
        <v>959</v>
      </c>
      <c r="J20" t="s">
        <v>228</v>
      </c>
      <c r="T20" t="s">
        <v>861</v>
      </c>
      <c r="U20" t="s">
        <v>1042</v>
      </c>
      <c r="V20" t="s">
        <v>401</v>
      </c>
      <c r="W20">
        <v>50</v>
      </c>
    </row>
    <row r="21" spans="1:23" x14ac:dyDescent="0.2">
      <c r="A21" t="s">
        <v>150</v>
      </c>
      <c r="B21" t="s">
        <v>267</v>
      </c>
      <c r="C21" t="s">
        <v>2</v>
      </c>
      <c r="D21" t="s">
        <v>303</v>
      </c>
      <c r="E21">
        <v>1.3</v>
      </c>
      <c r="F21">
        <v>5.0999999999999996</v>
      </c>
      <c r="G21">
        <v>6.63</v>
      </c>
      <c r="I21" t="s">
        <v>960</v>
      </c>
      <c r="J21" t="s">
        <v>225</v>
      </c>
      <c r="T21" t="s">
        <v>861</v>
      </c>
      <c r="U21" t="s">
        <v>1043</v>
      </c>
      <c r="V21" t="s">
        <v>272</v>
      </c>
      <c r="W21">
        <v>1</v>
      </c>
    </row>
    <row r="22" spans="1:23" x14ac:dyDescent="0.2">
      <c r="A22" t="s">
        <v>150</v>
      </c>
      <c r="B22" t="s">
        <v>267</v>
      </c>
      <c r="C22" t="s">
        <v>4</v>
      </c>
      <c r="D22" t="s">
        <v>304</v>
      </c>
      <c r="E22">
        <v>3.2</v>
      </c>
      <c r="F22">
        <v>10.1</v>
      </c>
      <c r="G22">
        <v>32.32</v>
      </c>
      <c r="I22" t="s">
        <v>1032</v>
      </c>
      <c r="J22" t="s">
        <v>1033</v>
      </c>
      <c r="T22" t="s">
        <v>861</v>
      </c>
      <c r="U22" t="s">
        <v>1044</v>
      </c>
      <c r="V22" t="s">
        <v>405</v>
      </c>
      <c r="W22">
        <v>100</v>
      </c>
    </row>
    <row r="23" spans="1:23" x14ac:dyDescent="0.2">
      <c r="A23" t="s">
        <v>150</v>
      </c>
      <c r="B23" t="s">
        <v>267</v>
      </c>
      <c r="C23" t="s">
        <v>5</v>
      </c>
      <c r="D23" t="s">
        <v>305</v>
      </c>
      <c r="E23">
        <v>2.5</v>
      </c>
      <c r="F23">
        <v>11.5</v>
      </c>
      <c r="G23">
        <v>28.75</v>
      </c>
      <c r="I23" t="s">
        <v>954</v>
      </c>
      <c r="J23" t="s">
        <v>955</v>
      </c>
      <c r="T23" t="s">
        <v>861</v>
      </c>
      <c r="U23" t="s">
        <v>1045</v>
      </c>
      <c r="V23" t="s">
        <v>402</v>
      </c>
      <c r="W23">
        <v>60</v>
      </c>
    </row>
    <row r="24" spans="1:23" x14ac:dyDescent="0.2">
      <c r="A24" t="s">
        <v>150</v>
      </c>
      <c r="B24" t="s">
        <v>267</v>
      </c>
      <c r="C24" t="s">
        <v>6</v>
      </c>
      <c r="D24" t="s">
        <v>306</v>
      </c>
      <c r="E24">
        <v>0.8</v>
      </c>
      <c r="F24">
        <v>16.8</v>
      </c>
      <c r="G24">
        <v>13.44</v>
      </c>
      <c r="I24" t="s">
        <v>952</v>
      </c>
      <c r="J24" t="s">
        <v>953</v>
      </c>
      <c r="T24" t="s">
        <v>861</v>
      </c>
      <c r="U24" t="s">
        <v>1046</v>
      </c>
      <c r="V24" t="s">
        <v>1051</v>
      </c>
      <c r="W24">
        <v>70</v>
      </c>
    </row>
    <row r="25" spans="1:23" x14ac:dyDescent="0.2">
      <c r="A25" t="s">
        <v>150</v>
      </c>
      <c r="B25" t="s">
        <v>267</v>
      </c>
      <c r="C25" t="s">
        <v>13</v>
      </c>
      <c r="D25" t="s">
        <v>309</v>
      </c>
      <c r="E25">
        <v>3.5</v>
      </c>
      <c r="F25">
        <v>7</v>
      </c>
      <c r="G25">
        <v>24.5</v>
      </c>
      <c r="I25" t="s">
        <v>868</v>
      </c>
      <c r="J25" t="s">
        <v>869</v>
      </c>
      <c r="T25" t="s">
        <v>861</v>
      </c>
      <c r="U25" t="s">
        <v>1047</v>
      </c>
      <c r="V25" t="s">
        <v>1052</v>
      </c>
      <c r="W25">
        <v>70</v>
      </c>
    </row>
    <row r="26" spans="1:23" x14ac:dyDescent="0.2">
      <c r="A26" t="s">
        <v>150</v>
      </c>
      <c r="B26" t="s">
        <v>267</v>
      </c>
      <c r="C26" t="s">
        <v>105</v>
      </c>
      <c r="D26" t="s">
        <v>313</v>
      </c>
      <c r="E26">
        <v>200</v>
      </c>
      <c r="F26">
        <v>0.1</v>
      </c>
      <c r="G26">
        <v>20</v>
      </c>
      <c r="I26" t="s">
        <v>870</v>
      </c>
      <c r="J26" t="s">
        <v>871</v>
      </c>
      <c r="T26" t="s">
        <v>861</v>
      </c>
      <c r="U26" t="s">
        <v>1048</v>
      </c>
      <c r="V26" t="s">
        <v>1053</v>
      </c>
      <c r="W26">
        <v>250</v>
      </c>
    </row>
    <row r="27" spans="1:23" x14ac:dyDescent="0.2">
      <c r="A27" t="s">
        <v>150</v>
      </c>
      <c r="B27" t="s">
        <v>267</v>
      </c>
      <c r="C27" t="s">
        <v>108</v>
      </c>
      <c r="D27" t="s">
        <v>323</v>
      </c>
      <c r="E27">
        <v>30</v>
      </c>
      <c r="F27">
        <v>0.1</v>
      </c>
      <c r="G27">
        <v>3</v>
      </c>
      <c r="I27" t="s">
        <v>938</v>
      </c>
      <c r="J27" t="s">
        <v>939</v>
      </c>
      <c r="T27" t="s">
        <v>861</v>
      </c>
      <c r="U27" t="s">
        <v>1049</v>
      </c>
      <c r="V27" t="s">
        <v>1054</v>
      </c>
      <c r="W27">
        <v>750</v>
      </c>
    </row>
    <row r="28" spans="1:23" x14ac:dyDescent="0.2">
      <c r="A28" t="s">
        <v>962</v>
      </c>
      <c r="B28" t="s">
        <v>226</v>
      </c>
      <c r="C28" t="s">
        <v>94</v>
      </c>
      <c r="D28" t="s">
        <v>280</v>
      </c>
      <c r="E28">
        <v>1</v>
      </c>
      <c r="F28">
        <v>3.5</v>
      </c>
      <c r="G28">
        <v>3.5</v>
      </c>
      <c r="I28" t="s">
        <v>940</v>
      </c>
      <c r="J28" t="s">
        <v>941</v>
      </c>
      <c r="T28" t="s">
        <v>861</v>
      </c>
      <c r="U28" t="s">
        <v>1050</v>
      </c>
      <c r="V28" t="s">
        <v>1055</v>
      </c>
      <c r="W28">
        <v>0</v>
      </c>
    </row>
    <row r="29" spans="1:23" x14ac:dyDescent="0.2">
      <c r="A29" t="s">
        <v>962</v>
      </c>
      <c r="B29" t="s">
        <v>226</v>
      </c>
      <c r="C29" t="s">
        <v>95</v>
      </c>
      <c r="D29" t="s">
        <v>281</v>
      </c>
      <c r="E29">
        <v>1</v>
      </c>
      <c r="F29">
        <v>2</v>
      </c>
      <c r="G29">
        <v>2</v>
      </c>
      <c r="I29" t="s">
        <v>872</v>
      </c>
      <c r="J29" t="s">
        <v>873</v>
      </c>
      <c r="T29" t="s">
        <v>863</v>
      </c>
      <c r="U29" t="s">
        <v>1042</v>
      </c>
      <c r="V29" t="s">
        <v>401</v>
      </c>
      <c r="W29">
        <v>50</v>
      </c>
    </row>
    <row r="30" spans="1:23" x14ac:dyDescent="0.2">
      <c r="A30" t="s">
        <v>962</v>
      </c>
      <c r="B30" t="s">
        <v>226</v>
      </c>
      <c r="C30" t="s">
        <v>96</v>
      </c>
      <c r="D30" t="s">
        <v>282</v>
      </c>
      <c r="E30">
        <v>1</v>
      </c>
      <c r="F30">
        <v>1</v>
      </c>
      <c r="G30">
        <v>1</v>
      </c>
      <c r="I30" t="s">
        <v>874</v>
      </c>
      <c r="J30" t="s">
        <v>875</v>
      </c>
      <c r="T30" t="s">
        <v>863</v>
      </c>
      <c r="U30" t="s">
        <v>1043</v>
      </c>
      <c r="V30" t="s">
        <v>272</v>
      </c>
      <c r="W30">
        <v>1</v>
      </c>
    </row>
    <row r="31" spans="1:23" x14ac:dyDescent="0.2">
      <c r="A31" t="s">
        <v>962</v>
      </c>
      <c r="B31" t="s">
        <v>226</v>
      </c>
      <c r="C31" t="s">
        <v>97</v>
      </c>
      <c r="D31" t="s">
        <v>283</v>
      </c>
      <c r="E31">
        <v>1</v>
      </c>
      <c r="F31">
        <v>1</v>
      </c>
      <c r="G31">
        <v>1</v>
      </c>
      <c r="I31" t="s">
        <v>876</v>
      </c>
      <c r="J31" t="s">
        <v>877</v>
      </c>
      <c r="T31" t="s">
        <v>863</v>
      </c>
      <c r="U31" t="s">
        <v>1044</v>
      </c>
      <c r="V31" t="s">
        <v>405</v>
      </c>
      <c r="W31">
        <v>100</v>
      </c>
    </row>
    <row r="32" spans="1:23" x14ac:dyDescent="0.2">
      <c r="A32" t="s">
        <v>962</v>
      </c>
      <c r="B32" t="s">
        <v>226</v>
      </c>
      <c r="C32" t="s">
        <v>99</v>
      </c>
      <c r="D32" t="s">
        <v>284</v>
      </c>
      <c r="E32">
        <v>1</v>
      </c>
      <c r="F32">
        <v>0</v>
      </c>
      <c r="G32">
        <v>0</v>
      </c>
      <c r="I32" t="s">
        <v>878</v>
      </c>
      <c r="J32" t="s">
        <v>879</v>
      </c>
      <c r="T32" t="s">
        <v>863</v>
      </c>
      <c r="U32" t="s">
        <v>1045</v>
      </c>
      <c r="V32" t="s">
        <v>402</v>
      </c>
      <c r="W32">
        <v>60</v>
      </c>
    </row>
    <row r="33" spans="1:23" x14ac:dyDescent="0.2">
      <c r="A33" t="s">
        <v>962</v>
      </c>
      <c r="B33" t="s">
        <v>226</v>
      </c>
      <c r="C33" t="s">
        <v>100</v>
      </c>
      <c r="D33" t="s">
        <v>285</v>
      </c>
      <c r="E33">
        <v>1</v>
      </c>
      <c r="F33">
        <v>0</v>
      </c>
      <c r="G33">
        <v>0</v>
      </c>
      <c r="I33" t="s">
        <v>886</v>
      </c>
      <c r="J33" t="s">
        <v>887</v>
      </c>
      <c r="T33" t="s">
        <v>863</v>
      </c>
      <c r="U33" t="s">
        <v>1046</v>
      </c>
      <c r="V33" t="s">
        <v>1051</v>
      </c>
      <c r="W33">
        <v>70</v>
      </c>
    </row>
    <row r="34" spans="1:23" x14ac:dyDescent="0.2">
      <c r="A34" t="s">
        <v>962</v>
      </c>
      <c r="B34" t="s">
        <v>226</v>
      </c>
      <c r="C34" t="s">
        <v>51</v>
      </c>
      <c r="D34" t="s">
        <v>286</v>
      </c>
      <c r="E34">
        <v>0.12</v>
      </c>
      <c r="F34">
        <v>419</v>
      </c>
      <c r="G34">
        <v>50.28</v>
      </c>
      <c r="I34" t="s">
        <v>882</v>
      </c>
      <c r="J34" t="s">
        <v>883</v>
      </c>
      <c r="T34" t="s">
        <v>863</v>
      </c>
      <c r="U34" t="s">
        <v>1047</v>
      </c>
      <c r="V34" t="s">
        <v>1052</v>
      </c>
      <c r="W34">
        <v>70</v>
      </c>
    </row>
    <row r="35" spans="1:23" x14ac:dyDescent="0.2">
      <c r="A35" t="s">
        <v>962</v>
      </c>
      <c r="B35" t="s">
        <v>226</v>
      </c>
      <c r="C35" t="s">
        <v>56</v>
      </c>
      <c r="D35" t="s">
        <v>287</v>
      </c>
      <c r="E35">
        <v>0.7</v>
      </c>
      <c r="F35">
        <v>90</v>
      </c>
      <c r="G35">
        <v>63</v>
      </c>
      <c r="I35" t="s">
        <v>880</v>
      </c>
      <c r="J35" t="s">
        <v>881</v>
      </c>
      <c r="T35" t="s">
        <v>863</v>
      </c>
      <c r="U35" t="s">
        <v>1048</v>
      </c>
      <c r="V35" t="s">
        <v>1053</v>
      </c>
      <c r="W35">
        <v>250</v>
      </c>
    </row>
    <row r="36" spans="1:23" x14ac:dyDescent="0.2">
      <c r="A36" t="s">
        <v>962</v>
      </c>
      <c r="B36" t="s">
        <v>226</v>
      </c>
      <c r="C36" t="s">
        <v>69</v>
      </c>
      <c r="D36" t="s">
        <v>288</v>
      </c>
      <c r="E36">
        <v>0.22</v>
      </c>
      <c r="F36">
        <v>190</v>
      </c>
      <c r="G36">
        <v>41.8</v>
      </c>
      <c r="I36" t="s">
        <v>888</v>
      </c>
      <c r="J36" t="s">
        <v>889</v>
      </c>
      <c r="T36" t="s">
        <v>863</v>
      </c>
      <c r="U36" t="s">
        <v>1049</v>
      </c>
      <c r="V36" t="s">
        <v>1054</v>
      </c>
      <c r="W36">
        <v>750</v>
      </c>
    </row>
    <row r="37" spans="1:23" x14ac:dyDescent="0.2">
      <c r="A37" t="s">
        <v>962</v>
      </c>
      <c r="B37" t="s">
        <v>226</v>
      </c>
      <c r="C37" t="s">
        <v>79</v>
      </c>
      <c r="D37" t="s">
        <v>289</v>
      </c>
      <c r="E37">
        <v>1.125</v>
      </c>
      <c r="F37">
        <v>380</v>
      </c>
      <c r="G37">
        <v>427.5</v>
      </c>
      <c r="I37" t="s">
        <v>944</v>
      </c>
      <c r="J37" t="s">
        <v>945</v>
      </c>
      <c r="T37" t="s">
        <v>863</v>
      </c>
      <c r="U37" t="s">
        <v>1050</v>
      </c>
      <c r="V37" t="s">
        <v>1055</v>
      </c>
      <c r="W37">
        <v>0</v>
      </c>
    </row>
    <row r="38" spans="1:23" x14ac:dyDescent="0.2">
      <c r="A38" t="s">
        <v>962</v>
      </c>
      <c r="B38" t="s">
        <v>226</v>
      </c>
      <c r="C38" t="s">
        <v>49</v>
      </c>
      <c r="D38" t="s">
        <v>290</v>
      </c>
      <c r="E38">
        <v>7.4999999999999997E-2</v>
      </c>
      <c r="F38">
        <v>248</v>
      </c>
      <c r="G38">
        <v>18.600000000000001</v>
      </c>
      <c r="I38" t="s">
        <v>948</v>
      </c>
      <c r="J38" t="s">
        <v>949</v>
      </c>
      <c r="T38" t="s">
        <v>865</v>
      </c>
      <c r="U38" t="s">
        <v>1042</v>
      </c>
      <c r="V38" t="s">
        <v>401</v>
      </c>
      <c r="W38">
        <v>50</v>
      </c>
    </row>
    <row r="39" spans="1:23" x14ac:dyDescent="0.2">
      <c r="A39" t="s">
        <v>962</v>
      </c>
      <c r="B39" t="s">
        <v>226</v>
      </c>
      <c r="C39" t="s">
        <v>28</v>
      </c>
      <c r="D39" t="s">
        <v>291</v>
      </c>
      <c r="E39">
        <v>0.8</v>
      </c>
      <c r="F39">
        <v>175</v>
      </c>
      <c r="G39">
        <v>140</v>
      </c>
      <c r="I39" t="s">
        <v>946</v>
      </c>
      <c r="J39" t="s">
        <v>947</v>
      </c>
      <c r="T39" t="s">
        <v>865</v>
      </c>
      <c r="U39" t="s">
        <v>1043</v>
      </c>
      <c r="V39" t="s">
        <v>272</v>
      </c>
      <c r="W39">
        <v>1</v>
      </c>
    </row>
    <row r="40" spans="1:23" x14ac:dyDescent="0.2">
      <c r="A40" t="s">
        <v>962</v>
      </c>
      <c r="B40" t="s">
        <v>226</v>
      </c>
      <c r="C40" t="s">
        <v>29</v>
      </c>
      <c r="D40" t="s">
        <v>292</v>
      </c>
      <c r="E40">
        <v>0.4</v>
      </c>
      <c r="F40">
        <v>27</v>
      </c>
      <c r="G40">
        <v>10.8</v>
      </c>
      <c r="I40" t="s">
        <v>884</v>
      </c>
      <c r="J40" t="s">
        <v>885</v>
      </c>
      <c r="T40" t="s">
        <v>865</v>
      </c>
      <c r="U40" t="s">
        <v>1044</v>
      </c>
      <c r="V40" t="s">
        <v>405</v>
      </c>
      <c r="W40">
        <v>100</v>
      </c>
    </row>
    <row r="41" spans="1:23" x14ac:dyDescent="0.2">
      <c r="A41" t="s">
        <v>962</v>
      </c>
      <c r="B41" t="s">
        <v>226</v>
      </c>
      <c r="C41" t="s">
        <v>31</v>
      </c>
      <c r="D41" t="s">
        <v>293</v>
      </c>
      <c r="E41">
        <v>3</v>
      </c>
      <c r="F41">
        <v>5</v>
      </c>
      <c r="G41">
        <v>15</v>
      </c>
      <c r="I41" t="s">
        <v>973</v>
      </c>
      <c r="J41" t="s">
        <v>256</v>
      </c>
      <c r="T41" t="s">
        <v>865</v>
      </c>
      <c r="U41" t="s">
        <v>1045</v>
      </c>
      <c r="V41" t="s">
        <v>402</v>
      </c>
      <c r="W41">
        <v>60</v>
      </c>
    </row>
    <row r="42" spans="1:23" x14ac:dyDescent="0.2">
      <c r="A42" t="s">
        <v>962</v>
      </c>
      <c r="B42" t="s">
        <v>226</v>
      </c>
      <c r="C42" t="s">
        <v>34</v>
      </c>
      <c r="D42" t="s">
        <v>294</v>
      </c>
      <c r="E42">
        <v>2</v>
      </c>
      <c r="F42">
        <v>18</v>
      </c>
      <c r="G42">
        <v>36</v>
      </c>
      <c r="I42" t="s">
        <v>977</v>
      </c>
      <c r="J42" t="s">
        <v>258</v>
      </c>
      <c r="T42" t="s">
        <v>865</v>
      </c>
      <c r="U42" t="s">
        <v>1046</v>
      </c>
      <c r="V42" t="s">
        <v>1051</v>
      </c>
      <c r="W42">
        <v>70</v>
      </c>
    </row>
    <row r="43" spans="1:23" x14ac:dyDescent="0.2">
      <c r="A43" t="s">
        <v>962</v>
      </c>
      <c r="B43" t="s">
        <v>226</v>
      </c>
      <c r="C43" t="s">
        <v>35</v>
      </c>
      <c r="D43" t="s">
        <v>295</v>
      </c>
      <c r="E43">
        <v>1</v>
      </c>
      <c r="F43">
        <v>18</v>
      </c>
      <c r="G43">
        <v>18</v>
      </c>
      <c r="I43" t="s">
        <v>974</v>
      </c>
      <c r="J43" t="s">
        <v>262</v>
      </c>
      <c r="T43" t="s">
        <v>865</v>
      </c>
      <c r="U43" t="s">
        <v>1047</v>
      </c>
      <c r="V43" t="s">
        <v>1052</v>
      </c>
      <c r="W43">
        <v>70</v>
      </c>
    </row>
    <row r="44" spans="1:23" x14ac:dyDescent="0.2">
      <c r="A44" t="s">
        <v>962</v>
      </c>
      <c r="B44" t="s">
        <v>226</v>
      </c>
      <c r="C44" t="s">
        <v>36</v>
      </c>
      <c r="D44" t="s">
        <v>296</v>
      </c>
      <c r="E44">
        <v>2</v>
      </c>
      <c r="F44">
        <v>15</v>
      </c>
      <c r="G44">
        <v>30</v>
      </c>
      <c r="I44" t="s">
        <v>976</v>
      </c>
      <c r="J44" t="s">
        <v>257</v>
      </c>
      <c r="T44" t="s">
        <v>865</v>
      </c>
      <c r="U44" t="s">
        <v>1048</v>
      </c>
      <c r="V44" t="s">
        <v>1053</v>
      </c>
      <c r="W44">
        <v>250</v>
      </c>
    </row>
    <row r="45" spans="1:23" x14ac:dyDescent="0.2">
      <c r="A45" t="s">
        <v>962</v>
      </c>
      <c r="B45" t="s">
        <v>226</v>
      </c>
      <c r="C45" t="s">
        <v>37</v>
      </c>
      <c r="D45" t="s">
        <v>297</v>
      </c>
      <c r="E45">
        <v>1</v>
      </c>
      <c r="F45">
        <v>18</v>
      </c>
      <c r="G45">
        <v>18</v>
      </c>
      <c r="I45" t="s">
        <v>979</v>
      </c>
      <c r="J45" t="s">
        <v>259</v>
      </c>
      <c r="T45" t="s">
        <v>865</v>
      </c>
      <c r="U45" t="s">
        <v>1049</v>
      </c>
      <c r="V45" t="s">
        <v>1054</v>
      </c>
      <c r="W45">
        <v>750</v>
      </c>
    </row>
    <row r="46" spans="1:23" x14ac:dyDescent="0.2">
      <c r="A46" t="s">
        <v>962</v>
      </c>
      <c r="B46" t="s">
        <v>226</v>
      </c>
      <c r="C46" t="s">
        <v>39</v>
      </c>
      <c r="D46" t="s">
        <v>298</v>
      </c>
      <c r="E46">
        <v>1</v>
      </c>
      <c r="F46">
        <v>18</v>
      </c>
      <c r="G46">
        <v>18</v>
      </c>
      <c r="I46" t="s">
        <v>975</v>
      </c>
      <c r="J46" t="s">
        <v>260</v>
      </c>
      <c r="T46" t="s">
        <v>865</v>
      </c>
      <c r="U46" t="s">
        <v>1050</v>
      </c>
      <c r="V46" t="s">
        <v>1055</v>
      </c>
      <c r="W46">
        <v>0</v>
      </c>
    </row>
    <row r="47" spans="1:23" x14ac:dyDescent="0.2">
      <c r="A47" t="s">
        <v>962</v>
      </c>
      <c r="B47" t="s">
        <v>226</v>
      </c>
      <c r="C47" t="s">
        <v>42</v>
      </c>
      <c r="D47" t="s">
        <v>299</v>
      </c>
      <c r="E47">
        <v>2</v>
      </c>
      <c r="F47">
        <v>2.5</v>
      </c>
      <c r="G47">
        <v>5</v>
      </c>
      <c r="I47" t="s">
        <v>980</v>
      </c>
      <c r="J47" t="s">
        <v>254</v>
      </c>
      <c r="T47" t="s">
        <v>867</v>
      </c>
      <c r="U47" t="s">
        <v>1042</v>
      </c>
      <c r="V47" t="s">
        <v>401</v>
      </c>
      <c r="W47">
        <v>50</v>
      </c>
    </row>
    <row r="48" spans="1:23" x14ac:dyDescent="0.2">
      <c r="A48" t="s">
        <v>962</v>
      </c>
      <c r="B48" t="s">
        <v>226</v>
      </c>
      <c r="C48" t="s">
        <v>43</v>
      </c>
      <c r="D48" t="s">
        <v>300</v>
      </c>
      <c r="E48">
        <v>1</v>
      </c>
      <c r="F48">
        <v>9.5</v>
      </c>
      <c r="G48">
        <v>9.5</v>
      </c>
      <c r="I48" t="s">
        <v>978</v>
      </c>
      <c r="J48" t="s">
        <v>255</v>
      </c>
      <c r="T48" t="s">
        <v>867</v>
      </c>
      <c r="U48" t="s">
        <v>1043</v>
      </c>
      <c r="V48" t="s">
        <v>272</v>
      </c>
      <c r="W48">
        <v>1</v>
      </c>
    </row>
    <row r="49" spans="1:23" x14ac:dyDescent="0.2">
      <c r="A49" t="s">
        <v>962</v>
      </c>
      <c r="B49" t="s">
        <v>226</v>
      </c>
      <c r="C49" t="s">
        <v>121</v>
      </c>
      <c r="D49" t="s">
        <v>301</v>
      </c>
      <c r="E49">
        <v>1</v>
      </c>
      <c r="F49">
        <v>0.95</v>
      </c>
      <c r="G49">
        <v>0.95</v>
      </c>
      <c r="I49" t="s">
        <v>190</v>
      </c>
      <c r="J49" t="s">
        <v>1022</v>
      </c>
      <c r="T49" t="s">
        <v>867</v>
      </c>
      <c r="U49" t="s">
        <v>1044</v>
      </c>
      <c r="V49" t="s">
        <v>405</v>
      </c>
      <c r="W49">
        <v>100</v>
      </c>
    </row>
    <row r="50" spans="1:23" x14ac:dyDescent="0.2">
      <c r="A50" t="s">
        <v>962</v>
      </c>
      <c r="B50" t="s">
        <v>226</v>
      </c>
      <c r="C50" t="s">
        <v>122</v>
      </c>
      <c r="D50" t="s">
        <v>302</v>
      </c>
      <c r="E50">
        <v>1</v>
      </c>
      <c r="F50">
        <v>4.2</v>
      </c>
      <c r="G50">
        <v>4.2</v>
      </c>
      <c r="I50" t="s">
        <v>898</v>
      </c>
      <c r="J50" t="s">
        <v>899</v>
      </c>
      <c r="T50" t="s">
        <v>867</v>
      </c>
      <c r="U50" t="s">
        <v>1045</v>
      </c>
      <c r="V50" t="s">
        <v>402</v>
      </c>
      <c r="W50">
        <v>60</v>
      </c>
    </row>
    <row r="51" spans="1:23" x14ac:dyDescent="0.2">
      <c r="A51" t="s">
        <v>962</v>
      </c>
      <c r="B51" t="s">
        <v>226</v>
      </c>
      <c r="C51" t="s">
        <v>2</v>
      </c>
      <c r="D51" t="s">
        <v>303</v>
      </c>
      <c r="E51">
        <v>1.8</v>
      </c>
      <c r="F51">
        <v>5.0999999999999996</v>
      </c>
      <c r="G51">
        <v>9.18</v>
      </c>
      <c r="I51" t="s">
        <v>896</v>
      </c>
      <c r="J51" t="s">
        <v>897</v>
      </c>
      <c r="T51" t="s">
        <v>867</v>
      </c>
      <c r="U51" t="s">
        <v>1046</v>
      </c>
      <c r="V51" t="s">
        <v>1051</v>
      </c>
      <c r="W51">
        <v>70</v>
      </c>
    </row>
    <row r="52" spans="1:23" x14ac:dyDescent="0.2">
      <c r="A52" t="s">
        <v>962</v>
      </c>
      <c r="B52" t="s">
        <v>226</v>
      </c>
      <c r="C52" t="s">
        <v>4</v>
      </c>
      <c r="D52" t="s">
        <v>304</v>
      </c>
      <c r="E52">
        <v>1.8</v>
      </c>
      <c r="F52">
        <v>10.1</v>
      </c>
      <c r="G52">
        <v>18.18</v>
      </c>
      <c r="I52" t="s">
        <v>892</v>
      </c>
      <c r="J52" t="s">
        <v>893</v>
      </c>
      <c r="T52" t="s">
        <v>867</v>
      </c>
      <c r="U52" t="s">
        <v>1047</v>
      </c>
      <c r="V52" t="s">
        <v>1052</v>
      </c>
      <c r="W52">
        <v>70</v>
      </c>
    </row>
    <row r="53" spans="1:23" x14ac:dyDescent="0.2">
      <c r="A53" t="s">
        <v>962</v>
      </c>
      <c r="B53" t="s">
        <v>226</v>
      </c>
      <c r="C53" t="s">
        <v>5</v>
      </c>
      <c r="D53" t="s">
        <v>305</v>
      </c>
      <c r="E53">
        <v>2.5</v>
      </c>
      <c r="F53">
        <v>11.5</v>
      </c>
      <c r="G53">
        <v>28.75</v>
      </c>
      <c r="I53" t="s">
        <v>894</v>
      </c>
      <c r="J53" t="s">
        <v>895</v>
      </c>
      <c r="T53" t="s">
        <v>867</v>
      </c>
      <c r="U53" t="s">
        <v>1048</v>
      </c>
      <c r="V53" t="s">
        <v>1053</v>
      </c>
      <c r="W53">
        <v>250</v>
      </c>
    </row>
    <row r="54" spans="1:23" x14ac:dyDescent="0.2">
      <c r="A54" t="s">
        <v>962</v>
      </c>
      <c r="B54" t="s">
        <v>226</v>
      </c>
      <c r="C54" t="s">
        <v>6</v>
      </c>
      <c r="D54" t="s">
        <v>306</v>
      </c>
      <c r="E54">
        <v>1.7</v>
      </c>
      <c r="F54">
        <v>16.8</v>
      </c>
      <c r="G54">
        <v>28.56</v>
      </c>
      <c r="I54" t="s">
        <v>902</v>
      </c>
      <c r="J54" t="s">
        <v>903</v>
      </c>
      <c r="T54" t="s">
        <v>867</v>
      </c>
      <c r="U54" t="s">
        <v>1049</v>
      </c>
      <c r="V54" t="s">
        <v>1054</v>
      </c>
      <c r="W54">
        <v>750</v>
      </c>
    </row>
    <row r="55" spans="1:23" x14ac:dyDescent="0.2">
      <c r="A55" t="s">
        <v>962</v>
      </c>
      <c r="B55" t="s">
        <v>226</v>
      </c>
      <c r="C55" t="s">
        <v>7</v>
      </c>
      <c r="D55" t="s">
        <v>307</v>
      </c>
      <c r="E55">
        <v>8.1999999999999993</v>
      </c>
      <c r="F55">
        <v>6.7</v>
      </c>
      <c r="G55">
        <v>54.94</v>
      </c>
      <c r="I55" t="s">
        <v>900</v>
      </c>
      <c r="J55" t="s">
        <v>901</v>
      </c>
      <c r="T55" t="s">
        <v>867</v>
      </c>
      <c r="U55" t="s">
        <v>1050</v>
      </c>
      <c r="V55" t="s">
        <v>1055</v>
      </c>
      <c r="W55">
        <v>0</v>
      </c>
    </row>
    <row r="56" spans="1:23" x14ac:dyDescent="0.2">
      <c r="A56" t="s">
        <v>962</v>
      </c>
      <c r="B56" t="s">
        <v>226</v>
      </c>
      <c r="C56" t="s">
        <v>12</v>
      </c>
      <c r="D56" t="s">
        <v>308</v>
      </c>
      <c r="E56">
        <v>0.7</v>
      </c>
      <c r="F56">
        <v>7</v>
      </c>
      <c r="G56">
        <v>4.9000000000000004</v>
      </c>
      <c r="I56" t="s">
        <v>983</v>
      </c>
      <c r="J56" t="s">
        <v>263</v>
      </c>
      <c r="T56" t="s">
        <v>869</v>
      </c>
      <c r="U56" t="s">
        <v>1042</v>
      </c>
      <c r="V56" t="s">
        <v>401</v>
      </c>
      <c r="W56">
        <v>50</v>
      </c>
    </row>
    <row r="57" spans="1:23" x14ac:dyDescent="0.2">
      <c r="A57" t="s">
        <v>962</v>
      </c>
      <c r="B57" t="s">
        <v>226</v>
      </c>
      <c r="C57" t="s">
        <v>13</v>
      </c>
      <c r="D57" t="s">
        <v>309</v>
      </c>
      <c r="E57">
        <v>2.4</v>
      </c>
      <c r="F57">
        <v>7</v>
      </c>
      <c r="G57">
        <v>16.8</v>
      </c>
      <c r="I57" t="s">
        <v>942</v>
      </c>
      <c r="J57" t="s">
        <v>943</v>
      </c>
      <c r="T57" t="s">
        <v>869</v>
      </c>
      <c r="U57" t="s">
        <v>1043</v>
      </c>
      <c r="V57" t="s">
        <v>272</v>
      </c>
      <c r="W57">
        <v>1</v>
      </c>
    </row>
    <row r="58" spans="1:23" x14ac:dyDescent="0.2">
      <c r="A58" t="s">
        <v>962</v>
      </c>
      <c r="B58" t="s">
        <v>226</v>
      </c>
      <c r="C58" t="s">
        <v>14</v>
      </c>
      <c r="D58" t="s">
        <v>310</v>
      </c>
      <c r="E58">
        <v>0.15</v>
      </c>
      <c r="F58">
        <v>18</v>
      </c>
      <c r="G58">
        <v>2.7</v>
      </c>
      <c r="I58" t="s">
        <v>932</v>
      </c>
      <c r="J58" t="s">
        <v>933</v>
      </c>
      <c r="T58" t="s">
        <v>869</v>
      </c>
      <c r="U58" t="s">
        <v>1044</v>
      </c>
      <c r="V58" t="s">
        <v>405</v>
      </c>
      <c r="W58">
        <v>100</v>
      </c>
    </row>
    <row r="59" spans="1:23" x14ac:dyDescent="0.2">
      <c r="A59" t="s">
        <v>962</v>
      </c>
      <c r="B59" t="s">
        <v>226</v>
      </c>
      <c r="C59" t="s">
        <v>15</v>
      </c>
      <c r="D59" t="s">
        <v>311</v>
      </c>
      <c r="E59">
        <v>0.75</v>
      </c>
      <c r="F59">
        <v>18</v>
      </c>
      <c r="G59">
        <v>13.5</v>
      </c>
      <c r="I59" t="s">
        <v>936</v>
      </c>
      <c r="J59" t="s">
        <v>937</v>
      </c>
      <c r="T59" t="s">
        <v>869</v>
      </c>
      <c r="U59" t="s">
        <v>1045</v>
      </c>
      <c r="V59" t="s">
        <v>402</v>
      </c>
      <c r="W59">
        <v>60</v>
      </c>
    </row>
    <row r="60" spans="1:23" x14ac:dyDescent="0.2">
      <c r="A60" t="s">
        <v>962</v>
      </c>
      <c r="B60" t="s">
        <v>226</v>
      </c>
      <c r="C60" t="s">
        <v>16</v>
      </c>
      <c r="D60" t="s">
        <v>312</v>
      </c>
      <c r="E60">
        <v>0.16</v>
      </c>
      <c r="F60">
        <v>30</v>
      </c>
      <c r="G60">
        <v>4.8</v>
      </c>
      <c r="I60" t="s">
        <v>934</v>
      </c>
      <c r="J60" t="s">
        <v>935</v>
      </c>
      <c r="T60" t="s">
        <v>869</v>
      </c>
      <c r="U60" t="s">
        <v>1046</v>
      </c>
      <c r="V60" t="s">
        <v>1051</v>
      </c>
      <c r="W60">
        <v>70</v>
      </c>
    </row>
    <row r="61" spans="1:23" x14ac:dyDescent="0.2">
      <c r="A61" t="s">
        <v>962</v>
      </c>
      <c r="B61" t="s">
        <v>226</v>
      </c>
      <c r="C61" t="s">
        <v>105</v>
      </c>
      <c r="D61" t="s">
        <v>313</v>
      </c>
      <c r="E61">
        <v>200</v>
      </c>
      <c r="F61">
        <v>0.1</v>
      </c>
      <c r="G61">
        <v>20</v>
      </c>
      <c r="I61" t="s">
        <v>984</v>
      </c>
      <c r="J61" t="s">
        <v>199</v>
      </c>
      <c r="T61" t="s">
        <v>869</v>
      </c>
      <c r="U61" t="s">
        <v>1047</v>
      </c>
      <c r="V61" t="s">
        <v>1052</v>
      </c>
      <c r="W61">
        <v>70</v>
      </c>
    </row>
    <row r="62" spans="1:23" x14ac:dyDescent="0.2">
      <c r="A62" t="s">
        <v>962</v>
      </c>
      <c r="B62" t="s">
        <v>226</v>
      </c>
      <c r="C62" t="s">
        <v>110</v>
      </c>
      <c r="D62" t="s">
        <v>314</v>
      </c>
      <c r="E62">
        <v>30</v>
      </c>
      <c r="F62">
        <v>0.1</v>
      </c>
      <c r="G62">
        <v>3</v>
      </c>
      <c r="I62" t="s">
        <v>144</v>
      </c>
      <c r="J62" t="s">
        <v>261</v>
      </c>
      <c r="T62" t="s">
        <v>869</v>
      </c>
      <c r="U62" t="s">
        <v>1048</v>
      </c>
      <c r="V62" t="s">
        <v>1053</v>
      </c>
      <c r="W62">
        <v>250</v>
      </c>
    </row>
    <row r="63" spans="1:23" x14ac:dyDescent="0.2">
      <c r="A63" t="s">
        <v>968</v>
      </c>
      <c r="B63" t="s">
        <v>213</v>
      </c>
      <c r="C63" t="s">
        <v>94</v>
      </c>
      <c r="D63" t="s">
        <v>280</v>
      </c>
      <c r="E63">
        <v>1</v>
      </c>
      <c r="F63">
        <v>3.5</v>
      </c>
      <c r="G63">
        <v>3.5</v>
      </c>
      <c r="I63" t="s">
        <v>132</v>
      </c>
      <c r="J63" t="s">
        <v>250</v>
      </c>
      <c r="T63" t="s">
        <v>869</v>
      </c>
      <c r="U63" t="s">
        <v>1049</v>
      </c>
      <c r="V63" t="s">
        <v>1054</v>
      </c>
      <c r="W63">
        <v>750</v>
      </c>
    </row>
    <row r="64" spans="1:23" x14ac:dyDescent="0.2">
      <c r="A64" t="s">
        <v>968</v>
      </c>
      <c r="B64" t="s">
        <v>213</v>
      </c>
      <c r="C64" t="s">
        <v>95</v>
      </c>
      <c r="D64" t="s">
        <v>281</v>
      </c>
      <c r="E64">
        <v>1</v>
      </c>
      <c r="F64">
        <v>2</v>
      </c>
      <c r="G64">
        <v>2</v>
      </c>
      <c r="I64" t="s">
        <v>149</v>
      </c>
      <c r="J64" t="s">
        <v>1031</v>
      </c>
      <c r="T64" t="s">
        <v>869</v>
      </c>
      <c r="U64" t="s">
        <v>1050</v>
      </c>
      <c r="V64" t="s">
        <v>1055</v>
      </c>
      <c r="W64">
        <v>0</v>
      </c>
    </row>
    <row r="65" spans="1:23" x14ac:dyDescent="0.2">
      <c r="A65" t="s">
        <v>968</v>
      </c>
      <c r="B65" t="s">
        <v>213</v>
      </c>
      <c r="C65" t="s">
        <v>96</v>
      </c>
      <c r="D65" t="s">
        <v>282</v>
      </c>
      <c r="E65">
        <v>1</v>
      </c>
      <c r="F65">
        <v>1</v>
      </c>
      <c r="G65">
        <v>1</v>
      </c>
      <c r="I65" t="s">
        <v>188</v>
      </c>
      <c r="J65" t="s">
        <v>249</v>
      </c>
      <c r="T65" t="s">
        <v>871</v>
      </c>
      <c r="U65" t="s">
        <v>1042</v>
      </c>
      <c r="V65" t="s">
        <v>401</v>
      </c>
      <c r="W65">
        <v>50</v>
      </c>
    </row>
    <row r="66" spans="1:23" x14ac:dyDescent="0.2">
      <c r="A66" t="s">
        <v>968</v>
      </c>
      <c r="B66" t="s">
        <v>213</v>
      </c>
      <c r="C66" t="s">
        <v>97</v>
      </c>
      <c r="D66" t="s">
        <v>283</v>
      </c>
      <c r="E66">
        <v>1</v>
      </c>
      <c r="F66">
        <v>1</v>
      </c>
      <c r="G66">
        <v>1</v>
      </c>
      <c r="I66" t="s">
        <v>189</v>
      </c>
      <c r="J66" t="s">
        <v>245</v>
      </c>
      <c r="T66" t="s">
        <v>871</v>
      </c>
      <c r="U66" t="s">
        <v>1043</v>
      </c>
      <c r="V66" t="s">
        <v>272</v>
      </c>
      <c r="W66">
        <v>1</v>
      </c>
    </row>
    <row r="67" spans="1:23" x14ac:dyDescent="0.2">
      <c r="A67" t="s">
        <v>968</v>
      </c>
      <c r="B67" t="s">
        <v>213</v>
      </c>
      <c r="C67" t="s">
        <v>99</v>
      </c>
      <c r="D67" t="s">
        <v>284</v>
      </c>
      <c r="E67">
        <v>1</v>
      </c>
      <c r="F67">
        <v>0</v>
      </c>
      <c r="G67">
        <v>0</v>
      </c>
      <c r="I67" t="s">
        <v>148</v>
      </c>
      <c r="J67" t="s">
        <v>253</v>
      </c>
      <c r="T67" t="s">
        <v>871</v>
      </c>
      <c r="U67" t="s">
        <v>1044</v>
      </c>
      <c r="V67" t="s">
        <v>405</v>
      </c>
      <c r="W67">
        <v>100</v>
      </c>
    </row>
    <row r="68" spans="1:23" x14ac:dyDescent="0.2">
      <c r="A68" t="s">
        <v>968</v>
      </c>
      <c r="B68" t="s">
        <v>213</v>
      </c>
      <c r="C68" t="s">
        <v>100</v>
      </c>
      <c r="D68" t="s">
        <v>285</v>
      </c>
      <c r="E68">
        <v>1</v>
      </c>
      <c r="F68">
        <v>0</v>
      </c>
      <c r="G68">
        <v>0</v>
      </c>
      <c r="I68" t="s">
        <v>146</v>
      </c>
      <c r="J68" t="s">
        <v>247</v>
      </c>
      <c r="T68" t="s">
        <v>871</v>
      </c>
      <c r="U68" t="s">
        <v>1045</v>
      </c>
      <c r="V68" t="s">
        <v>402</v>
      </c>
      <c r="W68">
        <v>60</v>
      </c>
    </row>
    <row r="69" spans="1:23" x14ac:dyDescent="0.2">
      <c r="A69" t="s">
        <v>968</v>
      </c>
      <c r="B69" t="s">
        <v>213</v>
      </c>
      <c r="C69" t="s">
        <v>51</v>
      </c>
      <c r="D69" t="s">
        <v>286</v>
      </c>
      <c r="E69">
        <v>0.12</v>
      </c>
      <c r="F69">
        <v>419</v>
      </c>
      <c r="G69">
        <v>50.28</v>
      </c>
      <c r="I69" t="s">
        <v>147</v>
      </c>
      <c r="J69" t="s">
        <v>248</v>
      </c>
      <c r="T69" t="s">
        <v>871</v>
      </c>
      <c r="U69" t="s">
        <v>1046</v>
      </c>
      <c r="V69" t="s">
        <v>1051</v>
      </c>
      <c r="W69">
        <v>70</v>
      </c>
    </row>
    <row r="70" spans="1:23" x14ac:dyDescent="0.2">
      <c r="A70" t="s">
        <v>968</v>
      </c>
      <c r="B70" t="s">
        <v>213</v>
      </c>
      <c r="C70" t="s">
        <v>56</v>
      </c>
      <c r="D70" t="s">
        <v>287</v>
      </c>
      <c r="E70">
        <v>0.7</v>
      </c>
      <c r="F70">
        <v>90</v>
      </c>
      <c r="G70">
        <v>63</v>
      </c>
      <c r="I70" t="s">
        <v>145</v>
      </c>
      <c r="J70" t="s">
        <v>252</v>
      </c>
      <c r="T70" t="s">
        <v>871</v>
      </c>
      <c r="U70" t="s">
        <v>1047</v>
      </c>
      <c r="V70" t="s">
        <v>1052</v>
      </c>
      <c r="W70">
        <v>70</v>
      </c>
    </row>
    <row r="71" spans="1:23" x14ac:dyDescent="0.2">
      <c r="A71" t="s">
        <v>968</v>
      </c>
      <c r="B71" t="s">
        <v>213</v>
      </c>
      <c r="C71" t="s">
        <v>69</v>
      </c>
      <c r="D71" t="s">
        <v>288</v>
      </c>
      <c r="E71">
        <v>0.22</v>
      </c>
      <c r="F71">
        <v>190</v>
      </c>
      <c r="G71">
        <v>41.8</v>
      </c>
      <c r="I71" t="s">
        <v>133</v>
      </c>
      <c r="J71" t="s">
        <v>238</v>
      </c>
      <c r="T71" t="s">
        <v>871</v>
      </c>
      <c r="U71" t="s">
        <v>1048</v>
      </c>
      <c r="V71" t="s">
        <v>1053</v>
      </c>
      <c r="W71">
        <v>250</v>
      </c>
    </row>
    <row r="72" spans="1:23" x14ac:dyDescent="0.2">
      <c r="A72" t="s">
        <v>968</v>
      </c>
      <c r="B72" t="s">
        <v>213</v>
      </c>
      <c r="C72" t="s">
        <v>83</v>
      </c>
      <c r="D72" t="s">
        <v>315</v>
      </c>
      <c r="E72">
        <v>1.125</v>
      </c>
      <c r="F72">
        <v>365</v>
      </c>
      <c r="G72">
        <v>410.625</v>
      </c>
      <c r="I72" t="s">
        <v>134</v>
      </c>
      <c r="J72" t="s">
        <v>985</v>
      </c>
      <c r="T72" t="s">
        <v>871</v>
      </c>
      <c r="U72" t="s">
        <v>1049</v>
      </c>
      <c r="V72" t="s">
        <v>1054</v>
      </c>
      <c r="W72">
        <v>750</v>
      </c>
    </row>
    <row r="73" spans="1:23" x14ac:dyDescent="0.2">
      <c r="A73" t="s">
        <v>968</v>
      </c>
      <c r="B73" t="s">
        <v>213</v>
      </c>
      <c r="C73" t="s">
        <v>49</v>
      </c>
      <c r="D73" t="s">
        <v>290</v>
      </c>
      <c r="E73">
        <v>7.4999999999999997E-2</v>
      </c>
      <c r="F73">
        <v>248</v>
      </c>
      <c r="G73">
        <v>18.600000000000001</v>
      </c>
      <c r="I73" t="s">
        <v>135</v>
      </c>
      <c r="J73" t="s">
        <v>239</v>
      </c>
      <c r="T73" t="s">
        <v>871</v>
      </c>
      <c r="U73" t="s">
        <v>1050</v>
      </c>
      <c r="V73" t="s">
        <v>1055</v>
      </c>
      <c r="W73">
        <v>0</v>
      </c>
    </row>
    <row r="74" spans="1:23" x14ac:dyDescent="0.2">
      <c r="A74" t="s">
        <v>968</v>
      </c>
      <c r="B74" t="s">
        <v>213</v>
      </c>
      <c r="C74" t="s">
        <v>28</v>
      </c>
      <c r="D74" t="s">
        <v>291</v>
      </c>
      <c r="E74">
        <v>0.8</v>
      </c>
      <c r="F74">
        <v>175</v>
      </c>
      <c r="G74">
        <v>140</v>
      </c>
      <c r="I74" t="s">
        <v>986</v>
      </c>
      <c r="J74" t="s">
        <v>987</v>
      </c>
      <c r="T74" t="s">
        <v>873</v>
      </c>
      <c r="U74" t="s">
        <v>1042</v>
      </c>
      <c r="V74" t="s">
        <v>401</v>
      </c>
      <c r="W74">
        <v>50</v>
      </c>
    </row>
    <row r="75" spans="1:23" x14ac:dyDescent="0.2">
      <c r="A75" t="s">
        <v>968</v>
      </c>
      <c r="B75" t="s">
        <v>213</v>
      </c>
      <c r="C75" t="s">
        <v>29</v>
      </c>
      <c r="D75" t="s">
        <v>292</v>
      </c>
      <c r="E75">
        <v>0.4</v>
      </c>
      <c r="F75">
        <v>27</v>
      </c>
      <c r="G75">
        <v>10.8</v>
      </c>
      <c r="I75" t="s">
        <v>990</v>
      </c>
      <c r="J75" t="s">
        <v>991</v>
      </c>
      <c r="T75" t="s">
        <v>873</v>
      </c>
      <c r="U75" t="s">
        <v>1043</v>
      </c>
      <c r="V75" t="s">
        <v>272</v>
      </c>
      <c r="W75">
        <v>1</v>
      </c>
    </row>
    <row r="76" spans="1:23" x14ac:dyDescent="0.2">
      <c r="A76" t="s">
        <v>968</v>
      </c>
      <c r="B76" t="s">
        <v>213</v>
      </c>
      <c r="C76" t="s">
        <v>31</v>
      </c>
      <c r="D76" t="s">
        <v>293</v>
      </c>
      <c r="E76">
        <v>3</v>
      </c>
      <c r="F76">
        <v>5</v>
      </c>
      <c r="G76">
        <v>15</v>
      </c>
      <c r="I76" t="s">
        <v>992</v>
      </c>
      <c r="J76" t="s">
        <v>993</v>
      </c>
      <c r="T76" t="s">
        <v>873</v>
      </c>
      <c r="U76" t="s">
        <v>1044</v>
      </c>
      <c r="V76" t="s">
        <v>405</v>
      </c>
      <c r="W76">
        <v>100</v>
      </c>
    </row>
    <row r="77" spans="1:23" x14ac:dyDescent="0.2">
      <c r="A77" t="s">
        <v>968</v>
      </c>
      <c r="B77" t="s">
        <v>213</v>
      </c>
      <c r="C77" t="s">
        <v>34</v>
      </c>
      <c r="D77" t="s">
        <v>294</v>
      </c>
      <c r="E77">
        <v>2</v>
      </c>
      <c r="F77">
        <v>18</v>
      </c>
      <c r="G77">
        <v>36</v>
      </c>
      <c r="I77" t="s">
        <v>988</v>
      </c>
      <c r="J77" t="s">
        <v>989</v>
      </c>
      <c r="T77" t="s">
        <v>873</v>
      </c>
      <c r="U77" t="s">
        <v>1045</v>
      </c>
      <c r="V77" t="s">
        <v>402</v>
      </c>
      <c r="W77">
        <v>60</v>
      </c>
    </row>
    <row r="78" spans="1:23" x14ac:dyDescent="0.2">
      <c r="A78" t="s">
        <v>968</v>
      </c>
      <c r="B78" t="s">
        <v>213</v>
      </c>
      <c r="C78" t="s">
        <v>35</v>
      </c>
      <c r="D78" t="s">
        <v>295</v>
      </c>
      <c r="E78">
        <v>1</v>
      </c>
      <c r="F78">
        <v>18</v>
      </c>
      <c r="G78">
        <v>18</v>
      </c>
      <c r="I78" t="s">
        <v>950</v>
      </c>
      <c r="J78" t="s">
        <v>951</v>
      </c>
      <c r="T78" t="s">
        <v>873</v>
      </c>
      <c r="U78" t="s">
        <v>1046</v>
      </c>
      <c r="V78" t="s">
        <v>1051</v>
      </c>
      <c r="W78">
        <v>70</v>
      </c>
    </row>
    <row r="79" spans="1:23" x14ac:dyDescent="0.2">
      <c r="A79" t="s">
        <v>968</v>
      </c>
      <c r="B79" t="s">
        <v>213</v>
      </c>
      <c r="C79" t="s">
        <v>36</v>
      </c>
      <c r="D79" t="s">
        <v>296</v>
      </c>
      <c r="E79">
        <v>2</v>
      </c>
      <c r="F79">
        <v>15</v>
      </c>
      <c r="G79">
        <v>30</v>
      </c>
      <c r="I79" t="s">
        <v>994</v>
      </c>
      <c r="J79" t="s">
        <v>995</v>
      </c>
      <c r="T79" t="s">
        <v>873</v>
      </c>
      <c r="U79" t="s">
        <v>1047</v>
      </c>
      <c r="V79" t="s">
        <v>1052</v>
      </c>
      <c r="W79">
        <v>70</v>
      </c>
    </row>
    <row r="80" spans="1:23" x14ac:dyDescent="0.2">
      <c r="A80" t="s">
        <v>968</v>
      </c>
      <c r="B80" t="s">
        <v>213</v>
      </c>
      <c r="C80" t="s">
        <v>37</v>
      </c>
      <c r="D80" t="s">
        <v>297</v>
      </c>
      <c r="E80">
        <v>1</v>
      </c>
      <c r="F80">
        <v>18</v>
      </c>
      <c r="G80">
        <v>18</v>
      </c>
      <c r="I80" t="s">
        <v>1002</v>
      </c>
      <c r="J80" t="s">
        <v>1003</v>
      </c>
      <c r="T80" t="s">
        <v>873</v>
      </c>
      <c r="U80" t="s">
        <v>1048</v>
      </c>
      <c r="V80" t="s">
        <v>1053</v>
      </c>
      <c r="W80">
        <v>250</v>
      </c>
    </row>
    <row r="81" spans="1:23" x14ac:dyDescent="0.2">
      <c r="A81" t="s">
        <v>968</v>
      </c>
      <c r="B81" t="s">
        <v>213</v>
      </c>
      <c r="C81" t="s">
        <v>39</v>
      </c>
      <c r="D81" t="s">
        <v>298</v>
      </c>
      <c r="E81">
        <v>1</v>
      </c>
      <c r="F81">
        <v>18</v>
      </c>
      <c r="G81">
        <v>18</v>
      </c>
      <c r="I81" t="s">
        <v>996</v>
      </c>
      <c r="J81" t="s">
        <v>997</v>
      </c>
      <c r="T81" t="s">
        <v>873</v>
      </c>
      <c r="U81" t="s">
        <v>1049</v>
      </c>
      <c r="V81" t="s">
        <v>1054</v>
      </c>
      <c r="W81">
        <v>750</v>
      </c>
    </row>
    <row r="82" spans="1:23" x14ac:dyDescent="0.2">
      <c r="A82" t="s">
        <v>968</v>
      </c>
      <c r="B82" t="s">
        <v>213</v>
      </c>
      <c r="C82" t="s">
        <v>42</v>
      </c>
      <c r="D82" t="s">
        <v>299</v>
      </c>
      <c r="E82">
        <v>2</v>
      </c>
      <c r="F82">
        <v>2.5</v>
      </c>
      <c r="G82">
        <v>5</v>
      </c>
      <c r="I82" t="s">
        <v>1000</v>
      </c>
      <c r="J82" t="s">
        <v>1001</v>
      </c>
      <c r="T82" t="s">
        <v>873</v>
      </c>
      <c r="U82" t="s">
        <v>1050</v>
      </c>
      <c r="V82" t="s">
        <v>1055</v>
      </c>
      <c r="W82">
        <v>0</v>
      </c>
    </row>
    <row r="83" spans="1:23" x14ac:dyDescent="0.2">
      <c r="A83" t="s">
        <v>968</v>
      </c>
      <c r="B83" t="s">
        <v>213</v>
      </c>
      <c r="C83" t="s">
        <v>43</v>
      </c>
      <c r="D83" t="s">
        <v>300</v>
      </c>
      <c r="E83">
        <v>92</v>
      </c>
      <c r="F83">
        <v>9.5</v>
      </c>
      <c r="G83">
        <v>874</v>
      </c>
      <c r="I83" t="s">
        <v>998</v>
      </c>
      <c r="J83" t="s">
        <v>999</v>
      </c>
      <c r="T83" t="s">
        <v>875</v>
      </c>
      <c r="U83" t="s">
        <v>1042</v>
      </c>
      <c r="V83" t="s">
        <v>401</v>
      </c>
      <c r="W83">
        <v>50</v>
      </c>
    </row>
    <row r="84" spans="1:23" x14ac:dyDescent="0.2">
      <c r="A84" t="s">
        <v>968</v>
      </c>
      <c r="B84" t="s">
        <v>213</v>
      </c>
      <c r="C84" t="s">
        <v>121</v>
      </c>
      <c r="D84" t="s">
        <v>301</v>
      </c>
      <c r="E84">
        <v>1</v>
      </c>
      <c r="F84">
        <v>0.95</v>
      </c>
      <c r="G84">
        <v>0.95</v>
      </c>
      <c r="I84" t="s">
        <v>151</v>
      </c>
      <c r="J84" t="s">
        <v>244</v>
      </c>
      <c r="T84" t="s">
        <v>875</v>
      </c>
      <c r="U84" t="s">
        <v>1043</v>
      </c>
      <c r="V84" t="s">
        <v>272</v>
      </c>
      <c r="W84">
        <v>1</v>
      </c>
    </row>
    <row r="85" spans="1:23" x14ac:dyDescent="0.2">
      <c r="A85" t="s">
        <v>968</v>
      </c>
      <c r="B85" t="s">
        <v>213</v>
      </c>
      <c r="C85" t="s">
        <v>122</v>
      </c>
      <c r="D85" t="s">
        <v>302</v>
      </c>
      <c r="E85">
        <v>1</v>
      </c>
      <c r="F85">
        <v>4.2</v>
      </c>
      <c r="G85">
        <v>4.2</v>
      </c>
      <c r="I85" t="s">
        <v>152</v>
      </c>
      <c r="J85" t="s">
        <v>243</v>
      </c>
      <c r="T85" t="s">
        <v>875</v>
      </c>
      <c r="U85" t="s">
        <v>1044</v>
      </c>
      <c r="V85" t="s">
        <v>405</v>
      </c>
      <c r="W85">
        <v>100</v>
      </c>
    </row>
    <row r="86" spans="1:23" x14ac:dyDescent="0.2">
      <c r="A86" t="s">
        <v>968</v>
      </c>
      <c r="B86" t="s">
        <v>213</v>
      </c>
      <c r="C86" t="s">
        <v>2</v>
      </c>
      <c r="D86" t="s">
        <v>303</v>
      </c>
      <c r="E86">
        <v>1.8</v>
      </c>
      <c r="F86">
        <v>5.0999999999999996</v>
      </c>
      <c r="G86">
        <v>9.18</v>
      </c>
      <c r="I86" t="s">
        <v>862</v>
      </c>
      <c r="J86" t="s">
        <v>863</v>
      </c>
      <c r="T86" t="s">
        <v>875</v>
      </c>
      <c r="U86" t="s">
        <v>1045</v>
      </c>
      <c r="V86" t="s">
        <v>402</v>
      </c>
      <c r="W86">
        <v>60</v>
      </c>
    </row>
    <row r="87" spans="1:23" x14ac:dyDescent="0.2">
      <c r="A87" t="s">
        <v>968</v>
      </c>
      <c r="B87" t="s">
        <v>213</v>
      </c>
      <c r="C87" t="s">
        <v>4</v>
      </c>
      <c r="D87" t="s">
        <v>304</v>
      </c>
      <c r="E87">
        <v>1.8</v>
      </c>
      <c r="F87">
        <v>10.1</v>
      </c>
      <c r="G87">
        <v>18.18</v>
      </c>
      <c r="I87" t="s">
        <v>866</v>
      </c>
      <c r="J87" t="s">
        <v>867</v>
      </c>
      <c r="T87" t="s">
        <v>875</v>
      </c>
      <c r="U87" t="s">
        <v>1046</v>
      </c>
      <c r="V87" t="s">
        <v>1051</v>
      </c>
      <c r="W87">
        <v>70</v>
      </c>
    </row>
    <row r="88" spans="1:23" x14ac:dyDescent="0.2">
      <c r="A88" t="s">
        <v>968</v>
      </c>
      <c r="B88" t="s">
        <v>213</v>
      </c>
      <c r="C88" t="s">
        <v>5</v>
      </c>
      <c r="D88" t="s">
        <v>305</v>
      </c>
      <c r="E88">
        <v>2.5</v>
      </c>
      <c r="F88">
        <v>11.5</v>
      </c>
      <c r="G88">
        <v>28.75</v>
      </c>
      <c r="I88" t="s">
        <v>864</v>
      </c>
      <c r="J88" t="s">
        <v>865</v>
      </c>
      <c r="T88" t="s">
        <v>875</v>
      </c>
      <c r="U88" t="s">
        <v>1047</v>
      </c>
      <c r="V88" t="s">
        <v>1052</v>
      </c>
      <c r="W88">
        <v>70</v>
      </c>
    </row>
    <row r="89" spans="1:23" x14ac:dyDescent="0.2">
      <c r="A89" t="s">
        <v>968</v>
      </c>
      <c r="B89" t="s">
        <v>213</v>
      </c>
      <c r="C89" t="s">
        <v>6</v>
      </c>
      <c r="D89" t="s">
        <v>306</v>
      </c>
      <c r="E89">
        <v>1.7</v>
      </c>
      <c r="F89">
        <v>16.8</v>
      </c>
      <c r="G89">
        <v>28.56</v>
      </c>
      <c r="I89" t="s">
        <v>1004</v>
      </c>
      <c r="J89" t="s">
        <v>1005</v>
      </c>
      <c r="T89" t="s">
        <v>875</v>
      </c>
      <c r="U89" t="s">
        <v>1048</v>
      </c>
      <c r="V89" t="s">
        <v>1053</v>
      </c>
      <c r="W89">
        <v>250</v>
      </c>
    </row>
    <row r="90" spans="1:23" x14ac:dyDescent="0.2">
      <c r="A90" t="s">
        <v>968</v>
      </c>
      <c r="B90" t="s">
        <v>213</v>
      </c>
      <c r="C90" t="s">
        <v>7</v>
      </c>
      <c r="D90" t="s">
        <v>307</v>
      </c>
      <c r="E90">
        <v>8.1999999999999993</v>
      </c>
      <c r="F90">
        <v>6.7</v>
      </c>
      <c r="G90">
        <v>54.94</v>
      </c>
      <c r="I90" t="s">
        <v>1006</v>
      </c>
      <c r="J90" t="s">
        <v>1007</v>
      </c>
      <c r="T90" t="s">
        <v>875</v>
      </c>
      <c r="U90" t="s">
        <v>1049</v>
      </c>
      <c r="V90" t="s">
        <v>1054</v>
      </c>
      <c r="W90">
        <v>750</v>
      </c>
    </row>
    <row r="91" spans="1:23" x14ac:dyDescent="0.2">
      <c r="A91" t="s">
        <v>968</v>
      </c>
      <c r="B91" t="s">
        <v>213</v>
      </c>
      <c r="C91" t="s">
        <v>12</v>
      </c>
      <c r="D91" t="s">
        <v>308</v>
      </c>
      <c r="E91">
        <v>0.7</v>
      </c>
      <c r="F91">
        <v>7</v>
      </c>
      <c r="G91">
        <v>4.9000000000000004</v>
      </c>
      <c r="I91" t="s">
        <v>1008</v>
      </c>
      <c r="J91" t="s">
        <v>1009</v>
      </c>
      <c r="T91" t="s">
        <v>875</v>
      </c>
      <c r="U91" t="s">
        <v>1050</v>
      </c>
      <c r="V91" t="s">
        <v>1055</v>
      </c>
      <c r="W91">
        <v>0</v>
      </c>
    </row>
    <row r="92" spans="1:23" x14ac:dyDescent="0.2">
      <c r="A92" t="s">
        <v>968</v>
      </c>
      <c r="B92" t="s">
        <v>213</v>
      </c>
      <c r="C92" t="s">
        <v>13</v>
      </c>
      <c r="D92" t="s">
        <v>309</v>
      </c>
      <c r="E92">
        <v>2.4</v>
      </c>
      <c r="F92">
        <v>7</v>
      </c>
      <c r="G92">
        <v>16.8</v>
      </c>
      <c r="I92" t="s">
        <v>1010</v>
      </c>
      <c r="J92" t="s">
        <v>1011</v>
      </c>
      <c r="T92" t="s">
        <v>877</v>
      </c>
      <c r="U92" t="s">
        <v>1042</v>
      </c>
      <c r="V92" t="s">
        <v>401</v>
      </c>
      <c r="W92">
        <v>50</v>
      </c>
    </row>
    <row r="93" spans="1:23" x14ac:dyDescent="0.2">
      <c r="A93" t="s">
        <v>968</v>
      </c>
      <c r="B93" t="s">
        <v>213</v>
      </c>
      <c r="C93" t="s">
        <v>14</v>
      </c>
      <c r="D93" t="s">
        <v>310</v>
      </c>
      <c r="E93">
        <v>0.15</v>
      </c>
      <c r="F93">
        <v>18</v>
      </c>
      <c r="G93">
        <v>2.7</v>
      </c>
      <c r="I93" t="s">
        <v>1023</v>
      </c>
      <c r="J93" t="s">
        <v>1024</v>
      </c>
      <c r="T93" t="s">
        <v>877</v>
      </c>
      <c r="U93" t="s">
        <v>1043</v>
      </c>
      <c r="V93" t="s">
        <v>272</v>
      </c>
      <c r="W93">
        <v>1</v>
      </c>
    </row>
    <row r="94" spans="1:23" x14ac:dyDescent="0.2">
      <c r="A94" t="s">
        <v>968</v>
      </c>
      <c r="B94" t="s">
        <v>213</v>
      </c>
      <c r="C94" t="s">
        <v>15</v>
      </c>
      <c r="D94" t="s">
        <v>311</v>
      </c>
      <c r="E94">
        <v>0.75</v>
      </c>
      <c r="F94">
        <v>18</v>
      </c>
      <c r="G94">
        <v>13.5</v>
      </c>
      <c r="I94" t="s">
        <v>162</v>
      </c>
      <c r="J94" t="s">
        <v>1025</v>
      </c>
      <c r="T94" t="s">
        <v>877</v>
      </c>
      <c r="U94" t="s">
        <v>1044</v>
      </c>
      <c r="V94" t="s">
        <v>405</v>
      </c>
      <c r="W94">
        <v>100</v>
      </c>
    </row>
    <row r="95" spans="1:23" x14ac:dyDescent="0.2">
      <c r="A95" t="s">
        <v>968</v>
      </c>
      <c r="B95" t="s">
        <v>213</v>
      </c>
      <c r="C95" t="s">
        <v>16</v>
      </c>
      <c r="D95" t="s">
        <v>312</v>
      </c>
      <c r="E95">
        <v>0.16</v>
      </c>
      <c r="F95">
        <v>30</v>
      </c>
      <c r="G95">
        <v>4.8</v>
      </c>
      <c r="I95" t="s">
        <v>123</v>
      </c>
      <c r="J95" t="s">
        <v>265</v>
      </c>
      <c r="T95" t="s">
        <v>877</v>
      </c>
      <c r="U95" t="s">
        <v>1045</v>
      </c>
      <c r="V95" t="s">
        <v>402</v>
      </c>
      <c r="W95">
        <v>60</v>
      </c>
    </row>
    <row r="96" spans="1:23" x14ac:dyDescent="0.2">
      <c r="A96" t="s">
        <v>968</v>
      </c>
      <c r="B96" t="s">
        <v>213</v>
      </c>
      <c r="C96" t="s">
        <v>105</v>
      </c>
      <c r="D96" t="s">
        <v>313</v>
      </c>
      <c r="E96">
        <v>10</v>
      </c>
      <c r="F96">
        <v>0.1</v>
      </c>
      <c r="G96">
        <v>1</v>
      </c>
      <c r="I96" t="s">
        <v>904</v>
      </c>
      <c r="J96" t="s">
        <v>905</v>
      </c>
      <c r="T96" t="s">
        <v>877</v>
      </c>
      <c r="U96" t="s">
        <v>1046</v>
      </c>
      <c r="V96" t="s">
        <v>1051</v>
      </c>
      <c r="W96">
        <v>70</v>
      </c>
    </row>
    <row r="97" spans="1:23" x14ac:dyDescent="0.2">
      <c r="A97" t="s">
        <v>968</v>
      </c>
      <c r="B97" t="s">
        <v>213</v>
      </c>
      <c r="C97" t="s">
        <v>107</v>
      </c>
      <c r="D97" t="s">
        <v>316</v>
      </c>
      <c r="E97">
        <v>200</v>
      </c>
      <c r="F97">
        <v>0.1</v>
      </c>
      <c r="G97">
        <v>20</v>
      </c>
      <c r="I97" t="s">
        <v>906</v>
      </c>
      <c r="J97" t="s">
        <v>907</v>
      </c>
      <c r="T97" t="s">
        <v>877</v>
      </c>
      <c r="U97" t="s">
        <v>1047</v>
      </c>
      <c r="V97" t="s">
        <v>1052</v>
      </c>
      <c r="W97">
        <v>70</v>
      </c>
    </row>
    <row r="98" spans="1:23" x14ac:dyDescent="0.2">
      <c r="A98" t="s">
        <v>968</v>
      </c>
      <c r="B98" t="s">
        <v>213</v>
      </c>
      <c r="C98" t="s">
        <v>110</v>
      </c>
      <c r="D98" t="s">
        <v>314</v>
      </c>
      <c r="E98">
        <v>30</v>
      </c>
      <c r="F98">
        <v>0.1</v>
      </c>
      <c r="G98">
        <v>3</v>
      </c>
      <c r="I98" t="s">
        <v>908</v>
      </c>
      <c r="J98" t="s">
        <v>909</v>
      </c>
      <c r="T98" t="s">
        <v>877</v>
      </c>
      <c r="U98" t="s">
        <v>1048</v>
      </c>
      <c r="V98" t="s">
        <v>1053</v>
      </c>
      <c r="W98">
        <v>250</v>
      </c>
    </row>
    <row r="99" spans="1:23" x14ac:dyDescent="0.2">
      <c r="A99" t="s">
        <v>963</v>
      </c>
      <c r="B99" t="s">
        <v>220</v>
      </c>
      <c r="C99" t="s">
        <v>94</v>
      </c>
      <c r="D99" t="s">
        <v>280</v>
      </c>
      <c r="E99">
        <v>1</v>
      </c>
      <c r="F99">
        <v>3.5</v>
      </c>
      <c r="G99">
        <v>3.5</v>
      </c>
      <c r="I99" t="s">
        <v>163</v>
      </c>
      <c r="J99" t="s">
        <v>1026</v>
      </c>
      <c r="T99" t="s">
        <v>877</v>
      </c>
      <c r="U99" t="s">
        <v>1049</v>
      </c>
      <c r="V99" t="s">
        <v>1054</v>
      </c>
      <c r="W99">
        <v>750</v>
      </c>
    </row>
    <row r="100" spans="1:23" x14ac:dyDescent="0.2">
      <c r="A100" t="s">
        <v>963</v>
      </c>
      <c r="B100" t="s">
        <v>220</v>
      </c>
      <c r="C100" t="s">
        <v>95</v>
      </c>
      <c r="D100" t="s">
        <v>281</v>
      </c>
      <c r="E100">
        <v>1</v>
      </c>
      <c r="F100">
        <v>2</v>
      </c>
      <c r="G100">
        <v>2</v>
      </c>
      <c r="I100" t="s">
        <v>164</v>
      </c>
      <c r="J100" t="s">
        <v>1027</v>
      </c>
      <c r="T100" t="s">
        <v>877</v>
      </c>
      <c r="U100" t="s">
        <v>1050</v>
      </c>
      <c r="V100" t="s">
        <v>1055</v>
      </c>
      <c r="W100">
        <v>0</v>
      </c>
    </row>
    <row r="101" spans="1:23" x14ac:dyDescent="0.2">
      <c r="A101" t="s">
        <v>963</v>
      </c>
      <c r="B101" t="s">
        <v>220</v>
      </c>
      <c r="C101" t="s">
        <v>96</v>
      </c>
      <c r="D101" t="s">
        <v>282</v>
      </c>
      <c r="E101">
        <v>1</v>
      </c>
      <c r="F101">
        <v>1</v>
      </c>
      <c r="G101">
        <v>1</v>
      </c>
      <c r="I101" t="s">
        <v>981</v>
      </c>
      <c r="J101" t="s">
        <v>246</v>
      </c>
      <c r="T101" t="s">
        <v>879</v>
      </c>
      <c r="U101" t="s">
        <v>1042</v>
      </c>
      <c r="V101" t="s">
        <v>401</v>
      </c>
      <c r="W101">
        <v>50</v>
      </c>
    </row>
    <row r="102" spans="1:23" x14ac:dyDescent="0.2">
      <c r="A102" t="s">
        <v>963</v>
      </c>
      <c r="B102" t="s">
        <v>220</v>
      </c>
      <c r="C102" t="s">
        <v>97</v>
      </c>
      <c r="D102" t="s">
        <v>283</v>
      </c>
      <c r="E102">
        <v>1</v>
      </c>
      <c r="F102">
        <v>1</v>
      </c>
      <c r="G102">
        <v>1</v>
      </c>
      <c r="I102" t="s">
        <v>982</v>
      </c>
      <c r="J102" t="s">
        <v>251</v>
      </c>
      <c r="T102" t="s">
        <v>879</v>
      </c>
      <c r="U102" t="s">
        <v>1043</v>
      </c>
      <c r="V102" t="s">
        <v>272</v>
      </c>
      <c r="W102">
        <v>1</v>
      </c>
    </row>
    <row r="103" spans="1:23" x14ac:dyDescent="0.2">
      <c r="A103" t="s">
        <v>963</v>
      </c>
      <c r="B103" t="s">
        <v>220</v>
      </c>
      <c r="C103" t="s">
        <v>99</v>
      </c>
      <c r="D103" t="s">
        <v>284</v>
      </c>
      <c r="E103">
        <v>1</v>
      </c>
      <c r="F103">
        <v>0</v>
      </c>
      <c r="G103">
        <v>0</v>
      </c>
      <c r="I103" t="s">
        <v>136</v>
      </c>
      <c r="J103" t="s">
        <v>217</v>
      </c>
      <c r="T103" t="s">
        <v>879</v>
      </c>
      <c r="U103" t="s">
        <v>1044</v>
      </c>
      <c r="V103" t="s">
        <v>405</v>
      </c>
      <c r="W103">
        <v>100</v>
      </c>
    </row>
    <row r="104" spans="1:23" x14ac:dyDescent="0.2">
      <c r="A104" t="s">
        <v>963</v>
      </c>
      <c r="B104" t="s">
        <v>220</v>
      </c>
      <c r="C104" t="s">
        <v>100</v>
      </c>
      <c r="D104" t="s">
        <v>285</v>
      </c>
      <c r="E104">
        <v>1</v>
      </c>
      <c r="F104">
        <v>0</v>
      </c>
      <c r="G104">
        <v>0</v>
      </c>
      <c r="I104" t="s">
        <v>137</v>
      </c>
      <c r="J104" t="s">
        <v>215</v>
      </c>
      <c r="T104" t="s">
        <v>879</v>
      </c>
      <c r="U104" t="s">
        <v>1045</v>
      </c>
      <c r="V104" t="s">
        <v>402</v>
      </c>
      <c r="W104">
        <v>60</v>
      </c>
    </row>
    <row r="105" spans="1:23" x14ac:dyDescent="0.2">
      <c r="A105" t="s">
        <v>963</v>
      </c>
      <c r="B105" t="s">
        <v>220</v>
      </c>
      <c r="C105" t="s">
        <v>51</v>
      </c>
      <c r="D105" t="s">
        <v>286</v>
      </c>
      <c r="E105">
        <v>0.12</v>
      </c>
      <c r="F105">
        <v>419</v>
      </c>
      <c r="G105">
        <v>50.28</v>
      </c>
      <c r="I105" t="s">
        <v>139</v>
      </c>
      <c r="J105" t="s">
        <v>216</v>
      </c>
      <c r="T105" t="s">
        <v>879</v>
      </c>
      <c r="U105" t="s">
        <v>1046</v>
      </c>
      <c r="V105" t="s">
        <v>1051</v>
      </c>
      <c r="W105">
        <v>70</v>
      </c>
    </row>
    <row r="106" spans="1:23" x14ac:dyDescent="0.2">
      <c r="A106" t="s">
        <v>963</v>
      </c>
      <c r="B106" t="s">
        <v>220</v>
      </c>
      <c r="C106" t="s">
        <v>56</v>
      </c>
      <c r="D106" t="s">
        <v>287</v>
      </c>
      <c r="E106">
        <v>0.8</v>
      </c>
      <c r="F106">
        <v>90</v>
      </c>
      <c r="G106">
        <v>72</v>
      </c>
      <c r="I106" t="s">
        <v>138</v>
      </c>
      <c r="J106" t="s">
        <v>214</v>
      </c>
      <c r="T106" t="s">
        <v>879</v>
      </c>
      <c r="U106" t="s">
        <v>1047</v>
      </c>
      <c r="V106" t="s">
        <v>1052</v>
      </c>
      <c r="W106">
        <v>70</v>
      </c>
    </row>
    <row r="107" spans="1:23" x14ac:dyDescent="0.2">
      <c r="A107" t="s">
        <v>963</v>
      </c>
      <c r="B107" t="s">
        <v>220</v>
      </c>
      <c r="C107" t="s">
        <v>69</v>
      </c>
      <c r="D107" t="s">
        <v>288</v>
      </c>
      <c r="E107">
        <v>0.22</v>
      </c>
      <c r="F107">
        <v>190</v>
      </c>
      <c r="G107">
        <v>41.8</v>
      </c>
      <c r="I107" t="s">
        <v>178</v>
      </c>
      <c r="J107" t="s">
        <v>1015</v>
      </c>
      <c r="T107" t="s">
        <v>879</v>
      </c>
      <c r="U107" t="s">
        <v>1048</v>
      </c>
      <c r="V107" t="s">
        <v>1053</v>
      </c>
      <c r="W107">
        <v>250</v>
      </c>
    </row>
    <row r="108" spans="1:23" x14ac:dyDescent="0.2">
      <c r="A108" t="s">
        <v>963</v>
      </c>
      <c r="B108" t="s">
        <v>220</v>
      </c>
      <c r="C108" t="s">
        <v>79</v>
      </c>
      <c r="D108" t="s">
        <v>289</v>
      </c>
      <c r="E108">
        <v>1.125</v>
      </c>
      <c r="F108">
        <v>380</v>
      </c>
      <c r="G108">
        <v>427.5</v>
      </c>
      <c r="I108" t="s">
        <v>184</v>
      </c>
      <c r="J108" t="s">
        <v>1021</v>
      </c>
      <c r="T108" t="s">
        <v>879</v>
      </c>
      <c r="U108" t="s">
        <v>1049</v>
      </c>
      <c r="V108" t="s">
        <v>1054</v>
      </c>
      <c r="W108">
        <v>750</v>
      </c>
    </row>
    <row r="109" spans="1:23" x14ac:dyDescent="0.2">
      <c r="A109" t="s">
        <v>963</v>
      </c>
      <c r="B109" t="s">
        <v>220</v>
      </c>
      <c r="C109" t="s">
        <v>49</v>
      </c>
      <c r="D109" t="s">
        <v>290</v>
      </c>
      <c r="E109">
        <v>7.4999999999999997E-2</v>
      </c>
      <c r="F109">
        <v>248</v>
      </c>
      <c r="G109">
        <v>18.600000000000001</v>
      </c>
      <c r="I109" t="s">
        <v>182</v>
      </c>
      <c r="J109" t="s">
        <v>1019</v>
      </c>
      <c r="T109" t="s">
        <v>879</v>
      </c>
      <c r="U109" t="s">
        <v>1050</v>
      </c>
      <c r="V109" t="s">
        <v>1055</v>
      </c>
      <c r="W109">
        <v>0</v>
      </c>
    </row>
    <row r="110" spans="1:23" x14ac:dyDescent="0.2">
      <c r="A110" t="s">
        <v>963</v>
      </c>
      <c r="B110" t="s">
        <v>220</v>
      </c>
      <c r="C110" t="s">
        <v>28</v>
      </c>
      <c r="D110" t="s">
        <v>291</v>
      </c>
      <c r="E110">
        <v>1.3</v>
      </c>
      <c r="F110">
        <v>175</v>
      </c>
      <c r="G110">
        <v>227.5</v>
      </c>
      <c r="I110" t="s">
        <v>179</v>
      </c>
      <c r="J110" t="s">
        <v>1016</v>
      </c>
      <c r="T110" t="s">
        <v>881</v>
      </c>
      <c r="U110" t="s">
        <v>1042</v>
      </c>
      <c r="V110" t="s">
        <v>401</v>
      </c>
      <c r="W110">
        <v>50</v>
      </c>
    </row>
    <row r="111" spans="1:23" x14ac:dyDescent="0.2">
      <c r="A111" t="s">
        <v>963</v>
      </c>
      <c r="B111" t="s">
        <v>220</v>
      </c>
      <c r="C111" t="s">
        <v>29</v>
      </c>
      <c r="D111" t="s">
        <v>292</v>
      </c>
      <c r="E111">
        <v>0.4</v>
      </c>
      <c r="F111">
        <v>27</v>
      </c>
      <c r="G111">
        <v>10.8</v>
      </c>
      <c r="I111" t="s">
        <v>180</v>
      </c>
      <c r="J111" t="s">
        <v>1017</v>
      </c>
      <c r="T111" t="s">
        <v>881</v>
      </c>
      <c r="U111" t="s">
        <v>1043</v>
      </c>
      <c r="V111" t="s">
        <v>272</v>
      </c>
      <c r="W111">
        <v>1</v>
      </c>
    </row>
    <row r="112" spans="1:23" x14ac:dyDescent="0.2">
      <c r="A112" t="s">
        <v>963</v>
      </c>
      <c r="B112" t="s">
        <v>220</v>
      </c>
      <c r="C112" t="s">
        <v>31</v>
      </c>
      <c r="D112" t="s">
        <v>293</v>
      </c>
      <c r="E112">
        <v>4</v>
      </c>
      <c r="F112">
        <v>5</v>
      </c>
      <c r="G112">
        <v>20</v>
      </c>
      <c r="I112" t="s">
        <v>177</v>
      </c>
      <c r="J112" t="s">
        <v>1014</v>
      </c>
      <c r="T112" t="s">
        <v>881</v>
      </c>
      <c r="U112" t="s">
        <v>1044</v>
      </c>
      <c r="V112" t="s">
        <v>405</v>
      </c>
      <c r="W112">
        <v>100</v>
      </c>
    </row>
    <row r="113" spans="1:23" x14ac:dyDescent="0.2">
      <c r="A113" t="s">
        <v>963</v>
      </c>
      <c r="B113" t="s">
        <v>220</v>
      </c>
      <c r="C113" t="s">
        <v>34</v>
      </c>
      <c r="D113" t="s">
        <v>294</v>
      </c>
      <c r="E113">
        <v>2</v>
      </c>
      <c r="F113">
        <v>18</v>
      </c>
      <c r="G113">
        <v>36</v>
      </c>
      <c r="I113" t="s">
        <v>181</v>
      </c>
      <c r="J113" t="s">
        <v>1018</v>
      </c>
      <c r="T113" t="s">
        <v>881</v>
      </c>
      <c r="U113" t="s">
        <v>1045</v>
      </c>
      <c r="V113" t="s">
        <v>402</v>
      </c>
      <c r="W113">
        <v>60</v>
      </c>
    </row>
    <row r="114" spans="1:23" x14ac:dyDescent="0.2">
      <c r="A114" t="s">
        <v>963</v>
      </c>
      <c r="B114" t="s">
        <v>220</v>
      </c>
      <c r="C114" t="s">
        <v>35</v>
      </c>
      <c r="D114" t="s">
        <v>295</v>
      </c>
      <c r="E114">
        <v>1</v>
      </c>
      <c r="F114">
        <v>18</v>
      </c>
      <c r="G114">
        <v>18</v>
      </c>
      <c r="I114" t="s">
        <v>176</v>
      </c>
      <c r="J114" t="s">
        <v>1013</v>
      </c>
      <c r="T114" t="s">
        <v>881</v>
      </c>
      <c r="U114" t="s">
        <v>1046</v>
      </c>
      <c r="V114" t="s">
        <v>1051</v>
      </c>
      <c r="W114">
        <v>70</v>
      </c>
    </row>
    <row r="115" spans="1:23" x14ac:dyDescent="0.2">
      <c r="A115" t="s">
        <v>963</v>
      </c>
      <c r="B115" t="s">
        <v>220</v>
      </c>
      <c r="C115" t="s">
        <v>36</v>
      </c>
      <c r="D115" t="s">
        <v>296</v>
      </c>
      <c r="E115">
        <v>2</v>
      </c>
      <c r="F115">
        <v>15</v>
      </c>
      <c r="G115">
        <v>30</v>
      </c>
      <c r="I115" t="s">
        <v>183</v>
      </c>
      <c r="J115" t="s">
        <v>1020</v>
      </c>
      <c r="T115" t="s">
        <v>881</v>
      </c>
      <c r="U115" t="s">
        <v>1047</v>
      </c>
      <c r="V115" t="s">
        <v>1052</v>
      </c>
      <c r="W115">
        <v>70</v>
      </c>
    </row>
    <row r="116" spans="1:23" x14ac:dyDescent="0.2">
      <c r="A116" t="s">
        <v>963</v>
      </c>
      <c r="B116" t="s">
        <v>220</v>
      </c>
      <c r="C116" t="s">
        <v>37</v>
      </c>
      <c r="D116" t="s">
        <v>297</v>
      </c>
      <c r="E116">
        <v>1</v>
      </c>
      <c r="F116">
        <v>18</v>
      </c>
      <c r="G116">
        <v>18</v>
      </c>
      <c r="I116" t="s">
        <v>175</v>
      </c>
      <c r="J116" t="s">
        <v>1012</v>
      </c>
      <c r="T116" t="s">
        <v>881</v>
      </c>
      <c r="U116" t="s">
        <v>1048</v>
      </c>
      <c r="V116" t="s">
        <v>1053</v>
      </c>
      <c r="W116">
        <v>250</v>
      </c>
    </row>
    <row r="117" spans="1:23" x14ac:dyDescent="0.2">
      <c r="A117" t="s">
        <v>963</v>
      </c>
      <c r="B117" t="s">
        <v>220</v>
      </c>
      <c r="C117" t="s">
        <v>39</v>
      </c>
      <c r="D117" t="s">
        <v>298</v>
      </c>
      <c r="E117">
        <v>1</v>
      </c>
      <c r="F117">
        <v>18</v>
      </c>
      <c r="G117">
        <v>18</v>
      </c>
      <c r="I117" t="s">
        <v>174</v>
      </c>
      <c r="J117" t="s">
        <v>234</v>
      </c>
      <c r="T117" t="s">
        <v>881</v>
      </c>
      <c r="U117" t="s">
        <v>1049</v>
      </c>
      <c r="V117" t="s">
        <v>1054</v>
      </c>
      <c r="W117">
        <v>750</v>
      </c>
    </row>
    <row r="118" spans="1:23" x14ac:dyDescent="0.2">
      <c r="A118" t="s">
        <v>963</v>
      </c>
      <c r="B118" t="s">
        <v>220</v>
      </c>
      <c r="C118" t="s">
        <v>42</v>
      </c>
      <c r="D118" t="s">
        <v>299</v>
      </c>
      <c r="E118">
        <v>2</v>
      </c>
      <c r="F118">
        <v>2.5</v>
      </c>
      <c r="G118">
        <v>5</v>
      </c>
      <c r="I118" t="s">
        <v>170</v>
      </c>
      <c r="J118" t="s">
        <v>235</v>
      </c>
      <c r="T118" t="s">
        <v>881</v>
      </c>
      <c r="U118" t="s">
        <v>1050</v>
      </c>
      <c r="V118" t="s">
        <v>1055</v>
      </c>
      <c r="W118">
        <v>0</v>
      </c>
    </row>
    <row r="119" spans="1:23" x14ac:dyDescent="0.2">
      <c r="A119" t="s">
        <v>963</v>
      </c>
      <c r="B119" t="s">
        <v>220</v>
      </c>
      <c r="C119" t="s">
        <v>43</v>
      </c>
      <c r="D119" t="s">
        <v>300</v>
      </c>
      <c r="E119">
        <v>92</v>
      </c>
      <c r="F119">
        <v>9.5</v>
      </c>
      <c r="G119">
        <v>874</v>
      </c>
      <c r="I119" t="s">
        <v>169</v>
      </c>
      <c r="J119" t="s">
        <v>232</v>
      </c>
      <c r="T119" t="s">
        <v>883</v>
      </c>
      <c r="U119" t="s">
        <v>1042</v>
      </c>
      <c r="V119" t="s">
        <v>401</v>
      </c>
      <c r="W119">
        <v>50</v>
      </c>
    </row>
    <row r="120" spans="1:23" x14ac:dyDescent="0.2">
      <c r="A120" t="s">
        <v>963</v>
      </c>
      <c r="B120" t="s">
        <v>220</v>
      </c>
      <c r="C120" t="s">
        <v>121</v>
      </c>
      <c r="D120" t="s">
        <v>301</v>
      </c>
      <c r="E120">
        <v>1</v>
      </c>
      <c r="F120">
        <v>0.95</v>
      </c>
      <c r="G120">
        <v>0.95</v>
      </c>
      <c r="I120" t="s">
        <v>172</v>
      </c>
      <c r="J120" t="s">
        <v>233</v>
      </c>
      <c r="T120" t="s">
        <v>883</v>
      </c>
      <c r="U120" t="s">
        <v>1043</v>
      </c>
      <c r="V120" t="s">
        <v>272</v>
      </c>
      <c r="W120">
        <v>1</v>
      </c>
    </row>
    <row r="121" spans="1:23" x14ac:dyDescent="0.2">
      <c r="A121" t="s">
        <v>963</v>
      </c>
      <c r="B121" t="s">
        <v>220</v>
      </c>
      <c r="C121" t="s">
        <v>122</v>
      </c>
      <c r="D121" t="s">
        <v>302</v>
      </c>
      <c r="E121">
        <v>1</v>
      </c>
      <c r="F121">
        <v>4.2</v>
      </c>
      <c r="G121">
        <v>4.2</v>
      </c>
      <c r="I121" t="s">
        <v>171</v>
      </c>
      <c r="J121" t="s">
        <v>194</v>
      </c>
      <c r="T121" t="s">
        <v>883</v>
      </c>
      <c r="U121" t="s">
        <v>1044</v>
      </c>
      <c r="V121" t="s">
        <v>405</v>
      </c>
      <c r="W121">
        <v>100</v>
      </c>
    </row>
    <row r="122" spans="1:23" x14ac:dyDescent="0.2">
      <c r="A122" t="s">
        <v>963</v>
      </c>
      <c r="B122" t="s">
        <v>220</v>
      </c>
      <c r="C122" t="s">
        <v>2</v>
      </c>
      <c r="D122" t="s">
        <v>303</v>
      </c>
      <c r="E122">
        <v>1.8</v>
      </c>
      <c r="F122">
        <v>5.0999999999999996</v>
      </c>
      <c r="G122">
        <v>9.18</v>
      </c>
      <c r="I122" t="s">
        <v>167</v>
      </c>
      <c r="J122" t="s">
        <v>231</v>
      </c>
      <c r="T122" t="s">
        <v>883</v>
      </c>
      <c r="U122" t="s">
        <v>1045</v>
      </c>
      <c r="V122" t="s">
        <v>402</v>
      </c>
      <c r="W122">
        <v>60</v>
      </c>
    </row>
    <row r="123" spans="1:23" x14ac:dyDescent="0.2">
      <c r="A123" t="s">
        <v>963</v>
      </c>
      <c r="B123" t="s">
        <v>220</v>
      </c>
      <c r="C123" t="s">
        <v>4</v>
      </c>
      <c r="D123" t="s">
        <v>304</v>
      </c>
      <c r="E123">
        <v>1.8</v>
      </c>
      <c r="F123">
        <v>10.1</v>
      </c>
      <c r="G123">
        <v>18.18</v>
      </c>
      <c r="I123" t="s">
        <v>166</v>
      </c>
      <c r="J123" t="s">
        <v>237</v>
      </c>
      <c r="T123" t="s">
        <v>883</v>
      </c>
      <c r="U123" t="s">
        <v>1046</v>
      </c>
      <c r="V123" t="s">
        <v>1051</v>
      </c>
      <c r="W123">
        <v>70</v>
      </c>
    </row>
    <row r="124" spans="1:23" x14ac:dyDescent="0.2">
      <c r="A124" t="s">
        <v>963</v>
      </c>
      <c r="B124" t="s">
        <v>220</v>
      </c>
      <c r="C124" t="s">
        <v>5</v>
      </c>
      <c r="D124" t="s">
        <v>305</v>
      </c>
      <c r="E124">
        <v>2.5</v>
      </c>
      <c r="F124">
        <v>11.5</v>
      </c>
      <c r="G124">
        <v>28.75</v>
      </c>
      <c r="I124" t="s">
        <v>165</v>
      </c>
      <c r="J124" t="s">
        <v>236</v>
      </c>
      <c r="T124" t="s">
        <v>883</v>
      </c>
      <c r="U124" t="s">
        <v>1047</v>
      </c>
      <c r="V124" t="s">
        <v>1052</v>
      </c>
      <c r="W124">
        <v>70</v>
      </c>
    </row>
    <row r="125" spans="1:23" x14ac:dyDescent="0.2">
      <c r="A125" t="s">
        <v>963</v>
      </c>
      <c r="B125" t="s">
        <v>220</v>
      </c>
      <c r="C125" t="s">
        <v>6</v>
      </c>
      <c r="D125" t="s">
        <v>306</v>
      </c>
      <c r="E125">
        <v>1.7</v>
      </c>
      <c r="F125">
        <v>16.8</v>
      </c>
      <c r="G125">
        <v>28.56</v>
      </c>
      <c r="I125" t="s">
        <v>168</v>
      </c>
      <c r="J125" t="s">
        <v>264</v>
      </c>
      <c r="T125" t="s">
        <v>883</v>
      </c>
      <c r="U125" t="s">
        <v>1048</v>
      </c>
      <c r="V125" t="s">
        <v>1053</v>
      </c>
      <c r="W125">
        <v>250</v>
      </c>
    </row>
    <row r="126" spans="1:23" x14ac:dyDescent="0.2">
      <c r="A126" t="s">
        <v>963</v>
      </c>
      <c r="B126" t="s">
        <v>220</v>
      </c>
      <c r="C126" t="s">
        <v>7</v>
      </c>
      <c r="D126" t="s">
        <v>307</v>
      </c>
      <c r="E126">
        <v>8.1999999999999993</v>
      </c>
      <c r="F126">
        <v>6.7</v>
      </c>
      <c r="G126">
        <v>54.94</v>
      </c>
      <c r="I126" t="s">
        <v>173</v>
      </c>
      <c r="J126" t="s">
        <v>193</v>
      </c>
      <c r="T126" t="s">
        <v>883</v>
      </c>
      <c r="U126" t="s">
        <v>1049</v>
      </c>
      <c r="V126" t="s">
        <v>1054</v>
      </c>
      <c r="W126">
        <v>750</v>
      </c>
    </row>
    <row r="127" spans="1:23" x14ac:dyDescent="0.2">
      <c r="A127" t="s">
        <v>963</v>
      </c>
      <c r="B127" t="s">
        <v>220</v>
      </c>
      <c r="C127" t="s">
        <v>12</v>
      </c>
      <c r="D127" t="s">
        <v>308</v>
      </c>
      <c r="E127">
        <v>0.7</v>
      </c>
      <c r="F127">
        <v>7</v>
      </c>
      <c r="G127">
        <v>4.9000000000000004</v>
      </c>
      <c r="I127" t="s">
        <v>185</v>
      </c>
      <c r="J127" t="s">
        <v>1028</v>
      </c>
      <c r="T127" t="s">
        <v>883</v>
      </c>
      <c r="U127" t="s">
        <v>1050</v>
      </c>
      <c r="V127" t="s">
        <v>1055</v>
      </c>
      <c r="W127">
        <v>0</v>
      </c>
    </row>
    <row r="128" spans="1:23" x14ac:dyDescent="0.2">
      <c r="A128" t="s">
        <v>963</v>
      </c>
      <c r="B128" t="s">
        <v>220</v>
      </c>
      <c r="C128" t="s">
        <v>13</v>
      </c>
      <c r="D128" t="s">
        <v>309</v>
      </c>
      <c r="E128">
        <v>2.4</v>
      </c>
      <c r="F128">
        <v>7</v>
      </c>
      <c r="G128">
        <v>16.8</v>
      </c>
      <c r="I128" t="s">
        <v>187</v>
      </c>
      <c r="J128" t="s">
        <v>1030</v>
      </c>
      <c r="T128" t="s">
        <v>885</v>
      </c>
      <c r="U128" t="s">
        <v>1042</v>
      </c>
      <c r="V128" t="s">
        <v>401</v>
      </c>
      <c r="W128">
        <v>50</v>
      </c>
    </row>
    <row r="129" spans="1:23" x14ac:dyDescent="0.2">
      <c r="A129" t="s">
        <v>963</v>
      </c>
      <c r="B129" t="s">
        <v>220</v>
      </c>
      <c r="C129" t="s">
        <v>14</v>
      </c>
      <c r="D129" t="s">
        <v>310</v>
      </c>
      <c r="E129">
        <v>0.15</v>
      </c>
      <c r="F129">
        <v>18</v>
      </c>
      <c r="G129">
        <v>2.7</v>
      </c>
      <c r="I129" t="s">
        <v>186</v>
      </c>
      <c r="J129" t="s">
        <v>1029</v>
      </c>
      <c r="T129" t="s">
        <v>885</v>
      </c>
      <c r="U129" t="s">
        <v>1043</v>
      </c>
      <c r="V129" t="s">
        <v>272</v>
      </c>
      <c r="W129">
        <v>1</v>
      </c>
    </row>
    <row r="130" spans="1:23" x14ac:dyDescent="0.2">
      <c r="A130" t="s">
        <v>963</v>
      </c>
      <c r="B130" t="s">
        <v>220</v>
      </c>
      <c r="C130" t="s">
        <v>15</v>
      </c>
      <c r="D130" t="s">
        <v>311</v>
      </c>
      <c r="E130">
        <v>0.15</v>
      </c>
      <c r="F130">
        <v>18</v>
      </c>
      <c r="G130">
        <v>2.7</v>
      </c>
      <c r="I130" t="s">
        <v>922</v>
      </c>
      <c r="J130" t="s">
        <v>923</v>
      </c>
      <c r="T130" t="s">
        <v>885</v>
      </c>
      <c r="U130" t="s">
        <v>1044</v>
      </c>
      <c r="V130" t="s">
        <v>405</v>
      </c>
      <c r="W130">
        <v>100</v>
      </c>
    </row>
    <row r="131" spans="1:23" x14ac:dyDescent="0.2">
      <c r="A131" t="s">
        <v>963</v>
      </c>
      <c r="B131" t="s">
        <v>220</v>
      </c>
      <c r="C131" t="s">
        <v>16</v>
      </c>
      <c r="D131" t="s">
        <v>312</v>
      </c>
      <c r="E131">
        <v>0.16</v>
      </c>
      <c r="F131">
        <v>30</v>
      </c>
      <c r="G131">
        <v>4.8</v>
      </c>
      <c r="I131" t="s">
        <v>924</v>
      </c>
      <c r="J131" t="s">
        <v>925</v>
      </c>
      <c r="T131" t="s">
        <v>885</v>
      </c>
      <c r="U131" t="s">
        <v>1045</v>
      </c>
      <c r="V131" t="s">
        <v>402</v>
      </c>
      <c r="W131">
        <v>60</v>
      </c>
    </row>
    <row r="132" spans="1:23" x14ac:dyDescent="0.2">
      <c r="A132" t="s">
        <v>963</v>
      </c>
      <c r="B132" t="s">
        <v>220</v>
      </c>
      <c r="C132" t="s">
        <v>105</v>
      </c>
      <c r="D132" t="s">
        <v>313</v>
      </c>
      <c r="E132">
        <v>200</v>
      </c>
      <c r="F132">
        <v>0.1</v>
      </c>
      <c r="G132">
        <v>20</v>
      </c>
      <c r="I132" t="s">
        <v>918</v>
      </c>
      <c r="J132" t="s">
        <v>919</v>
      </c>
      <c r="T132" t="s">
        <v>885</v>
      </c>
      <c r="U132" t="s">
        <v>1046</v>
      </c>
      <c r="V132" t="s">
        <v>1051</v>
      </c>
      <c r="W132">
        <v>70</v>
      </c>
    </row>
    <row r="133" spans="1:23" x14ac:dyDescent="0.2">
      <c r="A133" t="s">
        <v>963</v>
      </c>
      <c r="B133" t="s">
        <v>220</v>
      </c>
      <c r="C133" t="s">
        <v>110</v>
      </c>
      <c r="D133" t="s">
        <v>314</v>
      </c>
      <c r="E133">
        <v>30</v>
      </c>
      <c r="F133">
        <v>0.1</v>
      </c>
      <c r="G133">
        <v>3</v>
      </c>
      <c r="I133" t="s">
        <v>926</v>
      </c>
      <c r="J133" t="s">
        <v>927</v>
      </c>
      <c r="T133" t="s">
        <v>885</v>
      </c>
      <c r="U133" t="s">
        <v>1047</v>
      </c>
      <c r="V133" t="s">
        <v>1052</v>
      </c>
      <c r="W133">
        <v>70</v>
      </c>
    </row>
    <row r="134" spans="1:23" x14ac:dyDescent="0.2">
      <c r="A134" t="s">
        <v>969</v>
      </c>
      <c r="B134" t="s">
        <v>201</v>
      </c>
      <c r="C134" t="s">
        <v>94</v>
      </c>
      <c r="D134" t="s">
        <v>280</v>
      </c>
      <c r="E134">
        <v>1</v>
      </c>
      <c r="F134">
        <v>3.5</v>
      </c>
      <c r="G134">
        <v>3.5</v>
      </c>
      <c r="I134" t="s">
        <v>930</v>
      </c>
      <c r="J134" t="s">
        <v>931</v>
      </c>
      <c r="T134" t="s">
        <v>885</v>
      </c>
      <c r="U134" t="s">
        <v>1048</v>
      </c>
      <c r="V134" t="s">
        <v>1053</v>
      </c>
      <c r="W134">
        <v>250</v>
      </c>
    </row>
    <row r="135" spans="1:23" x14ac:dyDescent="0.2">
      <c r="A135" t="s">
        <v>969</v>
      </c>
      <c r="B135" t="s">
        <v>201</v>
      </c>
      <c r="C135" t="s">
        <v>95</v>
      </c>
      <c r="D135" t="s">
        <v>281</v>
      </c>
      <c r="E135">
        <v>1</v>
      </c>
      <c r="F135">
        <v>2</v>
      </c>
      <c r="G135">
        <v>2</v>
      </c>
      <c r="I135" t="s">
        <v>928</v>
      </c>
      <c r="J135" t="s">
        <v>929</v>
      </c>
      <c r="T135" t="s">
        <v>885</v>
      </c>
      <c r="U135" t="s">
        <v>1049</v>
      </c>
      <c r="V135" t="s">
        <v>1054</v>
      </c>
      <c r="W135">
        <v>750</v>
      </c>
    </row>
    <row r="136" spans="1:23" x14ac:dyDescent="0.2">
      <c r="A136" t="s">
        <v>969</v>
      </c>
      <c r="B136" t="s">
        <v>201</v>
      </c>
      <c r="C136" t="s">
        <v>96</v>
      </c>
      <c r="D136" t="s">
        <v>282</v>
      </c>
      <c r="E136">
        <v>1</v>
      </c>
      <c r="F136">
        <v>1</v>
      </c>
      <c r="G136">
        <v>1</v>
      </c>
      <c r="I136" t="s">
        <v>890</v>
      </c>
      <c r="J136" t="s">
        <v>891</v>
      </c>
      <c r="T136" t="s">
        <v>885</v>
      </c>
      <c r="U136" t="s">
        <v>1050</v>
      </c>
      <c r="V136" t="s">
        <v>1055</v>
      </c>
      <c r="W136">
        <v>0</v>
      </c>
    </row>
    <row r="137" spans="1:23" x14ac:dyDescent="0.2">
      <c r="A137" t="s">
        <v>969</v>
      </c>
      <c r="B137" t="s">
        <v>201</v>
      </c>
      <c r="C137" t="s">
        <v>97</v>
      </c>
      <c r="D137" t="s">
        <v>283</v>
      </c>
      <c r="E137">
        <v>1</v>
      </c>
      <c r="F137">
        <v>1</v>
      </c>
      <c r="G137">
        <v>1</v>
      </c>
      <c r="I137" t="s">
        <v>910</v>
      </c>
      <c r="J137" t="s">
        <v>911</v>
      </c>
      <c r="T137" t="s">
        <v>887</v>
      </c>
      <c r="U137" t="s">
        <v>1042</v>
      </c>
      <c r="V137" t="s">
        <v>401</v>
      </c>
      <c r="W137">
        <v>50</v>
      </c>
    </row>
    <row r="138" spans="1:23" x14ac:dyDescent="0.2">
      <c r="A138" t="s">
        <v>969</v>
      </c>
      <c r="B138" t="s">
        <v>201</v>
      </c>
      <c r="C138" t="s">
        <v>99</v>
      </c>
      <c r="D138" t="s">
        <v>284</v>
      </c>
      <c r="E138">
        <v>1</v>
      </c>
      <c r="F138">
        <v>0</v>
      </c>
      <c r="G138">
        <v>0</v>
      </c>
      <c r="I138" t="s">
        <v>916</v>
      </c>
      <c r="J138" t="s">
        <v>917</v>
      </c>
      <c r="T138" t="s">
        <v>887</v>
      </c>
      <c r="U138" t="s">
        <v>1043</v>
      </c>
      <c r="V138" t="s">
        <v>272</v>
      </c>
      <c r="W138">
        <v>1</v>
      </c>
    </row>
    <row r="139" spans="1:23" x14ac:dyDescent="0.2">
      <c r="A139" t="s">
        <v>969</v>
      </c>
      <c r="B139" t="s">
        <v>201</v>
      </c>
      <c r="C139" t="s">
        <v>100</v>
      </c>
      <c r="D139" t="s">
        <v>285</v>
      </c>
      <c r="E139">
        <v>1</v>
      </c>
      <c r="F139">
        <v>0</v>
      </c>
      <c r="G139">
        <v>0</v>
      </c>
      <c r="I139" t="s">
        <v>914</v>
      </c>
      <c r="J139" t="s">
        <v>915</v>
      </c>
      <c r="T139" t="s">
        <v>887</v>
      </c>
      <c r="U139" t="s">
        <v>1044</v>
      </c>
      <c r="V139" t="s">
        <v>405</v>
      </c>
      <c r="W139">
        <v>100</v>
      </c>
    </row>
    <row r="140" spans="1:23" x14ac:dyDescent="0.2">
      <c r="A140" t="s">
        <v>969</v>
      </c>
      <c r="B140" t="s">
        <v>201</v>
      </c>
      <c r="C140" t="s">
        <v>51</v>
      </c>
      <c r="D140" t="s">
        <v>286</v>
      </c>
      <c r="E140">
        <v>0.12</v>
      </c>
      <c r="F140">
        <v>419</v>
      </c>
      <c r="G140">
        <v>50.28</v>
      </c>
      <c r="I140" t="s">
        <v>912</v>
      </c>
      <c r="J140" t="s">
        <v>913</v>
      </c>
      <c r="T140" t="s">
        <v>887</v>
      </c>
      <c r="U140" t="s">
        <v>1045</v>
      </c>
      <c r="V140" t="s">
        <v>402</v>
      </c>
      <c r="W140">
        <v>60</v>
      </c>
    </row>
    <row r="141" spans="1:23" x14ac:dyDescent="0.2">
      <c r="A141" t="s">
        <v>969</v>
      </c>
      <c r="B141" t="s">
        <v>201</v>
      </c>
      <c r="C141" t="s">
        <v>56</v>
      </c>
      <c r="D141" t="s">
        <v>287</v>
      </c>
      <c r="E141">
        <v>0.8</v>
      </c>
      <c r="F141">
        <v>90</v>
      </c>
      <c r="G141">
        <v>72</v>
      </c>
      <c r="I141" t="s">
        <v>920</v>
      </c>
      <c r="J141" t="s">
        <v>921</v>
      </c>
      <c r="T141" t="s">
        <v>887</v>
      </c>
      <c r="U141" t="s">
        <v>1046</v>
      </c>
      <c r="V141" t="s">
        <v>1051</v>
      </c>
      <c r="W141">
        <v>70</v>
      </c>
    </row>
    <row r="142" spans="1:23" x14ac:dyDescent="0.2">
      <c r="A142" t="s">
        <v>969</v>
      </c>
      <c r="B142" t="s">
        <v>201</v>
      </c>
      <c r="C142" t="s">
        <v>69</v>
      </c>
      <c r="D142" t="s">
        <v>288</v>
      </c>
      <c r="E142">
        <v>0.22</v>
      </c>
      <c r="F142">
        <v>190</v>
      </c>
      <c r="G142">
        <v>41.8</v>
      </c>
      <c r="I142" t="s">
        <v>153</v>
      </c>
      <c r="J142" t="s">
        <v>210</v>
      </c>
      <c r="T142" t="s">
        <v>887</v>
      </c>
      <c r="U142" t="s">
        <v>1047</v>
      </c>
      <c r="V142" t="s">
        <v>1052</v>
      </c>
      <c r="W142">
        <v>70</v>
      </c>
    </row>
    <row r="143" spans="1:23" x14ac:dyDescent="0.2">
      <c r="A143" t="s">
        <v>969</v>
      </c>
      <c r="B143" t="s">
        <v>201</v>
      </c>
      <c r="C143" t="s">
        <v>83</v>
      </c>
      <c r="D143" t="s">
        <v>315</v>
      </c>
      <c r="E143">
        <v>1.125</v>
      </c>
      <c r="F143">
        <v>365</v>
      </c>
      <c r="G143">
        <v>410.625</v>
      </c>
      <c r="I143" t="s">
        <v>159</v>
      </c>
      <c r="J143" t="s">
        <v>196</v>
      </c>
      <c r="T143" t="s">
        <v>887</v>
      </c>
      <c r="U143" t="s">
        <v>1048</v>
      </c>
      <c r="V143" t="s">
        <v>1053</v>
      </c>
      <c r="W143">
        <v>250</v>
      </c>
    </row>
    <row r="144" spans="1:23" x14ac:dyDescent="0.2">
      <c r="A144" t="s">
        <v>969</v>
      </c>
      <c r="B144" t="s">
        <v>201</v>
      </c>
      <c r="C144" t="s">
        <v>49</v>
      </c>
      <c r="D144" t="s">
        <v>290</v>
      </c>
      <c r="E144">
        <v>7.4999999999999997E-2</v>
      </c>
      <c r="F144">
        <v>248</v>
      </c>
      <c r="G144">
        <v>18.600000000000001</v>
      </c>
      <c r="I144" t="s">
        <v>158</v>
      </c>
      <c r="J144" t="s">
        <v>200</v>
      </c>
      <c r="T144" t="s">
        <v>887</v>
      </c>
      <c r="U144" t="s">
        <v>1049</v>
      </c>
      <c r="V144" t="s">
        <v>1054</v>
      </c>
      <c r="W144">
        <v>750</v>
      </c>
    </row>
    <row r="145" spans="1:23" x14ac:dyDescent="0.2">
      <c r="A145" t="s">
        <v>969</v>
      </c>
      <c r="B145" t="s">
        <v>201</v>
      </c>
      <c r="C145" t="s">
        <v>28</v>
      </c>
      <c r="D145" t="s">
        <v>291</v>
      </c>
      <c r="E145">
        <v>0.8</v>
      </c>
      <c r="F145">
        <v>175</v>
      </c>
      <c r="G145">
        <v>140</v>
      </c>
      <c r="I145" t="s">
        <v>154</v>
      </c>
      <c r="J145" t="s">
        <v>197</v>
      </c>
      <c r="T145" t="s">
        <v>887</v>
      </c>
      <c r="U145" t="s">
        <v>1050</v>
      </c>
      <c r="V145" t="s">
        <v>1055</v>
      </c>
      <c r="W145">
        <v>0</v>
      </c>
    </row>
    <row r="146" spans="1:23" x14ac:dyDescent="0.2">
      <c r="A146" t="s">
        <v>969</v>
      </c>
      <c r="B146" t="s">
        <v>201</v>
      </c>
      <c r="C146" t="s">
        <v>29</v>
      </c>
      <c r="D146" t="s">
        <v>292</v>
      </c>
      <c r="E146">
        <v>0.4</v>
      </c>
      <c r="F146">
        <v>27</v>
      </c>
      <c r="G146">
        <v>10.8</v>
      </c>
      <c r="I146" t="s">
        <v>160</v>
      </c>
      <c r="J146" t="s">
        <v>211</v>
      </c>
      <c r="T146" t="s">
        <v>889</v>
      </c>
      <c r="U146" t="s">
        <v>1042</v>
      </c>
      <c r="V146" t="s">
        <v>401</v>
      </c>
      <c r="W146">
        <v>50</v>
      </c>
    </row>
    <row r="147" spans="1:23" x14ac:dyDescent="0.2">
      <c r="A147" t="s">
        <v>969</v>
      </c>
      <c r="B147" t="s">
        <v>201</v>
      </c>
      <c r="C147" t="s">
        <v>31</v>
      </c>
      <c r="D147" t="s">
        <v>293</v>
      </c>
      <c r="E147">
        <v>3</v>
      </c>
      <c r="F147">
        <v>5</v>
      </c>
      <c r="G147">
        <v>15</v>
      </c>
      <c r="I147" t="s">
        <v>157</v>
      </c>
      <c r="J147" t="s">
        <v>195</v>
      </c>
      <c r="T147" t="s">
        <v>889</v>
      </c>
      <c r="U147" t="s">
        <v>1043</v>
      </c>
      <c r="V147" t="s">
        <v>272</v>
      </c>
      <c r="W147">
        <v>1</v>
      </c>
    </row>
    <row r="148" spans="1:23" x14ac:dyDescent="0.2">
      <c r="A148" t="s">
        <v>969</v>
      </c>
      <c r="B148" t="s">
        <v>201</v>
      </c>
      <c r="C148" t="s">
        <v>34</v>
      </c>
      <c r="D148" t="s">
        <v>294</v>
      </c>
      <c r="E148">
        <v>2</v>
      </c>
      <c r="F148">
        <v>18</v>
      </c>
      <c r="G148">
        <v>36</v>
      </c>
      <c r="I148" t="s">
        <v>156</v>
      </c>
      <c r="J148" t="s">
        <v>209</v>
      </c>
      <c r="T148" t="s">
        <v>889</v>
      </c>
      <c r="U148" t="s">
        <v>1044</v>
      </c>
      <c r="V148" t="s">
        <v>405</v>
      </c>
      <c r="W148">
        <v>100</v>
      </c>
    </row>
    <row r="149" spans="1:23" x14ac:dyDescent="0.2">
      <c r="A149" t="s">
        <v>969</v>
      </c>
      <c r="B149" t="s">
        <v>201</v>
      </c>
      <c r="C149" t="s">
        <v>35</v>
      </c>
      <c r="D149" t="s">
        <v>295</v>
      </c>
      <c r="E149">
        <v>1</v>
      </c>
      <c r="F149">
        <v>18</v>
      </c>
      <c r="G149">
        <v>18</v>
      </c>
      <c r="I149" t="s">
        <v>155</v>
      </c>
      <c r="J149" t="s">
        <v>198</v>
      </c>
      <c r="T149" t="s">
        <v>889</v>
      </c>
      <c r="U149" t="s">
        <v>1045</v>
      </c>
      <c r="V149" t="s">
        <v>402</v>
      </c>
      <c r="W149">
        <v>60</v>
      </c>
    </row>
    <row r="150" spans="1:23" x14ac:dyDescent="0.2">
      <c r="A150" t="s">
        <v>969</v>
      </c>
      <c r="B150" t="s">
        <v>201</v>
      </c>
      <c r="C150" t="s">
        <v>36</v>
      </c>
      <c r="D150" t="s">
        <v>296</v>
      </c>
      <c r="E150">
        <v>2</v>
      </c>
      <c r="F150">
        <v>15</v>
      </c>
      <c r="G150">
        <v>30</v>
      </c>
      <c r="I150" t="s">
        <v>161</v>
      </c>
      <c r="J150" t="s">
        <v>212</v>
      </c>
      <c r="T150" t="s">
        <v>889</v>
      </c>
      <c r="U150" t="s">
        <v>1046</v>
      </c>
      <c r="V150" t="s">
        <v>1051</v>
      </c>
      <c r="W150">
        <v>70</v>
      </c>
    </row>
    <row r="151" spans="1:23" x14ac:dyDescent="0.2">
      <c r="A151" t="s">
        <v>969</v>
      </c>
      <c r="B151" t="s">
        <v>201</v>
      </c>
      <c r="C151" t="s">
        <v>37</v>
      </c>
      <c r="D151" t="s">
        <v>297</v>
      </c>
      <c r="E151">
        <v>1</v>
      </c>
      <c r="F151">
        <v>18</v>
      </c>
      <c r="G151">
        <v>18</v>
      </c>
      <c r="I151" t="s">
        <v>972</v>
      </c>
      <c r="J151" t="s">
        <v>207</v>
      </c>
      <c r="T151" t="s">
        <v>889</v>
      </c>
      <c r="U151" t="s">
        <v>1047</v>
      </c>
      <c r="V151" t="s">
        <v>1052</v>
      </c>
      <c r="W151">
        <v>70</v>
      </c>
    </row>
    <row r="152" spans="1:23" x14ac:dyDescent="0.2">
      <c r="A152" t="s">
        <v>969</v>
      </c>
      <c r="B152" t="s">
        <v>201</v>
      </c>
      <c r="C152" t="s">
        <v>39</v>
      </c>
      <c r="D152" t="s">
        <v>298</v>
      </c>
      <c r="E152">
        <v>1</v>
      </c>
      <c r="F152">
        <v>18</v>
      </c>
      <c r="G152">
        <v>18</v>
      </c>
      <c r="I152" t="s">
        <v>125</v>
      </c>
      <c r="J152" t="s">
        <v>240</v>
      </c>
      <c r="T152" t="s">
        <v>889</v>
      </c>
      <c r="U152" t="s">
        <v>1048</v>
      </c>
      <c r="V152" t="s">
        <v>1053</v>
      </c>
      <c r="W152">
        <v>250</v>
      </c>
    </row>
    <row r="153" spans="1:23" x14ac:dyDescent="0.2">
      <c r="A153" t="s">
        <v>969</v>
      </c>
      <c r="B153" t="s">
        <v>201</v>
      </c>
      <c r="C153" t="s">
        <v>42</v>
      </c>
      <c r="D153" t="s">
        <v>299</v>
      </c>
      <c r="E153">
        <v>2</v>
      </c>
      <c r="F153">
        <v>2.5</v>
      </c>
      <c r="G153">
        <v>5</v>
      </c>
      <c r="I153" t="s">
        <v>124</v>
      </c>
      <c r="J153" t="s">
        <v>202</v>
      </c>
      <c r="T153" t="s">
        <v>889</v>
      </c>
      <c r="U153" t="s">
        <v>1049</v>
      </c>
      <c r="V153" t="s">
        <v>1054</v>
      </c>
      <c r="W153">
        <v>750</v>
      </c>
    </row>
    <row r="154" spans="1:23" x14ac:dyDescent="0.2">
      <c r="A154" t="s">
        <v>969</v>
      </c>
      <c r="B154" t="s">
        <v>201</v>
      </c>
      <c r="C154" t="s">
        <v>43</v>
      </c>
      <c r="D154" t="s">
        <v>300</v>
      </c>
      <c r="E154">
        <v>92</v>
      </c>
      <c r="F154">
        <v>9.5</v>
      </c>
      <c r="G154">
        <v>874</v>
      </c>
      <c r="I154" t="s">
        <v>130</v>
      </c>
      <c r="J154" t="s">
        <v>192</v>
      </c>
      <c r="T154" t="s">
        <v>889</v>
      </c>
      <c r="U154" t="s">
        <v>1050</v>
      </c>
      <c r="V154" t="s">
        <v>1055</v>
      </c>
      <c r="W154">
        <v>0</v>
      </c>
    </row>
    <row r="155" spans="1:23" x14ac:dyDescent="0.2">
      <c r="A155" t="s">
        <v>969</v>
      </c>
      <c r="B155" t="s">
        <v>201</v>
      </c>
      <c r="C155" t="s">
        <v>121</v>
      </c>
      <c r="D155" t="s">
        <v>301</v>
      </c>
      <c r="E155">
        <v>1</v>
      </c>
      <c r="F155">
        <v>0.95</v>
      </c>
      <c r="G155">
        <v>0.95</v>
      </c>
      <c r="I155" t="s">
        <v>129</v>
      </c>
      <c r="J155" t="s">
        <v>206</v>
      </c>
      <c r="T155" t="s">
        <v>891</v>
      </c>
      <c r="U155" t="s">
        <v>1042</v>
      </c>
      <c r="V155" t="s">
        <v>401</v>
      </c>
      <c r="W155">
        <v>50</v>
      </c>
    </row>
    <row r="156" spans="1:23" x14ac:dyDescent="0.2">
      <c r="A156" t="s">
        <v>969</v>
      </c>
      <c r="B156" t="s">
        <v>201</v>
      </c>
      <c r="C156" t="s">
        <v>122</v>
      </c>
      <c r="D156" t="s">
        <v>302</v>
      </c>
      <c r="E156">
        <v>1</v>
      </c>
      <c r="F156">
        <v>4.2</v>
      </c>
      <c r="G156">
        <v>4.2</v>
      </c>
      <c r="I156" t="s">
        <v>126</v>
      </c>
      <c r="J156" t="s">
        <v>208</v>
      </c>
      <c r="T156" t="s">
        <v>891</v>
      </c>
      <c r="U156" t="s">
        <v>1043</v>
      </c>
      <c r="V156" t="s">
        <v>272</v>
      </c>
      <c r="W156">
        <v>345</v>
      </c>
    </row>
    <row r="157" spans="1:23" x14ac:dyDescent="0.2">
      <c r="A157" t="s">
        <v>969</v>
      </c>
      <c r="B157" t="s">
        <v>201</v>
      </c>
      <c r="C157" t="s">
        <v>2</v>
      </c>
      <c r="D157" t="s">
        <v>303</v>
      </c>
      <c r="E157">
        <v>1.8</v>
      </c>
      <c r="F157">
        <v>5.0999999999999996</v>
      </c>
      <c r="G157">
        <v>9.18</v>
      </c>
      <c r="I157" t="s">
        <v>131</v>
      </c>
      <c r="J157" t="s">
        <v>205</v>
      </c>
      <c r="T157" t="s">
        <v>891</v>
      </c>
      <c r="U157" t="s">
        <v>1044</v>
      </c>
      <c r="V157" t="s">
        <v>405</v>
      </c>
      <c r="W157">
        <v>100</v>
      </c>
    </row>
    <row r="158" spans="1:23" x14ac:dyDescent="0.2">
      <c r="A158" t="s">
        <v>969</v>
      </c>
      <c r="B158" t="s">
        <v>201</v>
      </c>
      <c r="C158" t="s">
        <v>4</v>
      </c>
      <c r="D158" t="s">
        <v>304</v>
      </c>
      <c r="E158">
        <v>1.8</v>
      </c>
      <c r="F158">
        <v>10.1</v>
      </c>
      <c r="G158">
        <v>18.18</v>
      </c>
      <c r="I158" t="s">
        <v>127</v>
      </c>
      <c r="J158" t="s">
        <v>241</v>
      </c>
      <c r="T158" t="s">
        <v>891</v>
      </c>
      <c r="U158" t="s">
        <v>1045</v>
      </c>
      <c r="V158" t="s">
        <v>402</v>
      </c>
      <c r="W158">
        <v>60</v>
      </c>
    </row>
    <row r="159" spans="1:23" x14ac:dyDescent="0.2">
      <c r="A159" t="s">
        <v>969</v>
      </c>
      <c r="B159" t="s">
        <v>201</v>
      </c>
      <c r="C159" t="s">
        <v>5</v>
      </c>
      <c r="D159" t="s">
        <v>305</v>
      </c>
      <c r="E159">
        <v>2.5</v>
      </c>
      <c r="F159">
        <v>11.5</v>
      </c>
      <c r="G159">
        <v>28.75</v>
      </c>
      <c r="I159" t="s">
        <v>128</v>
      </c>
      <c r="J159" t="s">
        <v>242</v>
      </c>
      <c r="T159" t="s">
        <v>891</v>
      </c>
      <c r="U159" t="s">
        <v>1046</v>
      </c>
      <c r="V159" t="s">
        <v>1051</v>
      </c>
      <c r="W159">
        <v>70</v>
      </c>
    </row>
    <row r="160" spans="1:23" x14ac:dyDescent="0.2">
      <c r="A160" t="s">
        <v>969</v>
      </c>
      <c r="B160" t="s">
        <v>201</v>
      </c>
      <c r="C160" t="s">
        <v>6</v>
      </c>
      <c r="D160" t="s">
        <v>306</v>
      </c>
      <c r="E160">
        <v>1.7</v>
      </c>
      <c r="F160">
        <v>16.8</v>
      </c>
      <c r="G160">
        <v>28.56</v>
      </c>
      <c r="I160" t="s">
        <v>140</v>
      </c>
      <c r="J160" t="s">
        <v>203</v>
      </c>
      <c r="T160" t="s">
        <v>891</v>
      </c>
      <c r="U160" t="s">
        <v>1047</v>
      </c>
      <c r="V160" t="s">
        <v>1052</v>
      </c>
      <c r="W160">
        <v>70</v>
      </c>
    </row>
    <row r="161" spans="1:23" x14ac:dyDescent="0.2">
      <c r="A161" t="s">
        <v>969</v>
      </c>
      <c r="B161" t="s">
        <v>201</v>
      </c>
      <c r="C161" t="s">
        <v>7</v>
      </c>
      <c r="D161" t="s">
        <v>307</v>
      </c>
      <c r="E161">
        <v>8.1999999999999993</v>
      </c>
      <c r="F161">
        <v>6.7</v>
      </c>
      <c r="G161">
        <v>54.94</v>
      </c>
      <c r="I161" t="s">
        <v>142</v>
      </c>
      <c r="J161" t="s">
        <v>229</v>
      </c>
      <c r="T161" t="s">
        <v>891</v>
      </c>
      <c r="U161" t="s">
        <v>1048</v>
      </c>
      <c r="V161" t="s">
        <v>1053</v>
      </c>
      <c r="W161">
        <v>250</v>
      </c>
    </row>
    <row r="162" spans="1:23" x14ac:dyDescent="0.2">
      <c r="A162" t="s">
        <v>969</v>
      </c>
      <c r="B162" t="s">
        <v>201</v>
      </c>
      <c r="C162" t="s">
        <v>12</v>
      </c>
      <c r="D162" t="s">
        <v>308</v>
      </c>
      <c r="E162">
        <v>0.7</v>
      </c>
      <c r="F162">
        <v>7</v>
      </c>
      <c r="G162">
        <v>4.9000000000000004</v>
      </c>
      <c r="I162" t="s">
        <v>141</v>
      </c>
      <c r="J162" t="s">
        <v>230</v>
      </c>
      <c r="T162" t="s">
        <v>891</v>
      </c>
      <c r="U162" t="s">
        <v>1049</v>
      </c>
      <c r="V162" t="s">
        <v>1054</v>
      </c>
      <c r="W162">
        <v>750</v>
      </c>
    </row>
    <row r="163" spans="1:23" x14ac:dyDescent="0.2">
      <c r="A163" t="s">
        <v>969</v>
      </c>
      <c r="B163" t="s">
        <v>201</v>
      </c>
      <c r="C163" t="s">
        <v>13</v>
      </c>
      <c r="D163" t="s">
        <v>309</v>
      </c>
      <c r="E163">
        <v>2.4</v>
      </c>
      <c r="F163">
        <v>7</v>
      </c>
      <c r="G163">
        <v>16.8</v>
      </c>
      <c r="I163" t="s">
        <v>143</v>
      </c>
      <c r="J163" t="s">
        <v>204</v>
      </c>
      <c r="T163" t="s">
        <v>891</v>
      </c>
      <c r="U163" t="s">
        <v>1050</v>
      </c>
      <c r="V163" t="s">
        <v>1055</v>
      </c>
      <c r="W163">
        <v>0</v>
      </c>
    </row>
    <row r="164" spans="1:23" x14ac:dyDescent="0.2">
      <c r="A164" t="s">
        <v>969</v>
      </c>
      <c r="B164" t="s">
        <v>201</v>
      </c>
      <c r="C164" t="s">
        <v>14</v>
      </c>
      <c r="D164" t="s">
        <v>310</v>
      </c>
      <c r="E164">
        <v>0.15</v>
      </c>
      <c r="F164">
        <v>18</v>
      </c>
      <c r="G164">
        <v>2.7</v>
      </c>
      <c r="T164" t="s">
        <v>893</v>
      </c>
      <c r="U164" t="s">
        <v>1042</v>
      </c>
      <c r="V164" t="s">
        <v>401</v>
      </c>
      <c r="W164">
        <v>50</v>
      </c>
    </row>
    <row r="165" spans="1:23" x14ac:dyDescent="0.2">
      <c r="A165" t="s">
        <v>969</v>
      </c>
      <c r="B165" t="s">
        <v>201</v>
      </c>
      <c r="C165" t="s">
        <v>15</v>
      </c>
      <c r="D165" t="s">
        <v>311</v>
      </c>
      <c r="E165">
        <v>0.75</v>
      </c>
      <c r="F165">
        <v>18</v>
      </c>
      <c r="G165">
        <v>13.5</v>
      </c>
      <c r="T165" t="s">
        <v>893</v>
      </c>
      <c r="U165" t="s">
        <v>1043</v>
      </c>
      <c r="V165" t="s">
        <v>272</v>
      </c>
      <c r="W165">
        <v>1</v>
      </c>
    </row>
    <row r="166" spans="1:23" x14ac:dyDescent="0.2">
      <c r="A166" t="s">
        <v>969</v>
      </c>
      <c r="B166" t="s">
        <v>201</v>
      </c>
      <c r="C166" t="s">
        <v>16</v>
      </c>
      <c r="D166" t="s">
        <v>312</v>
      </c>
      <c r="E166">
        <v>0.16</v>
      </c>
      <c r="F166">
        <v>30</v>
      </c>
      <c r="G166">
        <v>4.8</v>
      </c>
      <c r="T166" t="s">
        <v>893</v>
      </c>
      <c r="U166" t="s">
        <v>1044</v>
      </c>
      <c r="V166" t="s">
        <v>405</v>
      </c>
      <c r="W166">
        <v>100</v>
      </c>
    </row>
    <row r="167" spans="1:23" x14ac:dyDescent="0.2">
      <c r="A167" t="s">
        <v>969</v>
      </c>
      <c r="B167" t="s">
        <v>201</v>
      </c>
      <c r="C167" t="s">
        <v>105</v>
      </c>
      <c r="D167" t="s">
        <v>313</v>
      </c>
      <c r="E167">
        <v>30</v>
      </c>
      <c r="F167">
        <v>0.1</v>
      </c>
      <c r="G167">
        <v>3</v>
      </c>
      <c r="T167" t="s">
        <v>893</v>
      </c>
      <c r="U167" t="s">
        <v>1045</v>
      </c>
      <c r="V167" t="s">
        <v>402</v>
      </c>
      <c r="W167">
        <v>60</v>
      </c>
    </row>
    <row r="168" spans="1:23" x14ac:dyDescent="0.2">
      <c r="A168" t="s">
        <v>969</v>
      </c>
      <c r="B168" t="s">
        <v>201</v>
      </c>
      <c r="C168" t="s">
        <v>107</v>
      </c>
      <c r="D168" t="s">
        <v>316</v>
      </c>
      <c r="E168">
        <v>100</v>
      </c>
      <c r="F168">
        <v>0.1</v>
      </c>
      <c r="G168">
        <v>10</v>
      </c>
      <c r="T168" t="s">
        <v>893</v>
      </c>
      <c r="U168" t="s">
        <v>1046</v>
      </c>
      <c r="V168" t="s">
        <v>1051</v>
      </c>
      <c r="W168">
        <v>70</v>
      </c>
    </row>
    <row r="169" spans="1:23" x14ac:dyDescent="0.2">
      <c r="A169" t="s">
        <v>969</v>
      </c>
      <c r="B169" t="s">
        <v>201</v>
      </c>
      <c r="C169" t="s">
        <v>110</v>
      </c>
      <c r="D169" t="s">
        <v>314</v>
      </c>
      <c r="E169">
        <v>30</v>
      </c>
      <c r="F169">
        <v>0.1</v>
      </c>
      <c r="G169">
        <v>3</v>
      </c>
      <c r="T169" t="s">
        <v>893</v>
      </c>
      <c r="U169" t="s">
        <v>1047</v>
      </c>
      <c r="V169" t="s">
        <v>1052</v>
      </c>
      <c r="W169">
        <v>70</v>
      </c>
    </row>
    <row r="170" spans="1:23" x14ac:dyDescent="0.2">
      <c r="A170" t="s">
        <v>965</v>
      </c>
      <c r="B170" t="s">
        <v>221</v>
      </c>
      <c r="C170" t="s">
        <v>94</v>
      </c>
      <c r="D170" t="s">
        <v>280</v>
      </c>
      <c r="E170">
        <v>1</v>
      </c>
      <c r="F170">
        <v>3.5</v>
      </c>
      <c r="G170">
        <v>3.5</v>
      </c>
      <c r="T170" t="s">
        <v>893</v>
      </c>
      <c r="U170" t="s">
        <v>1048</v>
      </c>
      <c r="V170" t="s">
        <v>1053</v>
      </c>
      <c r="W170">
        <v>250</v>
      </c>
    </row>
    <row r="171" spans="1:23" x14ac:dyDescent="0.2">
      <c r="A171" t="s">
        <v>965</v>
      </c>
      <c r="B171" t="s">
        <v>221</v>
      </c>
      <c r="C171" t="s">
        <v>95</v>
      </c>
      <c r="D171" t="s">
        <v>281</v>
      </c>
      <c r="E171">
        <v>1</v>
      </c>
      <c r="F171">
        <v>2</v>
      </c>
      <c r="G171">
        <v>2</v>
      </c>
      <c r="T171" t="s">
        <v>893</v>
      </c>
      <c r="U171" t="s">
        <v>1049</v>
      </c>
      <c r="V171" t="s">
        <v>1054</v>
      </c>
      <c r="W171">
        <v>750</v>
      </c>
    </row>
    <row r="172" spans="1:23" x14ac:dyDescent="0.2">
      <c r="A172" t="s">
        <v>965</v>
      </c>
      <c r="B172" t="s">
        <v>221</v>
      </c>
      <c r="C172" t="s">
        <v>96</v>
      </c>
      <c r="D172" t="s">
        <v>282</v>
      </c>
      <c r="E172">
        <v>1</v>
      </c>
      <c r="F172">
        <v>1</v>
      </c>
      <c r="G172">
        <v>1</v>
      </c>
      <c r="T172" t="s">
        <v>893</v>
      </c>
      <c r="U172" t="s">
        <v>1050</v>
      </c>
      <c r="V172" t="s">
        <v>1055</v>
      </c>
      <c r="W172">
        <v>0</v>
      </c>
    </row>
    <row r="173" spans="1:23" x14ac:dyDescent="0.2">
      <c r="A173" t="s">
        <v>965</v>
      </c>
      <c r="B173" t="s">
        <v>221</v>
      </c>
      <c r="C173" t="s">
        <v>97</v>
      </c>
      <c r="D173" t="s">
        <v>283</v>
      </c>
      <c r="E173">
        <v>1</v>
      </c>
      <c r="F173">
        <v>1</v>
      </c>
      <c r="G173">
        <v>1</v>
      </c>
      <c r="T173" t="s">
        <v>895</v>
      </c>
      <c r="U173" t="s">
        <v>1042</v>
      </c>
      <c r="V173" t="s">
        <v>401</v>
      </c>
      <c r="W173">
        <v>50</v>
      </c>
    </row>
    <row r="174" spans="1:23" x14ac:dyDescent="0.2">
      <c r="A174" t="s">
        <v>965</v>
      </c>
      <c r="B174" t="s">
        <v>221</v>
      </c>
      <c r="C174" t="s">
        <v>99</v>
      </c>
      <c r="D174" t="s">
        <v>284</v>
      </c>
      <c r="E174">
        <v>1</v>
      </c>
      <c r="F174">
        <v>0</v>
      </c>
      <c r="G174">
        <v>0</v>
      </c>
      <c r="T174" t="s">
        <v>895</v>
      </c>
      <c r="U174" t="s">
        <v>1043</v>
      </c>
      <c r="V174" t="s">
        <v>272</v>
      </c>
      <c r="W174">
        <v>1</v>
      </c>
    </row>
    <row r="175" spans="1:23" x14ac:dyDescent="0.2">
      <c r="A175" t="s">
        <v>965</v>
      </c>
      <c r="B175" t="s">
        <v>221</v>
      </c>
      <c r="C175" t="s">
        <v>100</v>
      </c>
      <c r="D175" t="s">
        <v>285</v>
      </c>
      <c r="E175">
        <v>1</v>
      </c>
      <c r="F175">
        <v>0</v>
      </c>
      <c r="G175">
        <v>0</v>
      </c>
      <c r="T175" t="s">
        <v>895</v>
      </c>
      <c r="U175" t="s">
        <v>1044</v>
      </c>
      <c r="V175" t="s">
        <v>405</v>
      </c>
      <c r="W175">
        <v>100</v>
      </c>
    </row>
    <row r="176" spans="1:23" x14ac:dyDescent="0.2">
      <c r="A176" t="s">
        <v>965</v>
      </c>
      <c r="B176" t="s">
        <v>221</v>
      </c>
      <c r="C176" t="s">
        <v>51</v>
      </c>
      <c r="D176" t="s">
        <v>286</v>
      </c>
      <c r="E176">
        <v>0.12</v>
      </c>
      <c r="F176">
        <v>419</v>
      </c>
      <c r="G176">
        <v>50.28</v>
      </c>
      <c r="T176" t="s">
        <v>895</v>
      </c>
      <c r="U176" t="s">
        <v>1045</v>
      </c>
      <c r="V176" t="s">
        <v>402</v>
      </c>
      <c r="W176">
        <v>60</v>
      </c>
    </row>
    <row r="177" spans="1:23" x14ac:dyDescent="0.2">
      <c r="A177" t="s">
        <v>965</v>
      </c>
      <c r="B177" t="s">
        <v>221</v>
      </c>
      <c r="C177" t="s">
        <v>56</v>
      </c>
      <c r="D177" t="s">
        <v>287</v>
      </c>
      <c r="E177">
        <v>0.8</v>
      </c>
      <c r="F177">
        <v>90</v>
      </c>
      <c r="G177">
        <v>72</v>
      </c>
      <c r="T177" t="s">
        <v>895</v>
      </c>
      <c r="U177" t="s">
        <v>1046</v>
      </c>
      <c r="V177" t="s">
        <v>1051</v>
      </c>
      <c r="W177">
        <v>70</v>
      </c>
    </row>
    <row r="178" spans="1:23" x14ac:dyDescent="0.2">
      <c r="A178" t="s">
        <v>965</v>
      </c>
      <c r="B178" t="s">
        <v>221</v>
      </c>
      <c r="C178" t="s">
        <v>69</v>
      </c>
      <c r="D178" t="s">
        <v>288</v>
      </c>
      <c r="E178">
        <v>0.22</v>
      </c>
      <c r="F178">
        <v>190</v>
      </c>
      <c r="G178">
        <v>41.8</v>
      </c>
      <c r="T178" t="s">
        <v>895</v>
      </c>
      <c r="U178" t="s">
        <v>1047</v>
      </c>
      <c r="V178" t="s">
        <v>1052</v>
      </c>
      <c r="W178">
        <v>70</v>
      </c>
    </row>
    <row r="179" spans="1:23" x14ac:dyDescent="0.2">
      <c r="A179" t="s">
        <v>965</v>
      </c>
      <c r="B179" t="s">
        <v>221</v>
      </c>
      <c r="C179" t="s">
        <v>80</v>
      </c>
      <c r="D179" t="s">
        <v>317</v>
      </c>
      <c r="E179">
        <v>1.125</v>
      </c>
      <c r="F179">
        <v>380</v>
      </c>
      <c r="G179">
        <v>427.5</v>
      </c>
      <c r="T179" t="s">
        <v>895</v>
      </c>
      <c r="U179" t="s">
        <v>1048</v>
      </c>
      <c r="V179" t="s">
        <v>1053</v>
      </c>
      <c r="W179">
        <v>250</v>
      </c>
    </row>
    <row r="180" spans="1:23" x14ac:dyDescent="0.2">
      <c r="A180" t="s">
        <v>965</v>
      </c>
      <c r="B180" t="s">
        <v>221</v>
      </c>
      <c r="C180" t="s">
        <v>49</v>
      </c>
      <c r="D180" t="s">
        <v>290</v>
      </c>
      <c r="E180">
        <v>7.4999999999999997E-2</v>
      </c>
      <c r="F180">
        <v>248</v>
      </c>
      <c r="G180">
        <v>18.600000000000001</v>
      </c>
      <c r="T180" t="s">
        <v>895</v>
      </c>
      <c r="U180" t="s">
        <v>1049</v>
      </c>
      <c r="V180" t="s">
        <v>1054</v>
      </c>
      <c r="W180">
        <v>750</v>
      </c>
    </row>
    <row r="181" spans="1:23" x14ac:dyDescent="0.2">
      <c r="A181" t="s">
        <v>965</v>
      </c>
      <c r="B181" t="s">
        <v>221</v>
      </c>
      <c r="C181" t="s">
        <v>28</v>
      </c>
      <c r="D181" t="s">
        <v>291</v>
      </c>
      <c r="E181">
        <v>1.3</v>
      </c>
      <c r="F181">
        <v>175</v>
      </c>
      <c r="G181">
        <v>227.5</v>
      </c>
      <c r="T181" t="s">
        <v>895</v>
      </c>
      <c r="U181" t="s">
        <v>1050</v>
      </c>
      <c r="V181" t="s">
        <v>1055</v>
      </c>
      <c r="W181">
        <v>0</v>
      </c>
    </row>
    <row r="182" spans="1:23" x14ac:dyDescent="0.2">
      <c r="A182" t="s">
        <v>965</v>
      </c>
      <c r="B182" t="s">
        <v>221</v>
      </c>
      <c r="C182" t="s">
        <v>29</v>
      </c>
      <c r="D182" t="s">
        <v>292</v>
      </c>
      <c r="E182">
        <v>0.4</v>
      </c>
      <c r="F182">
        <v>27</v>
      </c>
      <c r="G182">
        <v>10.8</v>
      </c>
      <c r="T182" t="s">
        <v>897</v>
      </c>
      <c r="U182" t="s">
        <v>1042</v>
      </c>
      <c r="V182" t="s">
        <v>401</v>
      </c>
      <c r="W182">
        <v>50</v>
      </c>
    </row>
    <row r="183" spans="1:23" x14ac:dyDescent="0.2">
      <c r="A183" t="s">
        <v>965</v>
      </c>
      <c r="B183" t="s">
        <v>221</v>
      </c>
      <c r="C183" t="s">
        <v>31</v>
      </c>
      <c r="D183" t="s">
        <v>293</v>
      </c>
      <c r="E183">
        <v>4</v>
      </c>
      <c r="F183">
        <v>5</v>
      </c>
      <c r="G183">
        <v>20</v>
      </c>
      <c r="T183" t="s">
        <v>897</v>
      </c>
      <c r="U183" t="s">
        <v>1043</v>
      </c>
      <c r="V183" t="s">
        <v>272</v>
      </c>
      <c r="W183">
        <v>1</v>
      </c>
    </row>
    <row r="184" spans="1:23" x14ac:dyDescent="0.2">
      <c r="A184" t="s">
        <v>965</v>
      </c>
      <c r="B184" t="s">
        <v>221</v>
      </c>
      <c r="C184" t="s">
        <v>34</v>
      </c>
      <c r="D184" t="s">
        <v>294</v>
      </c>
      <c r="E184">
        <v>2</v>
      </c>
      <c r="F184">
        <v>18</v>
      </c>
      <c r="G184">
        <v>36</v>
      </c>
      <c r="T184" t="s">
        <v>897</v>
      </c>
      <c r="U184" t="s">
        <v>1044</v>
      </c>
      <c r="V184" t="s">
        <v>405</v>
      </c>
      <c r="W184">
        <v>100</v>
      </c>
    </row>
    <row r="185" spans="1:23" x14ac:dyDescent="0.2">
      <c r="A185" t="s">
        <v>965</v>
      </c>
      <c r="B185" t="s">
        <v>221</v>
      </c>
      <c r="C185" t="s">
        <v>35</v>
      </c>
      <c r="D185" t="s">
        <v>295</v>
      </c>
      <c r="E185">
        <v>1</v>
      </c>
      <c r="F185">
        <v>18</v>
      </c>
      <c r="G185">
        <v>18</v>
      </c>
      <c r="T185" t="s">
        <v>897</v>
      </c>
      <c r="U185" t="s">
        <v>1045</v>
      </c>
      <c r="V185" t="s">
        <v>402</v>
      </c>
      <c r="W185">
        <v>60</v>
      </c>
    </row>
    <row r="186" spans="1:23" x14ac:dyDescent="0.2">
      <c r="A186" t="s">
        <v>965</v>
      </c>
      <c r="B186" t="s">
        <v>221</v>
      </c>
      <c r="C186" t="s">
        <v>36</v>
      </c>
      <c r="D186" t="s">
        <v>296</v>
      </c>
      <c r="E186">
        <v>2</v>
      </c>
      <c r="F186">
        <v>15</v>
      </c>
      <c r="G186">
        <v>30</v>
      </c>
      <c r="T186" t="s">
        <v>897</v>
      </c>
      <c r="U186" t="s">
        <v>1046</v>
      </c>
      <c r="V186" t="s">
        <v>1051</v>
      </c>
      <c r="W186">
        <v>70</v>
      </c>
    </row>
    <row r="187" spans="1:23" x14ac:dyDescent="0.2">
      <c r="A187" t="s">
        <v>965</v>
      </c>
      <c r="B187" t="s">
        <v>221</v>
      </c>
      <c r="C187" t="s">
        <v>37</v>
      </c>
      <c r="D187" t="s">
        <v>297</v>
      </c>
      <c r="E187">
        <v>1</v>
      </c>
      <c r="F187">
        <v>18</v>
      </c>
      <c r="G187">
        <v>18</v>
      </c>
      <c r="T187" t="s">
        <v>897</v>
      </c>
      <c r="U187" t="s">
        <v>1047</v>
      </c>
      <c r="V187" t="s">
        <v>1052</v>
      </c>
      <c r="W187">
        <v>70</v>
      </c>
    </row>
    <row r="188" spans="1:23" x14ac:dyDescent="0.2">
      <c r="A188" t="s">
        <v>965</v>
      </c>
      <c r="B188" t="s">
        <v>221</v>
      </c>
      <c r="C188" t="s">
        <v>39</v>
      </c>
      <c r="D188" t="s">
        <v>298</v>
      </c>
      <c r="E188">
        <v>1</v>
      </c>
      <c r="F188">
        <v>18</v>
      </c>
      <c r="G188">
        <v>18</v>
      </c>
      <c r="T188" t="s">
        <v>897</v>
      </c>
      <c r="U188" t="s">
        <v>1048</v>
      </c>
      <c r="V188" t="s">
        <v>1053</v>
      </c>
      <c r="W188">
        <v>250</v>
      </c>
    </row>
    <row r="189" spans="1:23" x14ac:dyDescent="0.2">
      <c r="A189" t="s">
        <v>965</v>
      </c>
      <c r="B189" t="s">
        <v>221</v>
      </c>
      <c r="C189" t="s">
        <v>42</v>
      </c>
      <c r="D189" t="s">
        <v>299</v>
      </c>
      <c r="E189">
        <v>2</v>
      </c>
      <c r="F189">
        <v>2.5</v>
      </c>
      <c r="G189">
        <v>5</v>
      </c>
      <c r="T189" t="s">
        <v>897</v>
      </c>
      <c r="U189" t="s">
        <v>1049</v>
      </c>
      <c r="V189" t="s">
        <v>1054</v>
      </c>
      <c r="W189">
        <v>750</v>
      </c>
    </row>
    <row r="190" spans="1:23" x14ac:dyDescent="0.2">
      <c r="A190" t="s">
        <v>965</v>
      </c>
      <c r="B190" t="s">
        <v>221</v>
      </c>
      <c r="C190" t="s">
        <v>43</v>
      </c>
      <c r="D190" t="s">
        <v>300</v>
      </c>
      <c r="E190">
        <v>92</v>
      </c>
      <c r="F190">
        <v>9.5</v>
      </c>
      <c r="G190">
        <v>874</v>
      </c>
      <c r="T190" t="s">
        <v>897</v>
      </c>
      <c r="U190" t="s">
        <v>1050</v>
      </c>
      <c r="V190" t="s">
        <v>1055</v>
      </c>
      <c r="W190">
        <v>0</v>
      </c>
    </row>
    <row r="191" spans="1:23" x14ac:dyDescent="0.2">
      <c r="A191" t="s">
        <v>965</v>
      </c>
      <c r="B191" t="s">
        <v>221</v>
      </c>
      <c r="C191" t="s">
        <v>121</v>
      </c>
      <c r="D191" t="s">
        <v>301</v>
      </c>
      <c r="E191">
        <v>1</v>
      </c>
      <c r="F191">
        <v>0.95</v>
      </c>
      <c r="G191">
        <v>0.95</v>
      </c>
      <c r="T191" t="s">
        <v>899</v>
      </c>
      <c r="U191" t="s">
        <v>1042</v>
      </c>
      <c r="V191" t="s">
        <v>401</v>
      </c>
      <c r="W191">
        <v>50</v>
      </c>
    </row>
    <row r="192" spans="1:23" x14ac:dyDescent="0.2">
      <c r="A192" t="s">
        <v>965</v>
      </c>
      <c r="B192" t="s">
        <v>221</v>
      </c>
      <c r="C192" t="s">
        <v>122</v>
      </c>
      <c r="D192" t="s">
        <v>302</v>
      </c>
      <c r="E192">
        <v>1</v>
      </c>
      <c r="F192">
        <v>4.2</v>
      </c>
      <c r="G192">
        <v>4.2</v>
      </c>
      <c r="T192" t="s">
        <v>899</v>
      </c>
      <c r="U192" t="s">
        <v>1043</v>
      </c>
      <c r="V192" t="s">
        <v>272</v>
      </c>
      <c r="W192">
        <v>1</v>
      </c>
    </row>
    <row r="193" spans="1:23" x14ac:dyDescent="0.2">
      <c r="A193" t="s">
        <v>965</v>
      </c>
      <c r="B193" t="s">
        <v>221</v>
      </c>
      <c r="C193" t="s">
        <v>2</v>
      </c>
      <c r="D193" t="s">
        <v>303</v>
      </c>
      <c r="E193">
        <v>1.8</v>
      </c>
      <c r="F193">
        <v>5.0999999999999996</v>
      </c>
      <c r="G193">
        <v>9.18</v>
      </c>
      <c r="T193" t="s">
        <v>899</v>
      </c>
      <c r="U193" t="s">
        <v>1044</v>
      </c>
      <c r="V193" t="s">
        <v>405</v>
      </c>
      <c r="W193">
        <v>100</v>
      </c>
    </row>
    <row r="194" spans="1:23" x14ac:dyDescent="0.2">
      <c r="A194" t="s">
        <v>965</v>
      </c>
      <c r="B194" t="s">
        <v>221</v>
      </c>
      <c r="C194" t="s">
        <v>4</v>
      </c>
      <c r="D194" t="s">
        <v>304</v>
      </c>
      <c r="E194">
        <v>1.8</v>
      </c>
      <c r="F194">
        <v>10.1</v>
      </c>
      <c r="G194">
        <v>18.18</v>
      </c>
      <c r="T194" t="s">
        <v>899</v>
      </c>
      <c r="U194" t="s">
        <v>1045</v>
      </c>
      <c r="V194" t="s">
        <v>402</v>
      </c>
      <c r="W194">
        <v>60</v>
      </c>
    </row>
    <row r="195" spans="1:23" x14ac:dyDescent="0.2">
      <c r="A195" t="s">
        <v>965</v>
      </c>
      <c r="B195" t="s">
        <v>221</v>
      </c>
      <c r="C195" t="s">
        <v>5</v>
      </c>
      <c r="D195" t="s">
        <v>305</v>
      </c>
      <c r="E195">
        <v>2.5</v>
      </c>
      <c r="F195">
        <v>11.5</v>
      </c>
      <c r="G195">
        <v>28.75</v>
      </c>
      <c r="T195" t="s">
        <v>899</v>
      </c>
      <c r="U195" t="s">
        <v>1046</v>
      </c>
      <c r="V195" t="s">
        <v>1051</v>
      </c>
      <c r="W195">
        <v>70</v>
      </c>
    </row>
    <row r="196" spans="1:23" x14ac:dyDescent="0.2">
      <c r="A196" t="s">
        <v>965</v>
      </c>
      <c r="B196" t="s">
        <v>221</v>
      </c>
      <c r="C196" t="s">
        <v>6</v>
      </c>
      <c r="D196" t="s">
        <v>306</v>
      </c>
      <c r="E196">
        <v>1.7</v>
      </c>
      <c r="F196">
        <v>16.8</v>
      </c>
      <c r="G196">
        <v>28.56</v>
      </c>
      <c r="T196" t="s">
        <v>899</v>
      </c>
      <c r="U196" t="s">
        <v>1047</v>
      </c>
      <c r="V196" t="s">
        <v>1052</v>
      </c>
      <c r="W196">
        <v>70</v>
      </c>
    </row>
    <row r="197" spans="1:23" x14ac:dyDescent="0.2">
      <c r="A197" t="s">
        <v>965</v>
      </c>
      <c r="B197" t="s">
        <v>221</v>
      </c>
      <c r="C197" t="s">
        <v>7</v>
      </c>
      <c r="D197" t="s">
        <v>307</v>
      </c>
      <c r="E197">
        <v>8.1999999999999993</v>
      </c>
      <c r="F197">
        <v>6.7</v>
      </c>
      <c r="G197">
        <v>54.94</v>
      </c>
      <c r="T197" t="s">
        <v>899</v>
      </c>
      <c r="U197" t="s">
        <v>1048</v>
      </c>
      <c r="V197" t="s">
        <v>1053</v>
      </c>
      <c r="W197">
        <v>250</v>
      </c>
    </row>
    <row r="198" spans="1:23" x14ac:dyDescent="0.2">
      <c r="A198" t="s">
        <v>965</v>
      </c>
      <c r="B198" t="s">
        <v>221</v>
      </c>
      <c r="C198" t="s">
        <v>13</v>
      </c>
      <c r="D198" t="s">
        <v>309</v>
      </c>
      <c r="E198">
        <v>0.7</v>
      </c>
      <c r="F198">
        <v>7</v>
      </c>
      <c r="G198">
        <v>4.9000000000000004</v>
      </c>
      <c r="T198" t="s">
        <v>899</v>
      </c>
      <c r="U198" t="s">
        <v>1049</v>
      </c>
      <c r="V198" t="s">
        <v>1054</v>
      </c>
      <c r="W198">
        <v>750</v>
      </c>
    </row>
    <row r="199" spans="1:23" x14ac:dyDescent="0.2">
      <c r="A199" t="s">
        <v>965</v>
      </c>
      <c r="B199" t="s">
        <v>221</v>
      </c>
      <c r="C199" t="s">
        <v>14</v>
      </c>
      <c r="D199" t="s">
        <v>310</v>
      </c>
      <c r="E199">
        <v>0.15</v>
      </c>
      <c r="F199">
        <v>18</v>
      </c>
      <c r="G199">
        <v>2.7</v>
      </c>
      <c r="T199" t="s">
        <v>899</v>
      </c>
      <c r="U199" t="s">
        <v>1050</v>
      </c>
      <c r="V199" t="s">
        <v>1055</v>
      </c>
      <c r="W199">
        <v>0</v>
      </c>
    </row>
    <row r="200" spans="1:23" x14ac:dyDescent="0.2">
      <c r="A200" t="s">
        <v>965</v>
      </c>
      <c r="B200" t="s">
        <v>221</v>
      </c>
      <c r="C200" t="s">
        <v>15</v>
      </c>
      <c r="D200" t="s">
        <v>311</v>
      </c>
      <c r="E200">
        <v>0.15</v>
      </c>
      <c r="F200">
        <v>18</v>
      </c>
      <c r="G200">
        <v>2.7</v>
      </c>
      <c r="T200" t="s">
        <v>901</v>
      </c>
      <c r="U200" t="s">
        <v>1042</v>
      </c>
      <c r="V200" t="s">
        <v>401</v>
      </c>
      <c r="W200">
        <v>50</v>
      </c>
    </row>
    <row r="201" spans="1:23" x14ac:dyDescent="0.2">
      <c r="A201" t="s">
        <v>965</v>
      </c>
      <c r="B201" t="s">
        <v>221</v>
      </c>
      <c r="C201" t="s">
        <v>16</v>
      </c>
      <c r="D201" t="s">
        <v>312</v>
      </c>
      <c r="E201">
        <v>0.16</v>
      </c>
      <c r="F201">
        <v>30</v>
      </c>
      <c r="G201">
        <v>4.8</v>
      </c>
      <c r="T201" t="s">
        <v>901</v>
      </c>
      <c r="U201" t="s">
        <v>1043</v>
      </c>
      <c r="V201" t="s">
        <v>272</v>
      </c>
      <c r="W201">
        <v>1</v>
      </c>
    </row>
    <row r="202" spans="1:23" x14ac:dyDescent="0.2">
      <c r="A202" t="s">
        <v>965</v>
      </c>
      <c r="B202" t="s">
        <v>221</v>
      </c>
      <c r="C202" t="s">
        <v>105</v>
      </c>
      <c r="D202" t="s">
        <v>313</v>
      </c>
      <c r="E202">
        <v>10</v>
      </c>
      <c r="F202">
        <v>0.1</v>
      </c>
      <c r="G202">
        <v>1</v>
      </c>
      <c r="T202" t="s">
        <v>901</v>
      </c>
      <c r="U202" t="s">
        <v>1044</v>
      </c>
      <c r="V202" t="s">
        <v>405</v>
      </c>
      <c r="W202">
        <v>100</v>
      </c>
    </row>
    <row r="203" spans="1:23" x14ac:dyDescent="0.2">
      <c r="A203" t="s">
        <v>965</v>
      </c>
      <c r="B203" t="s">
        <v>221</v>
      </c>
      <c r="C203" t="s">
        <v>110</v>
      </c>
      <c r="D203" t="s">
        <v>314</v>
      </c>
      <c r="E203">
        <v>30</v>
      </c>
      <c r="F203">
        <v>0.1</v>
      </c>
      <c r="G203">
        <v>3</v>
      </c>
      <c r="T203" t="s">
        <v>901</v>
      </c>
      <c r="U203" t="s">
        <v>1045</v>
      </c>
      <c r="V203" t="s">
        <v>402</v>
      </c>
      <c r="W203">
        <v>60</v>
      </c>
    </row>
    <row r="204" spans="1:23" x14ac:dyDescent="0.2">
      <c r="A204" t="s">
        <v>965</v>
      </c>
      <c r="B204" t="s">
        <v>221</v>
      </c>
      <c r="C204" t="s">
        <v>113</v>
      </c>
      <c r="D204" t="s">
        <v>318</v>
      </c>
      <c r="E204">
        <v>200</v>
      </c>
      <c r="F204">
        <v>0.1</v>
      </c>
      <c r="G204">
        <v>20</v>
      </c>
      <c r="T204" t="s">
        <v>901</v>
      </c>
      <c r="U204" t="s">
        <v>1046</v>
      </c>
      <c r="V204" t="s">
        <v>1051</v>
      </c>
      <c r="W204">
        <v>70</v>
      </c>
    </row>
    <row r="205" spans="1:23" x14ac:dyDescent="0.2">
      <c r="A205" t="s">
        <v>971</v>
      </c>
      <c r="B205" t="s">
        <v>266</v>
      </c>
      <c r="C205" t="s">
        <v>94</v>
      </c>
      <c r="D205" t="s">
        <v>280</v>
      </c>
      <c r="E205">
        <v>1</v>
      </c>
      <c r="F205">
        <v>3.5</v>
      </c>
      <c r="G205">
        <v>3.5</v>
      </c>
      <c r="T205" t="s">
        <v>901</v>
      </c>
      <c r="U205" t="s">
        <v>1047</v>
      </c>
      <c r="V205" t="s">
        <v>1052</v>
      </c>
      <c r="W205">
        <v>70</v>
      </c>
    </row>
    <row r="206" spans="1:23" x14ac:dyDescent="0.2">
      <c r="A206" t="s">
        <v>971</v>
      </c>
      <c r="B206" t="s">
        <v>266</v>
      </c>
      <c r="C206" t="s">
        <v>95</v>
      </c>
      <c r="D206" t="s">
        <v>281</v>
      </c>
      <c r="E206">
        <v>1</v>
      </c>
      <c r="F206">
        <v>2</v>
      </c>
      <c r="G206">
        <v>2</v>
      </c>
      <c r="T206" t="s">
        <v>901</v>
      </c>
      <c r="U206" t="s">
        <v>1048</v>
      </c>
      <c r="V206" t="s">
        <v>1053</v>
      </c>
      <c r="W206">
        <v>250</v>
      </c>
    </row>
    <row r="207" spans="1:23" x14ac:dyDescent="0.2">
      <c r="A207" t="s">
        <v>971</v>
      </c>
      <c r="B207" t="s">
        <v>266</v>
      </c>
      <c r="C207" t="s">
        <v>96</v>
      </c>
      <c r="D207" t="s">
        <v>282</v>
      </c>
      <c r="E207">
        <v>1</v>
      </c>
      <c r="F207">
        <v>1</v>
      </c>
      <c r="G207">
        <v>1</v>
      </c>
      <c r="T207" t="s">
        <v>901</v>
      </c>
      <c r="U207" t="s">
        <v>1049</v>
      </c>
      <c r="V207" t="s">
        <v>1054</v>
      </c>
      <c r="W207">
        <v>750</v>
      </c>
    </row>
    <row r="208" spans="1:23" x14ac:dyDescent="0.2">
      <c r="A208" t="s">
        <v>971</v>
      </c>
      <c r="B208" t="s">
        <v>266</v>
      </c>
      <c r="C208" t="s">
        <v>97</v>
      </c>
      <c r="D208" t="s">
        <v>283</v>
      </c>
      <c r="E208">
        <v>1</v>
      </c>
      <c r="F208">
        <v>1</v>
      </c>
      <c r="G208">
        <v>1</v>
      </c>
      <c r="T208" t="s">
        <v>901</v>
      </c>
      <c r="U208" t="s">
        <v>1050</v>
      </c>
      <c r="V208" t="s">
        <v>1055</v>
      </c>
      <c r="W208">
        <v>0</v>
      </c>
    </row>
    <row r="209" spans="1:23" x14ac:dyDescent="0.2">
      <c r="A209" t="s">
        <v>971</v>
      </c>
      <c r="B209" t="s">
        <v>266</v>
      </c>
      <c r="C209" t="s">
        <v>99</v>
      </c>
      <c r="D209" t="s">
        <v>284</v>
      </c>
      <c r="E209">
        <v>1</v>
      </c>
      <c r="F209">
        <v>0</v>
      </c>
      <c r="G209">
        <v>0</v>
      </c>
      <c r="T209" t="s">
        <v>903</v>
      </c>
      <c r="U209" t="s">
        <v>1042</v>
      </c>
      <c r="V209" t="s">
        <v>401</v>
      </c>
      <c r="W209">
        <v>50</v>
      </c>
    </row>
    <row r="210" spans="1:23" x14ac:dyDescent="0.2">
      <c r="A210" t="s">
        <v>971</v>
      </c>
      <c r="B210" t="s">
        <v>266</v>
      </c>
      <c r="C210" t="s">
        <v>100</v>
      </c>
      <c r="D210" t="s">
        <v>285</v>
      </c>
      <c r="E210">
        <v>1</v>
      </c>
      <c r="F210">
        <v>0</v>
      </c>
      <c r="G210">
        <v>0</v>
      </c>
      <c r="T210" t="s">
        <v>903</v>
      </c>
      <c r="U210" t="s">
        <v>1043</v>
      </c>
      <c r="V210" t="s">
        <v>272</v>
      </c>
      <c r="W210">
        <v>1</v>
      </c>
    </row>
    <row r="211" spans="1:23" x14ac:dyDescent="0.2">
      <c r="A211" t="s">
        <v>971</v>
      </c>
      <c r="B211" t="s">
        <v>266</v>
      </c>
      <c r="C211" t="s">
        <v>51</v>
      </c>
      <c r="D211" t="s">
        <v>286</v>
      </c>
      <c r="E211">
        <v>0.12</v>
      </c>
      <c r="F211">
        <v>419</v>
      </c>
      <c r="G211">
        <v>50.28</v>
      </c>
      <c r="T211" t="s">
        <v>903</v>
      </c>
      <c r="U211" t="s">
        <v>1044</v>
      </c>
      <c r="V211" t="s">
        <v>405</v>
      </c>
      <c r="W211">
        <v>100</v>
      </c>
    </row>
    <row r="212" spans="1:23" x14ac:dyDescent="0.2">
      <c r="A212" t="s">
        <v>971</v>
      </c>
      <c r="B212" t="s">
        <v>266</v>
      </c>
      <c r="C212" t="s">
        <v>55</v>
      </c>
      <c r="D212" t="s">
        <v>371</v>
      </c>
      <c r="E212">
        <v>0.8</v>
      </c>
      <c r="F212">
        <v>120</v>
      </c>
      <c r="G212">
        <v>96</v>
      </c>
      <c r="T212" t="s">
        <v>903</v>
      </c>
      <c r="U212" t="s">
        <v>1045</v>
      </c>
      <c r="V212" t="s">
        <v>402</v>
      </c>
      <c r="W212">
        <v>60</v>
      </c>
    </row>
    <row r="213" spans="1:23" x14ac:dyDescent="0.2">
      <c r="A213" t="s">
        <v>971</v>
      </c>
      <c r="B213" t="s">
        <v>266</v>
      </c>
      <c r="C213" t="s">
        <v>69</v>
      </c>
      <c r="D213" t="s">
        <v>288</v>
      </c>
      <c r="E213">
        <v>0.22</v>
      </c>
      <c r="F213">
        <v>190</v>
      </c>
      <c r="G213">
        <v>41.8</v>
      </c>
      <c r="T213" t="s">
        <v>903</v>
      </c>
      <c r="U213" t="s">
        <v>1046</v>
      </c>
      <c r="V213" t="s">
        <v>1051</v>
      </c>
      <c r="W213">
        <v>70</v>
      </c>
    </row>
    <row r="214" spans="1:23" x14ac:dyDescent="0.2">
      <c r="A214" t="s">
        <v>971</v>
      </c>
      <c r="B214" t="s">
        <v>266</v>
      </c>
      <c r="C214" t="s">
        <v>82</v>
      </c>
      <c r="D214" t="s">
        <v>319</v>
      </c>
      <c r="E214">
        <v>1.125</v>
      </c>
      <c r="F214">
        <v>380</v>
      </c>
      <c r="G214">
        <v>427.5</v>
      </c>
      <c r="T214" t="s">
        <v>903</v>
      </c>
      <c r="U214" t="s">
        <v>1047</v>
      </c>
      <c r="V214" t="s">
        <v>1052</v>
      </c>
      <c r="W214">
        <v>70</v>
      </c>
    </row>
    <row r="215" spans="1:23" x14ac:dyDescent="0.2">
      <c r="A215" t="s">
        <v>971</v>
      </c>
      <c r="B215" t="s">
        <v>266</v>
      </c>
      <c r="C215" t="s">
        <v>49</v>
      </c>
      <c r="D215" t="s">
        <v>290</v>
      </c>
      <c r="E215">
        <v>7.4999999999999997E-2</v>
      </c>
      <c r="F215">
        <v>248</v>
      </c>
      <c r="G215">
        <v>18.600000000000001</v>
      </c>
      <c r="T215" t="s">
        <v>903</v>
      </c>
      <c r="U215" t="s">
        <v>1048</v>
      </c>
      <c r="V215" t="s">
        <v>1053</v>
      </c>
      <c r="W215">
        <v>250</v>
      </c>
    </row>
    <row r="216" spans="1:23" x14ac:dyDescent="0.2">
      <c r="A216" t="s">
        <v>971</v>
      </c>
      <c r="B216" t="s">
        <v>266</v>
      </c>
      <c r="C216" t="s">
        <v>28</v>
      </c>
      <c r="D216" t="s">
        <v>291</v>
      </c>
      <c r="E216">
        <v>0.8</v>
      </c>
      <c r="F216">
        <v>175</v>
      </c>
      <c r="G216">
        <v>140</v>
      </c>
      <c r="T216" t="s">
        <v>903</v>
      </c>
      <c r="U216" t="s">
        <v>1049</v>
      </c>
      <c r="V216" t="s">
        <v>1054</v>
      </c>
      <c r="W216">
        <v>750</v>
      </c>
    </row>
    <row r="217" spans="1:23" x14ac:dyDescent="0.2">
      <c r="A217" t="s">
        <v>971</v>
      </c>
      <c r="B217" t="s">
        <v>266</v>
      </c>
      <c r="C217" t="s">
        <v>29</v>
      </c>
      <c r="D217" t="s">
        <v>292</v>
      </c>
      <c r="E217">
        <v>0.4</v>
      </c>
      <c r="F217">
        <v>27</v>
      </c>
      <c r="G217">
        <v>10.8</v>
      </c>
      <c r="T217" t="s">
        <v>903</v>
      </c>
      <c r="U217" t="s">
        <v>1050</v>
      </c>
      <c r="V217" t="s">
        <v>1055</v>
      </c>
      <c r="W217">
        <v>0</v>
      </c>
    </row>
    <row r="218" spans="1:23" x14ac:dyDescent="0.2">
      <c r="A218" t="s">
        <v>971</v>
      </c>
      <c r="B218" t="s">
        <v>266</v>
      </c>
      <c r="C218" t="s">
        <v>31</v>
      </c>
      <c r="D218" t="s">
        <v>293</v>
      </c>
      <c r="E218">
        <v>3</v>
      </c>
      <c r="F218">
        <v>5</v>
      </c>
      <c r="G218">
        <v>15</v>
      </c>
      <c r="T218" t="s">
        <v>905</v>
      </c>
      <c r="U218" t="s">
        <v>1042</v>
      </c>
      <c r="V218" t="s">
        <v>401</v>
      </c>
      <c r="W218">
        <v>50</v>
      </c>
    </row>
    <row r="219" spans="1:23" x14ac:dyDescent="0.2">
      <c r="A219" t="s">
        <v>971</v>
      </c>
      <c r="B219" t="s">
        <v>266</v>
      </c>
      <c r="C219" t="s">
        <v>34</v>
      </c>
      <c r="D219" t="s">
        <v>294</v>
      </c>
      <c r="E219">
        <v>2</v>
      </c>
      <c r="F219">
        <v>18</v>
      </c>
      <c r="G219">
        <v>36</v>
      </c>
      <c r="T219" t="s">
        <v>905</v>
      </c>
      <c r="U219" t="s">
        <v>1043</v>
      </c>
      <c r="V219" t="s">
        <v>272</v>
      </c>
      <c r="W219">
        <v>1</v>
      </c>
    </row>
    <row r="220" spans="1:23" x14ac:dyDescent="0.2">
      <c r="A220" t="s">
        <v>971</v>
      </c>
      <c r="B220" t="s">
        <v>266</v>
      </c>
      <c r="C220" t="s">
        <v>35</v>
      </c>
      <c r="D220" t="s">
        <v>295</v>
      </c>
      <c r="E220">
        <v>1</v>
      </c>
      <c r="F220">
        <v>18</v>
      </c>
      <c r="G220">
        <v>18</v>
      </c>
      <c r="T220" t="s">
        <v>905</v>
      </c>
      <c r="U220" t="s">
        <v>1044</v>
      </c>
      <c r="V220" t="s">
        <v>405</v>
      </c>
      <c r="W220">
        <v>100</v>
      </c>
    </row>
    <row r="221" spans="1:23" x14ac:dyDescent="0.2">
      <c r="A221" t="s">
        <v>971</v>
      </c>
      <c r="B221" t="s">
        <v>266</v>
      </c>
      <c r="C221" t="s">
        <v>36</v>
      </c>
      <c r="D221" t="s">
        <v>296</v>
      </c>
      <c r="E221">
        <v>2</v>
      </c>
      <c r="F221">
        <v>15</v>
      </c>
      <c r="G221">
        <v>30</v>
      </c>
      <c r="T221" t="s">
        <v>905</v>
      </c>
      <c r="U221" t="s">
        <v>1045</v>
      </c>
      <c r="V221" t="s">
        <v>402</v>
      </c>
      <c r="W221">
        <v>60</v>
      </c>
    </row>
    <row r="222" spans="1:23" x14ac:dyDescent="0.2">
      <c r="A222" t="s">
        <v>971</v>
      </c>
      <c r="B222" t="s">
        <v>266</v>
      </c>
      <c r="C222" t="s">
        <v>37</v>
      </c>
      <c r="D222" t="s">
        <v>297</v>
      </c>
      <c r="E222">
        <v>1</v>
      </c>
      <c r="F222">
        <v>18</v>
      </c>
      <c r="G222">
        <v>18</v>
      </c>
      <c r="T222" t="s">
        <v>905</v>
      </c>
      <c r="U222" t="s">
        <v>1046</v>
      </c>
      <c r="V222" t="s">
        <v>1051</v>
      </c>
      <c r="W222">
        <v>70</v>
      </c>
    </row>
    <row r="223" spans="1:23" x14ac:dyDescent="0.2">
      <c r="A223" t="s">
        <v>971</v>
      </c>
      <c r="B223" t="s">
        <v>266</v>
      </c>
      <c r="C223" t="s">
        <v>39</v>
      </c>
      <c r="D223" t="s">
        <v>298</v>
      </c>
      <c r="E223">
        <v>1</v>
      </c>
      <c r="F223">
        <v>18</v>
      </c>
      <c r="G223">
        <v>18</v>
      </c>
      <c r="T223" t="s">
        <v>905</v>
      </c>
      <c r="U223" t="s">
        <v>1047</v>
      </c>
      <c r="V223" t="s">
        <v>1052</v>
      </c>
      <c r="W223">
        <v>70</v>
      </c>
    </row>
    <row r="224" spans="1:23" x14ac:dyDescent="0.2">
      <c r="A224" t="s">
        <v>971</v>
      </c>
      <c r="B224" t="s">
        <v>266</v>
      </c>
      <c r="C224" t="s">
        <v>42</v>
      </c>
      <c r="D224" t="s">
        <v>299</v>
      </c>
      <c r="E224">
        <v>2</v>
      </c>
      <c r="F224">
        <v>2.5</v>
      </c>
      <c r="G224">
        <v>5</v>
      </c>
      <c r="T224" t="s">
        <v>905</v>
      </c>
      <c r="U224" t="s">
        <v>1048</v>
      </c>
      <c r="V224" t="s">
        <v>1053</v>
      </c>
      <c r="W224">
        <v>250</v>
      </c>
    </row>
    <row r="225" spans="1:23" x14ac:dyDescent="0.2">
      <c r="A225" t="s">
        <v>971</v>
      </c>
      <c r="B225" t="s">
        <v>266</v>
      </c>
      <c r="C225" t="s">
        <v>43</v>
      </c>
      <c r="D225" t="s">
        <v>300</v>
      </c>
      <c r="E225">
        <v>92</v>
      </c>
      <c r="F225">
        <v>9.5</v>
      </c>
      <c r="G225">
        <v>874</v>
      </c>
      <c r="T225" t="s">
        <v>905</v>
      </c>
      <c r="U225" t="s">
        <v>1049</v>
      </c>
      <c r="V225" t="s">
        <v>1054</v>
      </c>
      <c r="W225">
        <v>750</v>
      </c>
    </row>
    <row r="226" spans="1:23" x14ac:dyDescent="0.2">
      <c r="A226" t="s">
        <v>971</v>
      </c>
      <c r="B226" t="s">
        <v>266</v>
      </c>
      <c r="C226" t="s">
        <v>121</v>
      </c>
      <c r="D226" t="s">
        <v>301</v>
      </c>
      <c r="E226">
        <v>1</v>
      </c>
      <c r="F226">
        <v>0.95</v>
      </c>
      <c r="G226">
        <v>0.95</v>
      </c>
      <c r="T226" t="s">
        <v>905</v>
      </c>
      <c r="U226" t="s">
        <v>1050</v>
      </c>
      <c r="V226" t="s">
        <v>1055</v>
      </c>
      <c r="W226">
        <v>0</v>
      </c>
    </row>
    <row r="227" spans="1:23" x14ac:dyDescent="0.2">
      <c r="A227" t="s">
        <v>971</v>
      </c>
      <c r="B227" t="s">
        <v>266</v>
      </c>
      <c r="C227" t="s">
        <v>122</v>
      </c>
      <c r="D227" t="s">
        <v>302</v>
      </c>
      <c r="E227">
        <v>1</v>
      </c>
      <c r="F227">
        <v>4.2</v>
      </c>
      <c r="G227">
        <v>4.2</v>
      </c>
      <c r="T227" t="s">
        <v>907</v>
      </c>
      <c r="U227" t="s">
        <v>1042</v>
      </c>
      <c r="V227" t="s">
        <v>401</v>
      </c>
      <c r="W227">
        <v>50</v>
      </c>
    </row>
    <row r="228" spans="1:23" x14ac:dyDescent="0.2">
      <c r="A228" t="s">
        <v>971</v>
      </c>
      <c r="B228" t="s">
        <v>266</v>
      </c>
      <c r="C228" t="s">
        <v>2</v>
      </c>
      <c r="D228" t="s">
        <v>303</v>
      </c>
      <c r="E228">
        <v>1.8</v>
      </c>
      <c r="F228">
        <v>5.0999999999999996</v>
      </c>
      <c r="G228">
        <v>9.18</v>
      </c>
      <c r="T228" t="s">
        <v>907</v>
      </c>
      <c r="U228" t="s">
        <v>1043</v>
      </c>
      <c r="V228" t="s">
        <v>272</v>
      </c>
      <c r="W228">
        <v>1</v>
      </c>
    </row>
    <row r="229" spans="1:23" x14ac:dyDescent="0.2">
      <c r="A229" t="s">
        <v>971</v>
      </c>
      <c r="B229" t="s">
        <v>266</v>
      </c>
      <c r="C229" t="s">
        <v>4</v>
      </c>
      <c r="D229" t="s">
        <v>304</v>
      </c>
      <c r="E229">
        <v>1.8</v>
      </c>
      <c r="F229">
        <v>10.1</v>
      </c>
      <c r="G229">
        <v>18.18</v>
      </c>
      <c r="T229" t="s">
        <v>907</v>
      </c>
      <c r="U229" t="s">
        <v>1044</v>
      </c>
      <c r="V229" t="s">
        <v>405</v>
      </c>
      <c r="W229">
        <v>100</v>
      </c>
    </row>
    <row r="230" spans="1:23" x14ac:dyDescent="0.2">
      <c r="A230" t="s">
        <v>971</v>
      </c>
      <c r="B230" t="s">
        <v>266</v>
      </c>
      <c r="C230" t="s">
        <v>5</v>
      </c>
      <c r="D230" t="s">
        <v>305</v>
      </c>
      <c r="E230">
        <v>2.5</v>
      </c>
      <c r="F230">
        <v>11.5</v>
      </c>
      <c r="G230">
        <v>28.75</v>
      </c>
      <c r="T230" t="s">
        <v>907</v>
      </c>
      <c r="U230" t="s">
        <v>1045</v>
      </c>
      <c r="V230" t="s">
        <v>402</v>
      </c>
      <c r="W230">
        <v>60</v>
      </c>
    </row>
    <row r="231" spans="1:23" x14ac:dyDescent="0.2">
      <c r="A231" t="s">
        <v>971</v>
      </c>
      <c r="B231" t="s">
        <v>266</v>
      </c>
      <c r="C231" t="s">
        <v>6</v>
      </c>
      <c r="D231" t="s">
        <v>306</v>
      </c>
      <c r="E231">
        <v>1.7</v>
      </c>
      <c r="F231">
        <v>16.8</v>
      </c>
      <c r="G231">
        <v>28.56</v>
      </c>
      <c r="T231" t="s">
        <v>907</v>
      </c>
      <c r="U231" t="s">
        <v>1046</v>
      </c>
      <c r="V231" t="s">
        <v>1051</v>
      </c>
      <c r="W231">
        <v>70</v>
      </c>
    </row>
    <row r="232" spans="1:23" x14ac:dyDescent="0.2">
      <c r="A232" t="s">
        <v>971</v>
      </c>
      <c r="B232" t="s">
        <v>266</v>
      </c>
      <c r="C232" t="s">
        <v>7</v>
      </c>
      <c r="D232" t="s">
        <v>307</v>
      </c>
      <c r="E232">
        <v>8.1999999999999993</v>
      </c>
      <c r="F232">
        <v>6.7</v>
      </c>
      <c r="G232">
        <v>54.94</v>
      </c>
      <c r="T232" t="s">
        <v>907</v>
      </c>
      <c r="U232" t="s">
        <v>1047</v>
      </c>
      <c r="V232" t="s">
        <v>1052</v>
      </c>
      <c r="W232">
        <v>70</v>
      </c>
    </row>
    <row r="233" spans="1:23" x14ac:dyDescent="0.2">
      <c r="A233" t="s">
        <v>971</v>
      </c>
      <c r="B233" t="s">
        <v>266</v>
      </c>
      <c r="C233" t="s">
        <v>13</v>
      </c>
      <c r="D233" t="s">
        <v>309</v>
      </c>
      <c r="E233">
        <v>3.3</v>
      </c>
      <c r="F233">
        <v>7</v>
      </c>
      <c r="G233">
        <v>23.1</v>
      </c>
      <c r="T233" t="s">
        <v>907</v>
      </c>
      <c r="U233" t="s">
        <v>1048</v>
      </c>
      <c r="V233" t="s">
        <v>1053</v>
      </c>
      <c r="W233">
        <v>250</v>
      </c>
    </row>
    <row r="234" spans="1:23" x14ac:dyDescent="0.2">
      <c r="A234" t="s">
        <v>971</v>
      </c>
      <c r="B234" t="s">
        <v>266</v>
      </c>
      <c r="C234" t="s">
        <v>14</v>
      </c>
      <c r="D234" t="s">
        <v>310</v>
      </c>
      <c r="E234">
        <v>0.15</v>
      </c>
      <c r="F234">
        <v>18</v>
      </c>
      <c r="G234">
        <v>2.7</v>
      </c>
      <c r="T234" t="s">
        <v>907</v>
      </c>
      <c r="U234" t="s">
        <v>1049</v>
      </c>
      <c r="V234" t="s">
        <v>1054</v>
      </c>
      <c r="W234">
        <v>750</v>
      </c>
    </row>
    <row r="235" spans="1:23" x14ac:dyDescent="0.2">
      <c r="A235" t="s">
        <v>971</v>
      </c>
      <c r="B235" t="s">
        <v>266</v>
      </c>
      <c r="C235" t="s">
        <v>15</v>
      </c>
      <c r="D235" t="s">
        <v>311</v>
      </c>
      <c r="E235">
        <v>0.75</v>
      </c>
      <c r="F235">
        <v>18</v>
      </c>
      <c r="G235">
        <v>13.5</v>
      </c>
      <c r="T235" t="s">
        <v>907</v>
      </c>
      <c r="U235" t="s">
        <v>1050</v>
      </c>
      <c r="V235" t="s">
        <v>1055</v>
      </c>
      <c r="W235">
        <v>0</v>
      </c>
    </row>
    <row r="236" spans="1:23" x14ac:dyDescent="0.2">
      <c r="A236" t="s">
        <v>971</v>
      </c>
      <c r="B236" t="s">
        <v>266</v>
      </c>
      <c r="C236" t="s">
        <v>16</v>
      </c>
      <c r="D236" t="s">
        <v>312</v>
      </c>
      <c r="E236">
        <v>0.16</v>
      </c>
      <c r="F236">
        <v>30</v>
      </c>
      <c r="G236">
        <v>4.8</v>
      </c>
      <c r="T236" t="s">
        <v>909</v>
      </c>
      <c r="U236" t="s">
        <v>1042</v>
      </c>
      <c r="V236" t="s">
        <v>401</v>
      </c>
      <c r="W236">
        <v>50</v>
      </c>
    </row>
    <row r="237" spans="1:23" x14ac:dyDescent="0.2">
      <c r="A237" t="s">
        <v>971</v>
      </c>
      <c r="B237" t="s">
        <v>266</v>
      </c>
      <c r="C237" t="s">
        <v>105</v>
      </c>
      <c r="D237" t="s">
        <v>313</v>
      </c>
      <c r="E237">
        <v>30</v>
      </c>
      <c r="F237">
        <v>0.1</v>
      </c>
      <c r="G237">
        <v>3</v>
      </c>
      <c r="T237" t="s">
        <v>909</v>
      </c>
      <c r="U237" t="s">
        <v>1043</v>
      </c>
      <c r="V237" t="s">
        <v>272</v>
      </c>
      <c r="W237">
        <v>1</v>
      </c>
    </row>
    <row r="238" spans="1:23" x14ac:dyDescent="0.2">
      <c r="A238" t="s">
        <v>971</v>
      </c>
      <c r="B238" t="s">
        <v>266</v>
      </c>
      <c r="C238" t="s">
        <v>111</v>
      </c>
      <c r="D238" t="s">
        <v>320</v>
      </c>
      <c r="E238">
        <v>200</v>
      </c>
      <c r="F238">
        <v>0.1</v>
      </c>
      <c r="G238">
        <v>20</v>
      </c>
      <c r="T238" t="s">
        <v>909</v>
      </c>
      <c r="U238" t="s">
        <v>1044</v>
      </c>
      <c r="V238" t="s">
        <v>405</v>
      </c>
      <c r="W238">
        <v>100</v>
      </c>
    </row>
    <row r="239" spans="1:23" x14ac:dyDescent="0.2">
      <c r="A239" t="s">
        <v>967</v>
      </c>
      <c r="B239" t="s">
        <v>268</v>
      </c>
      <c r="C239" t="s">
        <v>94</v>
      </c>
      <c r="D239" t="s">
        <v>280</v>
      </c>
      <c r="E239">
        <v>1</v>
      </c>
      <c r="F239">
        <v>3.5</v>
      </c>
      <c r="G239">
        <v>3.5</v>
      </c>
      <c r="T239" t="s">
        <v>909</v>
      </c>
      <c r="U239" t="s">
        <v>1045</v>
      </c>
      <c r="V239" t="s">
        <v>402</v>
      </c>
      <c r="W239">
        <v>60</v>
      </c>
    </row>
    <row r="240" spans="1:23" x14ac:dyDescent="0.2">
      <c r="A240" t="s">
        <v>967</v>
      </c>
      <c r="B240" t="s">
        <v>268</v>
      </c>
      <c r="C240" t="s">
        <v>95</v>
      </c>
      <c r="D240" t="s">
        <v>281</v>
      </c>
      <c r="E240">
        <v>1</v>
      </c>
      <c r="F240">
        <v>2</v>
      </c>
      <c r="G240">
        <v>2</v>
      </c>
      <c r="T240" t="s">
        <v>909</v>
      </c>
      <c r="U240" t="s">
        <v>1046</v>
      </c>
      <c r="V240" t="s">
        <v>1051</v>
      </c>
      <c r="W240">
        <v>70</v>
      </c>
    </row>
    <row r="241" spans="1:23" x14ac:dyDescent="0.2">
      <c r="A241" t="s">
        <v>967</v>
      </c>
      <c r="B241" t="s">
        <v>268</v>
      </c>
      <c r="C241" t="s">
        <v>96</v>
      </c>
      <c r="D241" t="s">
        <v>282</v>
      </c>
      <c r="E241">
        <v>1</v>
      </c>
      <c r="F241">
        <v>1</v>
      </c>
      <c r="G241">
        <v>1</v>
      </c>
      <c r="T241" t="s">
        <v>909</v>
      </c>
      <c r="U241" t="s">
        <v>1047</v>
      </c>
      <c r="V241" t="s">
        <v>1052</v>
      </c>
      <c r="W241">
        <v>70</v>
      </c>
    </row>
    <row r="242" spans="1:23" x14ac:dyDescent="0.2">
      <c r="A242" t="s">
        <v>967</v>
      </c>
      <c r="B242" t="s">
        <v>268</v>
      </c>
      <c r="C242" t="s">
        <v>97</v>
      </c>
      <c r="D242" t="s">
        <v>283</v>
      </c>
      <c r="E242">
        <v>1</v>
      </c>
      <c r="F242">
        <v>1</v>
      </c>
      <c r="G242">
        <v>1</v>
      </c>
      <c r="T242" t="s">
        <v>909</v>
      </c>
      <c r="U242" t="s">
        <v>1048</v>
      </c>
      <c r="V242" t="s">
        <v>1053</v>
      </c>
      <c r="W242">
        <v>250</v>
      </c>
    </row>
    <row r="243" spans="1:23" x14ac:dyDescent="0.2">
      <c r="A243" t="s">
        <v>967</v>
      </c>
      <c r="B243" t="s">
        <v>268</v>
      </c>
      <c r="C243" t="s">
        <v>99</v>
      </c>
      <c r="D243" t="s">
        <v>284</v>
      </c>
      <c r="E243">
        <v>1</v>
      </c>
      <c r="F243">
        <v>0</v>
      </c>
      <c r="G243">
        <v>0</v>
      </c>
      <c r="T243" t="s">
        <v>909</v>
      </c>
      <c r="U243" t="s">
        <v>1049</v>
      </c>
      <c r="V243" t="s">
        <v>1054</v>
      </c>
      <c r="W243">
        <v>750</v>
      </c>
    </row>
    <row r="244" spans="1:23" x14ac:dyDescent="0.2">
      <c r="A244" t="s">
        <v>967</v>
      </c>
      <c r="B244" t="s">
        <v>268</v>
      </c>
      <c r="C244" t="s">
        <v>100</v>
      </c>
      <c r="D244" t="s">
        <v>285</v>
      </c>
      <c r="E244">
        <v>1</v>
      </c>
      <c r="F244">
        <v>0</v>
      </c>
      <c r="G244">
        <v>0</v>
      </c>
      <c r="T244" t="s">
        <v>909</v>
      </c>
      <c r="U244" t="s">
        <v>1050</v>
      </c>
      <c r="V244" t="s">
        <v>1055</v>
      </c>
      <c r="W244">
        <v>0</v>
      </c>
    </row>
    <row r="245" spans="1:23" x14ac:dyDescent="0.2">
      <c r="A245" t="s">
        <v>967</v>
      </c>
      <c r="B245" t="s">
        <v>268</v>
      </c>
      <c r="C245" t="s">
        <v>51</v>
      </c>
      <c r="D245" t="s">
        <v>286</v>
      </c>
      <c r="E245">
        <v>0.12</v>
      </c>
      <c r="F245">
        <v>419</v>
      </c>
      <c r="G245">
        <v>50.28</v>
      </c>
      <c r="T245" t="s">
        <v>911</v>
      </c>
      <c r="U245" t="s">
        <v>1042</v>
      </c>
      <c r="V245" t="s">
        <v>401</v>
      </c>
      <c r="W245">
        <v>50</v>
      </c>
    </row>
    <row r="246" spans="1:23" x14ac:dyDescent="0.2">
      <c r="A246" t="s">
        <v>967</v>
      </c>
      <c r="B246" t="s">
        <v>268</v>
      </c>
      <c r="C246" t="s">
        <v>52</v>
      </c>
      <c r="D246" t="s">
        <v>321</v>
      </c>
      <c r="E246">
        <v>0.8</v>
      </c>
      <c r="F246">
        <v>120</v>
      </c>
      <c r="G246">
        <v>96</v>
      </c>
      <c r="T246" t="s">
        <v>911</v>
      </c>
      <c r="U246" t="s">
        <v>1043</v>
      </c>
      <c r="V246" t="s">
        <v>272</v>
      </c>
      <c r="W246">
        <v>1</v>
      </c>
    </row>
    <row r="247" spans="1:23" x14ac:dyDescent="0.2">
      <c r="A247" t="s">
        <v>967</v>
      </c>
      <c r="B247" t="s">
        <v>268</v>
      </c>
      <c r="C247" t="s">
        <v>69</v>
      </c>
      <c r="D247" t="s">
        <v>288</v>
      </c>
      <c r="E247">
        <v>0.22</v>
      </c>
      <c r="F247">
        <v>190</v>
      </c>
      <c r="G247">
        <v>41.8</v>
      </c>
      <c r="T247" t="s">
        <v>911</v>
      </c>
      <c r="U247" t="s">
        <v>1044</v>
      </c>
      <c r="V247" t="s">
        <v>405</v>
      </c>
      <c r="W247">
        <v>100</v>
      </c>
    </row>
    <row r="248" spans="1:23" x14ac:dyDescent="0.2">
      <c r="A248" t="s">
        <v>967</v>
      </c>
      <c r="B248" t="s">
        <v>268</v>
      </c>
      <c r="C248" t="s">
        <v>81</v>
      </c>
      <c r="D248" t="s">
        <v>322</v>
      </c>
      <c r="E248">
        <v>1.125</v>
      </c>
      <c r="F248">
        <v>380</v>
      </c>
      <c r="G248">
        <v>427.5</v>
      </c>
      <c r="T248" t="s">
        <v>911</v>
      </c>
      <c r="U248" t="s">
        <v>1045</v>
      </c>
      <c r="V248" t="s">
        <v>402</v>
      </c>
      <c r="W248">
        <v>60</v>
      </c>
    </row>
    <row r="249" spans="1:23" x14ac:dyDescent="0.2">
      <c r="A249" t="s">
        <v>967</v>
      </c>
      <c r="B249" t="s">
        <v>268</v>
      </c>
      <c r="C249" t="s">
        <v>49</v>
      </c>
      <c r="D249" t="s">
        <v>290</v>
      </c>
      <c r="E249">
        <v>7.4999999999999997E-2</v>
      </c>
      <c r="F249">
        <v>248</v>
      </c>
      <c r="G249">
        <v>18.600000000000001</v>
      </c>
      <c r="T249" t="s">
        <v>911</v>
      </c>
      <c r="U249" t="s">
        <v>1046</v>
      </c>
      <c r="V249" t="s">
        <v>1051</v>
      </c>
      <c r="W249">
        <v>70</v>
      </c>
    </row>
    <row r="250" spans="1:23" x14ac:dyDescent="0.2">
      <c r="A250" t="s">
        <v>967</v>
      </c>
      <c r="B250" t="s">
        <v>268</v>
      </c>
      <c r="C250" t="s">
        <v>28</v>
      </c>
      <c r="D250" t="s">
        <v>291</v>
      </c>
      <c r="E250">
        <v>0.8</v>
      </c>
      <c r="F250">
        <v>175</v>
      </c>
      <c r="G250">
        <v>140</v>
      </c>
      <c r="T250" t="s">
        <v>911</v>
      </c>
      <c r="U250" t="s">
        <v>1047</v>
      </c>
      <c r="V250" t="s">
        <v>1052</v>
      </c>
      <c r="W250">
        <v>70</v>
      </c>
    </row>
    <row r="251" spans="1:23" x14ac:dyDescent="0.2">
      <c r="A251" t="s">
        <v>967</v>
      </c>
      <c r="B251" t="s">
        <v>268</v>
      </c>
      <c r="C251" t="s">
        <v>29</v>
      </c>
      <c r="D251" t="s">
        <v>292</v>
      </c>
      <c r="E251">
        <v>0.4</v>
      </c>
      <c r="F251">
        <v>27</v>
      </c>
      <c r="G251">
        <v>10.8</v>
      </c>
      <c r="T251" t="s">
        <v>911</v>
      </c>
      <c r="U251" t="s">
        <v>1048</v>
      </c>
      <c r="V251" t="s">
        <v>1053</v>
      </c>
      <c r="W251">
        <v>250</v>
      </c>
    </row>
    <row r="252" spans="1:23" x14ac:dyDescent="0.2">
      <c r="A252" t="s">
        <v>967</v>
      </c>
      <c r="B252" t="s">
        <v>268</v>
      </c>
      <c r="C252" t="s">
        <v>31</v>
      </c>
      <c r="D252" t="s">
        <v>293</v>
      </c>
      <c r="E252">
        <v>3</v>
      </c>
      <c r="F252">
        <v>5</v>
      </c>
      <c r="G252">
        <v>15</v>
      </c>
      <c r="T252" t="s">
        <v>911</v>
      </c>
      <c r="U252" t="s">
        <v>1049</v>
      </c>
      <c r="V252" t="s">
        <v>1054</v>
      </c>
      <c r="W252">
        <v>750</v>
      </c>
    </row>
    <row r="253" spans="1:23" x14ac:dyDescent="0.2">
      <c r="A253" t="s">
        <v>967</v>
      </c>
      <c r="B253" t="s">
        <v>268</v>
      </c>
      <c r="C253" t="s">
        <v>34</v>
      </c>
      <c r="D253" t="s">
        <v>294</v>
      </c>
      <c r="E253">
        <v>2</v>
      </c>
      <c r="F253">
        <v>18</v>
      </c>
      <c r="G253">
        <v>36</v>
      </c>
      <c r="T253" t="s">
        <v>911</v>
      </c>
      <c r="U253" t="s">
        <v>1050</v>
      </c>
      <c r="V253" t="s">
        <v>1055</v>
      </c>
      <c r="W253">
        <v>0</v>
      </c>
    </row>
    <row r="254" spans="1:23" x14ac:dyDescent="0.2">
      <c r="A254" t="s">
        <v>967</v>
      </c>
      <c r="B254" t="s">
        <v>268</v>
      </c>
      <c r="C254" t="s">
        <v>35</v>
      </c>
      <c r="D254" t="s">
        <v>295</v>
      </c>
      <c r="E254">
        <v>1</v>
      </c>
      <c r="F254">
        <v>18</v>
      </c>
      <c r="G254">
        <v>18</v>
      </c>
      <c r="T254" t="s">
        <v>913</v>
      </c>
      <c r="U254" t="s">
        <v>1042</v>
      </c>
      <c r="V254" t="s">
        <v>401</v>
      </c>
      <c r="W254">
        <v>50</v>
      </c>
    </row>
    <row r="255" spans="1:23" x14ac:dyDescent="0.2">
      <c r="A255" t="s">
        <v>967</v>
      </c>
      <c r="B255" t="s">
        <v>268</v>
      </c>
      <c r="C255" t="s">
        <v>36</v>
      </c>
      <c r="D255" t="s">
        <v>296</v>
      </c>
      <c r="E255">
        <v>2</v>
      </c>
      <c r="F255">
        <v>15</v>
      </c>
      <c r="G255">
        <v>30</v>
      </c>
      <c r="T255" t="s">
        <v>913</v>
      </c>
      <c r="U255" t="s">
        <v>1043</v>
      </c>
      <c r="V255" t="s">
        <v>272</v>
      </c>
      <c r="W255">
        <v>1</v>
      </c>
    </row>
    <row r="256" spans="1:23" x14ac:dyDescent="0.2">
      <c r="A256" t="s">
        <v>967</v>
      </c>
      <c r="B256" t="s">
        <v>268</v>
      </c>
      <c r="C256" t="s">
        <v>37</v>
      </c>
      <c r="D256" t="s">
        <v>297</v>
      </c>
      <c r="E256">
        <v>1</v>
      </c>
      <c r="F256">
        <v>18</v>
      </c>
      <c r="G256">
        <v>18</v>
      </c>
      <c r="T256" t="s">
        <v>913</v>
      </c>
      <c r="U256" t="s">
        <v>1044</v>
      </c>
      <c r="V256" t="s">
        <v>405</v>
      </c>
      <c r="W256">
        <v>100</v>
      </c>
    </row>
    <row r="257" spans="1:23" x14ac:dyDescent="0.2">
      <c r="A257" t="s">
        <v>967</v>
      </c>
      <c r="B257" t="s">
        <v>268</v>
      </c>
      <c r="C257" t="s">
        <v>39</v>
      </c>
      <c r="D257" t="s">
        <v>298</v>
      </c>
      <c r="E257">
        <v>1</v>
      </c>
      <c r="F257">
        <v>18</v>
      </c>
      <c r="G257">
        <v>18</v>
      </c>
      <c r="T257" t="s">
        <v>913</v>
      </c>
      <c r="U257" t="s">
        <v>1045</v>
      </c>
      <c r="V257" t="s">
        <v>402</v>
      </c>
      <c r="W257">
        <v>60</v>
      </c>
    </row>
    <row r="258" spans="1:23" x14ac:dyDescent="0.2">
      <c r="A258" t="s">
        <v>967</v>
      </c>
      <c r="B258" t="s">
        <v>268</v>
      </c>
      <c r="C258" t="s">
        <v>42</v>
      </c>
      <c r="D258" t="s">
        <v>299</v>
      </c>
      <c r="E258">
        <v>2</v>
      </c>
      <c r="F258">
        <v>2.5</v>
      </c>
      <c r="G258">
        <v>5</v>
      </c>
      <c r="T258" t="s">
        <v>913</v>
      </c>
      <c r="U258" t="s">
        <v>1046</v>
      </c>
      <c r="V258" t="s">
        <v>1051</v>
      </c>
      <c r="W258">
        <v>70</v>
      </c>
    </row>
    <row r="259" spans="1:23" x14ac:dyDescent="0.2">
      <c r="A259" t="s">
        <v>967</v>
      </c>
      <c r="B259" t="s">
        <v>268</v>
      </c>
      <c r="C259" t="s">
        <v>43</v>
      </c>
      <c r="D259" t="s">
        <v>300</v>
      </c>
      <c r="E259">
        <v>92</v>
      </c>
      <c r="F259">
        <v>9.5</v>
      </c>
      <c r="G259">
        <v>874</v>
      </c>
      <c r="T259" t="s">
        <v>913</v>
      </c>
      <c r="U259" t="s">
        <v>1047</v>
      </c>
      <c r="V259" t="s">
        <v>1052</v>
      </c>
      <c r="W259">
        <v>70</v>
      </c>
    </row>
    <row r="260" spans="1:23" x14ac:dyDescent="0.2">
      <c r="A260" t="s">
        <v>967</v>
      </c>
      <c r="B260" t="s">
        <v>268</v>
      </c>
      <c r="C260" t="s">
        <v>121</v>
      </c>
      <c r="D260" t="s">
        <v>301</v>
      </c>
      <c r="E260">
        <v>1</v>
      </c>
      <c r="F260">
        <v>0.95</v>
      </c>
      <c r="G260">
        <v>0.95</v>
      </c>
      <c r="T260" t="s">
        <v>913</v>
      </c>
      <c r="U260" t="s">
        <v>1048</v>
      </c>
      <c r="V260" t="s">
        <v>1053</v>
      </c>
      <c r="W260">
        <v>250</v>
      </c>
    </row>
    <row r="261" spans="1:23" x14ac:dyDescent="0.2">
      <c r="A261" t="s">
        <v>967</v>
      </c>
      <c r="B261" t="s">
        <v>268</v>
      </c>
      <c r="C261" t="s">
        <v>122</v>
      </c>
      <c r="D261" t="s">
        <v>302</v>
      </c>
      <c r="E261">
        <v>1</v>
      </c>
      <c r="F261">
        <v>4.2</v>
      </c>
      <c r="G261">
        <v>4.2</v>
      </c>
      <c r="T261" t="s">
        <v>913</v>
      </c>
      <c r="U261" t="s">
        <v>1049</v>
      </c>
      <c r="V261" t="s">
        <v>1054</v>
      </c>
      <c r="W261">
        <v>750</v>
      </c>
    </row>
    <row r="262" spans="1:23" x14ac:dyDescent="0.2">
      <c r="A262" t="s">
        <v>967</v>
      </c>
      <c r="B262" t="s">
        <v>268</v>
      </c>
      <c r="C262" t="s">
        <v>2</v>
      </c>
      <c r="D262" t="s">
        <v>303</v>
      </c>
      <c r="E262">
        <v>1.8</v>
      </c>
      <c r="F262">
        <v>5.0999999999999996</v>
      </c>
      <c r="G262">
        <v>9.18</v>
      </c>
      <c r="T262" t="s">
        <v>913</v>
      </c>
      <c r="U262" t="s">
        <v>1050</v>
      </c>
      <c r="V262" t="s">
        <v>1055</v>
      </c>
      <c r="W262">
        <v>0</v>
      </c>
    </row>
    <row r="263" spans="1:23" x14ac:dyDescent="0.2">
      <c r="A263" t="s">
        <v>967</v>
      </c>
      <c r="B263" t="s">
        <v>268</v>
      </c>
      <c r="C263" t="s">
        <v>4</v>
      </c>
      <c r="D263" t="s">
        <v>304</v>
      </c>
      <c r="E263">
        <v>1.8</v>
      </c>
      <c r="F263">
        <v>10.1</v>
      </c>
      <c r="G263">
        <v>18.18</v>
      </c>
      <c r="T263" t="s">
        <v>915</v>
      </c>
      <c r="U263" t="s">
        <v>1042</v>
      </c>
      <c r="V263" t="s">
        <v>401</v>
      </c>
      <c r="W263">
        <v>50</v>
      </c>
    </row>
    <row r="264" spans="1:23" x14ac:dyDescent="0.2">
      <c r="A264" t="s">
        <v>967</v>
      </c>
      <c r="B264" t="s">
        <v>268</v>
      </c>
      <c r="C264" t="s">
        <v>5</v>
      </c>
      <c r="D264" t="s">
        <v>305</v>
      </c>
      <c r="E264">
        <v>2.5</v>
      </c>
      <c r="F264">
        <v>11.5</v>
      </c>
      <c r="G264">
        <v>28.75</v>
      </c>
      <c r="T264" t="s">
        <v>915</v>
      </c>
      <c r="U264" t="s">
        <v>1043</v>
      </c>
      <c r="V264" t="s">
        <v>272</v>
      </c>
      <c r="W264">
        <v>1</v>
      </c>
    </row>
    <row r="265" spans="1:23" x14ac:dyDescent="0.2">
      <c r="A265" t="s">
        <v>967</v>
      </c>
      <c r="B265" t="s">
        <v>268</v>
      </c>
      <c r="C265" t="s">
        <v>6</v>
      </c>
      <c r="D265" t="s">
        <v>306</v>
      </c>
      <c r="E265">
        <v>1.7</v>
      </c>
      <c r="F265">
        <v>16.8</v>
      </c>
      <c r="G265">
        <v>28.56</v>
      </c>
      <c r="T265" t="s">
        <v>915</v>
      </c>
      <c r="U265" t="s">
        <v>1044</v>
      </c>
      <c r="V265" t="s">
        <v>405</v>
      </c>
      <c r="W265">
        <v>100</v>
      </c>
    </row>
    <row r="266" spans="1:23" x14ac:dyDescent="0.2">
      <c r="A266" t="s">
        <v>967</v>
      </c>
      <c r="B266" t="s">
        <v>268</v>
      </c>
      <c r="C266" t="s">
        <v>7</v>
      </c>
      <c r="D266" t="s">
        <v>307</v>
      </c>
      <c r="E266">
        <v>8.1999999999999993</v>
      </c>
      <c r="F266">
        <v>6.7</v>
      </c>
      <c r="G266">
        <v>54.94</v>
      </c>
      <c r="T266" t="s">
        <v>915</v>
      </c>
      <c r="U266" t="s">
        <v>1045</v>
      </c>
      <c r="V266" t="s">
        <v>402</v>
      </c>
      <c r="W266">
        <v>60</v>
      </c>
    </row>
    <row r="267" spans="1:23" x14ac:dyDescent="0.2">
      <c r="A267" t="s">
        <v>967</v>
      </c>
      <c r="B267" t="s">
        <v>268</v>
      </c>
      <c r="C267" t="s">
        <v>13</v>
      </c>
      <c r="D267" t="s">
        <v>309</v>
      </c>
      <c r="E267">
        <v>3.3</v>
      </c>
      <c r="F267">
        <v>7</v>
      </c>
      <c r="G267">
        <v>23.1</v>
      </c>
      <c r="T267" t="s">
        <v>915</v>
      </c>
      <c r="U267" t="s">
        <v>1046</v>
      </c>
      <c r="V267" t="s">
        <v>1051</v>
      </c>
      <c r="W267">
        <v>70</v>
      </c>
    </row>
    <row r="268" spans="1:23" x14ac:dyDescent="0.2">
      <c r="A268" t="s">
        <v>967</v>
      </c>
      <c r="B268" t="s">
        <v>268</v>
      </c>
      <c r="C268" t="s">
        <v>14</v>
      </c>
      <c r="D268" t="s">
        <v>310</v>
      </c>
      <c r="E268">
        <v>0.15</v>
      </c>
      <c r="F268">
        <v>18</v>
      </c>
      <c r="G268">
        <v>2.7</v>
      </c>
      <c r="T268" t="s">
        <v>915</v>
      </c>
      <c r="U268" t="s">
        <v>1047</v>
      </c>
      <c r="V268" t="s">
        <v>1052</v>
      </c>
      <c r="W268">
        <v>70</v>
      </c>
    </row>
    <row r="269" spans="1:23" x14ac:dyDescent="0.2">
      <c r="A269" t="s">
        <v>967</v>
      </c>
      <c r="B269" t="s">
        <v>268</v>
      </c>
      <c r="C269" t="s">
        <v>15</v>
      </c>
      <c r="D269" t="s">
        <v>311</v>
      </c>
      <c r="E269">
        <v>0.75</v>
      </c>
      <c r="F269">
        <v>18</v>
      </c>
      <c r="G269">
        <v>13.5</v>
      </c>
      <c r="T269" t="s">
        <v>915</v>
      </c>
      <c r="U269" t="s">
        <v>1048</v>
      </c>
      <c r="V269" t="s">
        <v>1053</v>
      </c>
      <c r="W269">
        <v>250</v>
      </c>
    </row>
    <row r="270" spans="1:23" x14ac:dyDescent="0.2">
      <c r="A270" t="s">
        <v>967</v>
      </c>
      <c r="B270" t="s">
        <v>268</v>
      </c>
      <c r="C270" t="s">
        <v>16</v>
      </c>
      <c r="D270" t="s">
        <v>312</v>
      </c>
      <c r="E270">
        <v>0.16</v>
      </c>
      <c r="F270">
        <v>30</v>
      </c>
      <c r="G270">
        <v>4.8</v>
      </c>
      <c r="T270" t="s">
        <v>915</v>
      </c>
      <c r="U270" t="s">
        <v>1049</v>
      </c>
      <c r="V270" t="s">
        <v>1054</v>
      </c>
      <c r="W270">
        <v>750</v>
      </c>
    </row>
    <row r="271" spans="1:23" x14ac:dyDescent="0.2">
      <c r="A271" t="s">
        <v>967</v>
      </c>
      <c r="B271" t="s">
        <v>268</v>
      </c>
      <c r="C271" t="s">
        <v>105</v>
      </c>
      <c r="D271" t="s">
        <v>313</v>
      </c>
      <c r="E271">
        <v>50</v>
      </c>
      <c r="F271">
        <v>0.1</v>
      </c>
      <c r="G271">
        <v>5</v>
      </c>
      <c r="T271" t="s">
        <v>915</v>
      </c>
      <c r="U271" t="s">
        <v>1050</v>
      </c>
      <c r="V271" t="s">
        <v>1055</v>
      </c>
      <c r="W271">
        <v>0</v>
      </c>
    </row>
    <row r="272" spans="1:23" x14ac:dyDescent="0.2">
      <c r="A272" t="s">
        <v>967</v>
      </c>
      <c r="B272" t="s">
        <v>268</v>
      </c>
      <c r="C272" t="s">
        <v>108</v>
      </c>
      <c r="D272" t="s">
        <v>323</v>
      </c>
      <c r="E272">
        <v>200</v>
      </c>
      <c r="F272">
        <v>0.1</v>
      </c>
      <c r="G272">
        <v>20</v>
      </c>
      <c r="T272" t="s">
        <v>917</v>
      </c>
      <c r="U272" t="s">
        <v>1042</v>
      </c>
      <c r="V272" t="s">
        <v>401</v>
      </c>
      <c r="W272">
        <v>50</v>
      </c>
    </row>
    <row r="273" spans="1:23" x14ac:dyDescent="0.2">
      <c r="A273" t="s">
        <v>964</v>
      </c>
      <c r="B273" t="s">
        <v>222</v>
      </c>
      <c r="C273" t="s">
        <v>94</v>
      </c>
      <c r="D273" t="s">
        <v>280</v>
      </c>
      <c r="E273">
        <v>1</v>
      </c>
      <c r="F273">
        <v>3.5</v>
      </c>
      <c r="G273">
        <v>3.5</v>
      </c>
      <c r="T273" t="s">
        <v>917</v>
      </c>
      <c r="U273" t="s">
        <v>1043</v>
      </c>
      <c r="V273" t="s">
        <v>272</v>
      </c>
      <c r="W273">
        <v>1</v>
      </c>
    </row>
    <row r="274" spans="1:23" x14ac:dyDescent="0.2">
      <c r="A274" t="s">
        <v>964</v>
      </c>
      <c r="B274" t="s">
        <v>222</v>
      </c>
      <c r="C274" t="s">
        <v>95</v>
      </c>
      <c r="D274" t="s">
        <v>281</v>
      </c>
      <c r="E274">
        <v>1</v>
      </c>
      <c r="F274">
        <v>2</v>
      </c>
      <c r="G274">
        <v>2</v>
      </c>
      <c r="T274" t="s">
        <v>917</v>
      </c>
      <c r="U274" t="s">
        <v>1044</v>
      </c>
      <c r="V274" t="s">
        <v>405</v>
      </c>
      <c r="W274">
        <v>100</v>
      </c>
    </row>
    <row r="275" spans="1:23" x14ac:dyDescent="0.2">
      <c r="A275" t="s">
        <v>964</v>
      </c>
      <c r="B275" t="s">
        <v>222</v>
      </c>
      <c r="C275" t="s">
        <v>96</v>
      </c>
      <c r="D275" t="s">
        <v>282</v>
      </c>
      <c r="E275">
        <v>1</v>
      </c>
      <c r="F275">
        <v>1</v>
      </c>
      <c r="G275">
        <v>1</v>
      </c>
      <c r="T275" t="s">
        <v>917</v>
      </c>
      <c r="U275" t="s">
        <v>1045</v>
      </c>
      <c r="V275" t="s">
        <v>402</v>
      </c>
      <c r="W275">
        <v>60</v>
      </c>
    </row>
    <row r="276" spans="1:23" x14ac:dyDescent="0.2">
      <c r="A276" t="s">
        <v>964</v>
      </c>
      <c r="B276" t="s">
        <v>222</v>
      </c>
      <c r="C276" t="s">
        <v>97</v>
      </c>
      <c r="D276" t="s">
        <v>283</v>
      </c>
      <c r="E276">
        <v>1</v>
      </c>
      <c r="F276">
        <v>1</v>
      </c>
      <c r="G276">
        <v>1</v>
      </c>
      <c r="T276" t="s">
        <v>917</v>
      </c>
      <c r="U276" t="s">
        <v>1046</v>
      </c>
      <c r="V276" t="s">
        <v>1051</v>
      </c>
      <c r="W276">
        <v>70</v>
      </c>
    </row>
    <row r="277" spans="1:23" x14ac:dyDescent="0.2">
      <c r="A277" t="s">
        <v>964</v>
      </c>
      <c r="B277" t="s">
        <v>222</v>
      </c>
      <c r="C277" t="s">
        <v>99</v>
      </c>
      <c r="D277" t="s">
        <v>284</v>
      </c>
      <c r="E277">
        <v>1</v>
      </c>
      <c r="F277">
        <v>0</v>
      </c>
      <c r="G277">
        <v>0</v>
      </c>
      <c r="T277" t="s">
        <v>917</v>
      </c>
      <c r="U277" t="s">
        <v>1047</v>
      </c>
      <c r="V277" t="s">
        <v>1052</v>
      </c>
      <c r="W277">
        <v>70</v>
      </c>
    </row>
    <row r="278" spans="1:23" x14ac:dyDescent="0.2">
      <c r="A278" t="s">
        <v>964</v>
      </c>
      <c r="B278" t="s">
        <v>222</v>
      </c>
      <c r="C278" t="s">
        <v>100</v>
      </c>
      <c r="D278" t="s">
        <v>285</v>
      </c>
      <c r="E278">
        <v>1</v>
      </c>
      <c r="F278">
        <v>0</v>
      </c>
      <c r="G278">
        <v>0</v>
      </c>
      <c r="T278" t="s">
        <v>917</v>
      </c>
      <c r="U278" t="s">
        <v>1048</v>
      </c>
      <c r="V278" t="s">
        <v>1053</v>
      </c>
      <c r="W278">
        <v>250</v>
      </c>
    </row>
    <row r="279" spans="1:23" x14ac:dyDescent="0.2">
      <c r="A279" t="s">
        <v>964</v>
      </c>
      <c r="B279" t="s">
        <v>222</v>
      </c>
      <c r="C279" t="s">
        <v>51</v>
      </c>
      <c r="D279" t="s">
        <v>286</v>
      </c>
      <c r="E279">
        <v>0.12</v>
      </c>
      <c r="F279">
        <v>419</v>
      </c>
      <c r="G279">
        <v>50.28</v>
      </c>
      <c r="T279" t="s">
        <v>917</v>
      </c>
      <c r="U279" t="s">
        <v>1049</v>
      </c>
      <c r="V279" t="s">
        <v>1054</v>
      </c>
      <c r="W279">
        <v>750</v>
      </c>
    </row>
    <row r="280" spans="1:23" x14ac:dyDescent="0.2">
      <c r="A280" t="s">
        <v>964</v>
      </c>
      <c r="B280" t="s">
        <v>222</v>
      </c>
      <c r="C280" t="s">
        <v>56</v>
      </c>
      <c r="D280" t="s">
        <v>287</v>
      </c>
      <c r="E280">
        <v>0.7</v>
      </c>
      <c r="F280">
        <v>90</v>
      </c>
      <c r="G280">
        <v>63</v>
      </c>
      <c r="T280" t="s">
        <v>917</v>
      </c>
      <c r="U280" t="s">
        <v>1050</v>
      </c>
      <c r="V280" t="s">
        <v>1055</v>
      </c>
      <c r="W280">
        <v>0</v>
      </c>
    </row>
    <row r="281" spans="1:23" x14ac:dyDescent="0.2">
      <c r="A281" t="s">
        <v>964</v>
      </c>
      <c r="B281" t="s">
        <v>222</v>
      </c>
      <c r="C281" t="s">
        <v>69</v>
      </c>
      <c r="D281" t="s">
        <v>288</v>
      </c>
      <c r="E281">
        <v>0.22</v>
      </c>
      <c r="F281">
        <v>190</v>
      </c>
      <c r="G281">
        <v>41.8</v>
      </c>
      <c r="T281" t="s">
        <v>919</v>
      </c>
      <c r="U281" t="s">
        <v>1042</v>
      </c>
      <c r="V281" t="s">
        <v>401</v>
      </c>
      <c r="W281">
        <v>50</v>
      </c>
    </row>
    <row r="282" spans="1:23" x14ac:dyDescent="0.2">
      <c r="A282" t="s">
        <v>964</v>
      </c>
      <c r="B282" t="s">
        <v>222</v>
      </c>
      <c r="C282" t="s">
        <v>80</v>
      </c>
      <c r="D282" t="s">
        <v>317</v>
      </c>
      <c r="E282">
        <v>1.125</v>
      </c>
      <c r="F282">
        <v>380</v>
      </c>
      <c r="G282">
        <v>427.5</v>
      </c>
      <c r="T282" t="s">
        <v>919</v>
      </c>
      <c r="U282" t="s">
        <v>1043</v>
      </c>
      <c r="V282" t="s">
        <v>272</v>
      </c>
      <c r="W282">
        <v>1</v>
      </c>
    </row>
    <row r="283" spans="1:23" x14ac:dyDescent="0.2">
      <c r="A283" t="s">
        <v>964</v>
      </c>
      <c r="B283" t="s">
        <v>222</v>
      </c>
      <c r="C283" t="s">
        <v>49</v>
      </c>
      <c r="D283" t="s">
        <v>290</v>
      </c>
      <c r="E283">
        <v>7.4999999999999997E-2</v>
      </c>
      <c r="F283">
        <v>248</v>
      </c>
      <c r="G283">
        <v>18.600000000000001</v>
      </c>
      <c r="T283" t="s">
        <v>919</v>
      </c>
      <c r="U283" t="s">
        <v>1044</v>
      </c>
      <c r="V283" t="s">
        <v>405</v>
      </c>
      <c r="W283">
        <v>100</v>
      </c>
    </row>
    <row r="284" spans="1:23" x14ac:dyDescent="0.2">
      <c r="A284" t="s">
        <v>964</v>
      </c>
      <c r="B284" t="s">
        <v>222</v>
      </c>
      <c r="C284" t="s">
        <v>28</v>
      </c>
      <c r="D284" t="s">
        <v>291</v>
      </c>
      <c r="E284">
        <v>0.8</v>
      </c>
      <c r="F284">
        <v>175</v>
      </c>
      <c r="G284">
        <v>140</v>
      </c>
      <c r="T284" t="s">
        <v>919</v>
      </c>
      <c r="U284" t="s">
        <v>1045</v>
      </c>
      <c r="V284" t="s">
        <v>402</v>
      </c>
      <c r="W284">
        <v>60</v>
      </c>
    </row>
    <row r="285" spans="1:23" x14ac:dyDescent="0.2">
      <c r="A285" t="s">
        <v>964</v>
      </c>
      <c r="B285" t="s">
        <v>222</v>
      </c>
      <c r="C285" t="s">
        <v>29</v>
      </c>
      <c r="D285" t="s">
        <v>292</v>
      </c>
      <c r="E285">
        <v>0.4</v>
      </c>
      <c r="F285">
        <v>27</v>
      </c>
      <c r="G285">
        <v>10.8</v>
      </c>
      <c r="T285" t="s">
        <v>919</v>
      </c>
      <c r="U285" t="s">
        <v>1046</v>
      </c>
      <c r="V285" t="s">
        <v>1051</v>
      </c>
      <c r="W285">
        <v>70</v>
      </c>
    </row>
    <row r="286" spans="1:23" x14ac:dyDescent="0.2">
      <c r="A286" t="s">
        <v>964</v>
      </c>
      <c r="B286" t="s">
        <v>222</v>
      </c>
      <c r="C286" t="s">
        <v>31</v>
      </c>
      <c r="D286" t="s">
        <v>293</v>
      </c>
      <c r="E286">
        <v>3</v>
      </c>
      <c r="F286">
        <v>5</v>
      </c>
      <c r="G286">
        <v>15</v>
      </c>
      <c r="T286" t="s">
        <v>919</v>
      </c>
      <c r="U286" t="s">
        <v>1047</v>
      </c>
      <c r="V286" t="s">
        <v>1052</v>
      </c>
      <c r="W286">
        <v>70</v>
      </c>
    </row>
    <row r="287" spans="1:23" x14ac:dyDescent="0.2">
      <c r="A287" t="s">
        <v>964</v>
      </c>
      <c r="B287" t="s">
        <v>222</v>
      </c>
      <c r="C287" t="s">
        <v>34</v>
      </c>
      <c r="D287" t="s">
        <v>294</v>
      </c>
      <c r="E287">
        <v>2</v>
      </c>
      <c r="F287">
        <v>18</v>
      </c>
      <c r="G287">
        <v>36</v>
      </c>
      <c r="T287" t="s">
        <v>919</v>
      </c>
      <c r="U287" t="s">
        <v>1048</v>
      </c>
      <c r="V287" t="s">
        <v>1053</v>
      </c>
      <c r="W287">
        <v>250</v>
      </c>
    </row>
    <row r="288" spans="1:23" x14ac:dyDescent="0.2">
      <c r="A288" t="s">
        <v>964</v>
      </c>
      <c r="B288" t="s">
        <v>222</v>
      </c>
      <c r="C288" t="s">
        <v>35</v>
      </c>
      <c r="D288" t="s">
        <v>295</v>
      </c>
      <c r="E288">
        <v>1</v>
      </c>
      <c r="F288">
        <v>18</v>
      </c>
      <c r="G288">
        <v>18</v>
      </c>
      <c r="T288" t="s">
        <v>919</v>
      </c>
      <c r="U288" t="s">
        <v>1049</v>
      </c>
      <c r="V288" t="s">
        <v>1054</v>
      </c>
      <c r="W288">
        <v>750</v>
      </c>
    </row>
    <row r="289" spans="1:23" x14ac:dyDescent="0.2">
      <c r="A289" t="s">
        <v>964</v>
      </c>
      <c r="B289" t="s">
        <v>222</v>
      </c>
      <c r="C289" t="s">
        <v>36</v>
      </c>
      <c r="D289" t="s">
        <v>296</v>
      </c>
      <c r="E289">
        <v>2</v>
      </c>
      <c r="F289">
        <v>15</v>
      </c>
      <c r="G289">
        <v>30</v>
      </c>
      <c r="T289" t="s">
        <v>919</v>
      </c>
      <c r="U289" t="s">
        <v>1050</v>
      </c>
      <c r="V289" t="s">
        <v>1055</v>
      </c>
      <c r="W289">
        <v>0</v>
      </c>
    </row>
    <row r="290" spans="1:23" x14ac:dyDescent="0.2">
      <c r="A290" t="s">
        <v>964</v>
      </c>
      <c r="B290" t="s">
        <v>222</v>
      </c>
      <c r="C290" t="s">
        <v>37</v>
      </c>
      <c r="D290" t="s">
        <v>297</v>
      </c>
      <c r="E290">
        <v>1</v>
      </c>
      <c r="F290">
        <v>18</v>
      </c>
      <c r="G290">
        <v>18</v>
      </c>
      <c r="T290" t="s">
        <v>921</v>
      </c>
      <c r="U290" t="s">
        <v>1042</v>
      </c>
      <c r="V290" t="s">
        <v>401</v>
      </c>
      <c r="W290">
        <v>50</v>
      </c>
    </row>
    <row r="291" spans="1:23" x14ac:dyDescent="0.2">
      <c r="A291" t="s">
        <v>964</v>
      </c>
      <c r="B291" t="s">
        <v>222</v>
      </c>
      <c r="C291" t="s">
        <v>39</v>
      </c>
      <c r="D291" t="s">
        <v>298</v>
      </c>
      <c r="E291">
        <v>1</v>
      </c>
      <c r="F291">
        <v>18</v>
      </c>
      <c r="G291">
        <v>18</v>
      </c>
      <c r="T291" t="s">
        <v>921</v>
      </c>
      <c r="U291" t="s">
        <v>1043</v>
      </c>
      <c r="V291" t="s">
        <v>272</v>
      </c>
      <c r="W291">
        <v>1</v>
      </c>
    </row>
    <row r="292" spans="1:23" x14ac:dyDescent="0.2">
      <c r="A292" t="s">
        <v>964</v>
      </c>
      <c r="B292" t="s">
        <v>222</v>
      </c>
      <c r="C292" t="s">
        <v>42</v>
      </c>
      <c r="D292" t="s">
        <v>299</v>
      </c>
      <c r="E292">
        <v>2</v>
      </c>
      <c r="F292">
        <v>2.5</v>
      </c>
      <c r="G292">
        <v>5</v>
      </c>
      <c r="T292" t="s">
        <v>921</v>
      </c>
      <c r="U292" t="s">
        <v>1044</v>
      </c>
      <c r="V292" t="s">
        <v>405</v>
      </c>
      <c r="W292">
        <v>100</v>
      </c>
    </row>
    <row r="293" spans="1:23" x14ac:dyDescent="0.2">
      <c r="A293" t="s">
        <v>964</v>
      </c>
      <c r="B293" t="s">
        <v>222</v>
      </c>
      <c r="C293" t="s">
        <v>43</v>
      </c>
      <c r="D293" t="s">
        <v>300</v>
      </c>
      <c r="E293">
        <v>92</v>
      </c>
      <c r="F293">
        <v>9.5</v>
      </c>
      <c r="G293">
        <v>874</v>
      </c>
      <c r="T293" t="s">
        <v>921</v>
      </c>
      <c r="U293" t="s">
        <v>1045</v>
      </c>
      <c r="V293" t="s">
        <v>402</v>
      </c>
      <c r="W293">
        <v>60</v>
      </c>
    </row>
    <row r="294" spans="1:23" x14ac:dyDescent="0.2">
      <c r="A294" t="s">
        <v>964</v>
      </c>
      <c r="B294" t="s">
        <v>222</v>
      </c>
      <c r="C294" t="s">
        <v>121</v>
      </c>
      <c r="D294" t="s">
        <v>301</v>
      </c>
      <c r="E294">
        <v>1</v>
      </c>
      <c r="F294">
        <v>0.95</v>
      </c>
      <c r="G294">
        <v>0.95</v>
      </c>
      <c r="T294" t="s">
        <v>921</v>
      </c>
      <c r="U294" t="s">
        <v>1046</v>
      </c>
      <c r="V294" t="s">
        <v>1051</v>
      </c>
      <c r="W294">
        <v>70</v>
      </c>
    </row>
    <row r="295" spans="1:23" x14ac:dyDescent="0.2">
      <c r="A295" t="s">
        <v>964</v>
      </c>
      <c r="B295" t="s">
        <v>222</v>
      </c>
      <c r="C295" t="s">
        <v>122</v>
      </c>
      <c r="D295" t="s">
        <v>302</v>
      </c>
      <c r="E295">
        <v>1</v>
      </c>
      <c r="F295">
        <v>4.2</v>
      </c>
      <c r="G295">
        <v>4.2</v>
      </c>
      <c r="T295" t="s">
        <v>921</v>
      </c>
      <c r="U295" t="s">
        <v>1047</v>
      </c>
      <c r="V295" t="s">
        <v>1052</v>
      </c>
      <c r="W295">
        <v>70</v>
      </c>
    </row>
    <row r="296" spans="1:23" x14ac:dyDescent="0.2">
      <c r="A296" t="s">
        <v>964</v>
      </c>
      <c r="B296" t="s">
        <v>222</v>
      </c>
      <c r="C296" t="s">
        <v>2</v>
      </c>
      <c r="D296" t="s">
        <v>303</v>
      </c>
      <c r="E296">
        <v>1.8</v>
      </c>
      <c r="F296">
        <v>5.0999999999999996</v>
      </c>
      <c r="G296">
        <v>9.18</v>
      </c>
      <c r="T296" t="s">
        <v>921</v>
      </c>
      <c r="U296" t="s">
        <v>1048</v>
      </c>
      <c r="V296" t="s">
        <v>1053</v>
      </c>
      <c r="W296">
        <v>250</v>
      </c>
    </row>
    <row r="297" spans="1:23" x14ac:dyDescent="0.2">
      <c r="A297" t="s">
        <v>964</v>
      </c>
      <c r="B297" t="s">
        <v>222</v>
      </c>
      <c r="C297" t="s">
        <v>4</v>
      </c>
      <c r="D297" t="s">
        <v>304</v>
      </c>
      <c r="E297">
        <v>1.8</v>
      </c>
      <c r="F297">
        <v>10.1</v>
      </c>
      <c r="G297">
        <v>18.18</v>
      </c>
      <c r="T297" t="s">
        <v>921</v>
      </c>
      <c r="U297" t="s">
        <v>1049</v>
      </c>
      <c r="V297" t="s">
        <v>1054</v>
      </c>
      <c r="W297">
        <v>750</v>
      </c>
    </row>
    <row r="298" spans="1:23" x14ac:dyDescent="0.2">
      <c r="A298" t="s">
        <v>964</v>
      </c>
      <c r="B298" t="s">
        <v>222</v>
      </c>
      <c r="C298" t="s">
        <v>5</v>
      </c>
      <c r="D298" t="s">
        <v>305</v>
      </c>
      <c r="E298">
        <v>2.5</v>
      </c>
      <c r="F298">
        <v>11.5</v>
      </c>
      <c r="G298">
        <v>28.75</v>
      </c>
      <c r="T298" t="s">
        <v>921</v>
      </c>
      <c r="U298" t="s">
        <v>1050</v>
      </c>
      <c r="V298" t="s">
        <v>1055</v>
      </c>
      <c r="W298">
        <v>0</v>
      </c>
    </row>
    <row r="299" spans="1:23" x14ac:dyDescent="0.2">
      <c r="A299" t="s">
        <v>964</v>
      </c>
      <c r="B299" t="s">
        <v>222</v>
      </c>
      <c r="C299" t="s">
        <v>6</v>
      </c>
      <c r="D299" t="s">
        <v>306</v>
      </c>
      <c r="E299">
        <v>1.7</v>
      </c>
      <c r="F299">
        <v>16.8</v>
      </c>
      <c r="G299">
        <v>28.56</v>
      </c>
      <c r="T299" t="s">
        <v>923</v>
      </c>
      <c r="U299" t="s">
        <v>1042</v>
      </c>
      <c r="V299" t="s">
        <v>401</v>
      </c>
      <c r="W299">
        <v>50</v>
      </c>
    </row>
    <row r="300" spans="1:23" x14ac:dyDescent="0.2">
      <c r="A300" t="s">
        <v>964</v>
      </c>
      <c r="B300" t="s">
        <v>222</v>
      </c>
      <c r="C300" t="s">
        <v>7</v>
      </c>
      <c r="D300" t="s">
        <v>307</v>
      </c>
      <c r="E300">
        <v>8.1999999999999993</v>
      </c>
      <c r="F300">
        <v>6.7</v>
      </c>
      <c r="G300">
        <v>54.94</v>
      </c>
      <c r="T300" t="s">
        <v>923</v>
      </c>
      <c r="U300" t="s">
        <v>1043</v>
      </c>
      <c r="V300" t="s">
        <v>272</v>
      </c>
      <c r="W300">
        <v>1</v>
      </c>
    </row>
    <row r="301" spans="1:23" x14ac:dyDescent="0.2">
      <c r="A301" t="s">
        <v>964</v>
      </c>
      <c r="B301" t="s">
        <v>222</v>
      </c>
      <c r="C301" t="s">
        <v>13</v>
      </c>
      <c r="D301" t="s">
        <v>309</v>
      </c>
      <c r="E301">
        <v>3.3</v>
      </c>
      <c r="F301">
        <v>7</v>
      </c>
      <c r="G301">
        <v>23.1</v>
      </c>
      <c r="T301" t="s">
        <v>923</v>
      </c>
      <c r="U301" t="s">
        <v>1044</v>
      </c>
      <c r="V301" t="s">
        <v>405</v>
      </c>
      <c r="W301">
        <v>100</v>
      </c>
    </row>
    <row r="302" spans="1:23" x14ac:dyDescent="0.2">
      <c r="A302" t="s">
        <v>964</v>
      </c>
      <c r="B302" t="s">
        <v>222</v>
      </c>
      <c r="C302" t="s">
        <v>14</v>
      </c>
      <c r="D302" t="s">
        <v>310</v>
      </c>
      <c r="E302">
        <v>0.15</v>
      </c>
      <c r="F302">
        <v>18</v>
      </c>
      <c r="G302">
        <v>2.7</v>
      </c>
      <c r="T302" t="s">
        <v>923</v>
      </c>
      <c r="U302" t="s">
        <v>1045</v>
      </c>
      <c r="V302" t="s">
        <v>402</v>
      </c>
      <c r="W302">
        <v>60</v>
      </c>
    </row>
    <row r="303" spans="1:23" x14ac:dyDescent="0.2">
      <c r="A303" t="s">
        <v>964</v>
      </c>
      <c r="B303" t="s">
        <v>222</v>
      </c>
      <c r="C303" t="s">
        <v>15</v>
      </c>
      <c r="D303" t="s">
        <v>311</v>
      </c>
      <c r="E303">
        <v>0.75</v>
      </c>
      <c r="F303">
        <v>18</v>
      </c>
      <c r="G303">
        <v>13.5</v>
      </c>
      <c r="T303" t="s">
        <v>923</v>
      </c>
      <c r="U303" t="s">
        <v>1046</v>
      </c>
      <c r="V303" t="s">
        <v>1051</v>
      </c>
      <c r="W303">
        <v>70</v>
      </c>
    </row>
    <row r="304" spans="1:23" x14ac:dyDescent="0.2">
      <c r="A304" t="s">
        <v>964</v>
      </c>
      <c r="B304" t="s">
        <v>222</v>
      </c>
      <c r="C304" t="s">
        <v>16</v>
      </c>
      <c r="D304" t="s">
        <v>312</v>
      </c>
      <c r="E304">
        <v>0.16</v>
      </c>
      <c r="F304">
        <v>30</v>
      </c>
      <c r="G304">
        <v>4.8</v>
      </c>
      <c r="T304" t="s">
        <v>923</v>
      </c>
      <c r="U304" t="s">
        <v>1047</v>
      </c>
      <c r="V304" t="s">
        <v>1052</v>
      </c>
      <c r="W304">
        <v>70</v>
      </c>
    </row>
    <row r="305" spans="1:23" x14ac:dyDescent="0.2">
      <c r="A305" t="s">
        <v>964</v>
      </c>
      <c r="B305" t="s">
        <v>222</v>
      </c>
      <c r="C305" t="s">
        <v>105</v>
      </c>
      <c r="D305" t="s">
        <v>313</v>
      </c>
      <c r="E305">
        <v>10</v>
      </c>
      <c r="F305">
        <v>0.1</v>
      </c>
      <c r="G305">
        <v>1</v>
      </c>
      <c r="T305" t="s">
        <v>923</v>
      </c>
      <c r="U305" t="s">
        <v>1048</v>
      </c>
      <c r="V305" t="s">
        <v>1053</v>
      </c>
      <c r="W305">
        <v>250</v>
      </c>
    </row>
    <row r="306" spans="1:23" x14ac:dyDescent="0.2">
      <c r="A306" t="s">
        <v>964</v>
      </c>
      <c r="B306" t="s">
        <v>222</v>
      </c>
      <c r="C306" t="s">
        <v>110</v>
      </c>
      <c r="D306" t="s">
        <v>314</v>
      </c>
      <c r="E306">
        <v>30</v>
      </c>
      <c r="F306">
        <v>0.1</v>
      </c>
      <c r="G306">
        <v>3</v>
      </c>
      <c r="T306" t="s">
        <v>923</v>
      </c>
      <c r="U306" t="s">
        <v>1049</v>
      </c>
      <c r="V306" t="s">
        <v>1054</v>
      </c>
      <c r="W306">
        <v>750</v>
      </c>
    </row>
    <row r="307" spans="1:23" x14ac:dyDescent="0.2">
      <c r="A307" t="s">
        <v>964</v>
      </c>
      <c r="B307" t="s">
        <v>222</v>
      </c>
      <c r="C307" t="s">
        <v>113</v>
      </c>
      <c r="D307" t="s">
        <v>318</v>
      </c>
      <c r="E307">
        <v>200</v>
      </c>
      <c r="F307">
        <v>0.1</v>
      </c>
      <c r="G307">
        <v>20</v>
      </c>
      <c r="T307" t="s">
        <v>923</v>
      </c>
      <c r="U307" t="s">
        <v>1050</v>
      </c>
      <c r="V307" t="s">
        <v>1055</v>
      </c>
      <c r="W307">
        <v>0</v>
      </c>
    </row>
    <row r="308" spans="1:23" x14ac:dyDescent="0.2">
      <c r="A308" t="s">
        <v>970</v>
      </c>
      <c r="B308" t="s">
        <v>218</v>
      </c>
      <c r="C308" t="s">
        <v>94</v>
      </c>
      <c r="D308" t="s">
        <v>280</v>
      </c>
      <c r="E308">
        <v>1</v>
      </c>
      <c r="F308">
        <v>3.5</v>
      </c>
      <c r="G308">
        <v>3.5</v>
      </c>
      <c r="T308" t="s">
        <v>925</v>
      </c>
      <c r="U308" t="s">
        <v>1042</v>
      </c>
      <c r="V308" t="s">
        <v>401</v>
      </c>
      <c r="W308">
        <v>50</v>
      </c>
    </row>
    <row r="309" spans="1:23" x14ac:dyDescent="0.2">
      <c r="A309" t="s">
        <v>970</v>
      </c>
      <c r="B309" t="s">
        <v>218</v>
      </c>
      <c r="C309" t="s">
        <v>95</v>
      </c>
      <c r="D309" t="s">
        <v>281</v>
      </c>
      <c r="E309">
        <v>1</v>
      </c>
      <c r="F309">
        <v>2</v>
      </c>
      <c r="G309">
        <v>2</v>
      </c>
      <c r="T309" t="s">
        <v>925</v>
      </c>
      <c r="U309" t="s">
        <v>1043</v>
      </c>
      <c r="V309" t="s">
        <v>272</v>
      </c>
      <c r="W309">
        <v>1</v>
      </c>
    </row>
    <row r="310" spans="1:23" x14ac:dyDescent="0.2">
      <c r="A310" t="s">
        <v>970</v>
      </c>
      <c r="B310" t="s">
        <v>218</v>
      </c>
      <c r="C310" t="s">
        <v>96</v>
      </c>
      <c r="D310" t="s">
        <v>282</v>
      </c>
      <c r="E310">
        <v>1</v>
      </c>
      <c r="F310">
        <v>1</v>
      </c>
      <c r="G310">
        <v>1</v>
      </c>
      <c r="T310" t="s">
        <v>925</v>
      </c>
      <c r="U310" t="s">
        <v>1044</v>
      </c>
      <c r="V310" t="s">
        <v>405</v>
      </c>
      <c r="W310">
        <v>100</v>
      </c>
    </row>
    <row r="311" spans="1:23" x14ac:dyDescent="0.2">
      <c r="A311" t="s">
        <v>970</v>
      </c>
      <c r="B311" t="s">
        <v>218</v>
      </c>
      <c r="C311" t="s">
        <v>97</v>
      </c>
      <c r="D311" t="s">
        <v>283</v>
      </c>
      <c r="E311">
        <v>1</v>
      </c>
      <c r="F311">
        <v>1</v>
      </c>
      <c r="G311">
        <v>1</v>
      </c>
      <c r="T311" t="s">
        <v>925</v>
      </c>
      <c r="U311" t="s">
        <v>1045</v>
      </c>
      <c r="V311" t="s">
        <v>402</v>
      </c>
      <c r="W311">
        <v>60</v>
      </c>
    </row>
    <row r="312" spans="1:23" x14ac:dyDescent="0.2">
      <c r="A312" t="s">
        <v>970</v>
      </c>
      <c r="B312" t="s">
        <v>218</v>
      </c>
      <c r="C312" t="s">
        <v>99</v>
      </c>
      <c r="D312" t="s">
        <v>284</v>
      </c>
      <c r="E312">
        <v>1</v>
      </c>
      <c r="F312">
        <v>0</v>
      </c>
      <c r="G312">
        <v>0</v>
      </c>
      <c r="T312" t="s">
        <v>925</v>
      </c>
      <c r="U312" t="s">
        <v>1046</v>
      </c>
      <c r="V312" t="s">
        <v>1051</v>
      </c>
      <c r="W312">
        <v>70</v>
      </c>
    </row>
    <row r="313" spans="1:23" x14ac:dyDescent="0.2">
      <c r="A313" t="s">
        <v>970</v>
      </c>
      <c r="B313" t="s">
        <v>218</v>
      </c>
      <c r="C313" t="s">
        <v>100</v>
      </c>
      <c r="D313" t="s">
        <v>285</v>
      </c>
      <c r="E313">
        <v>1</v>
      </c>
      <c r="F313">
        <v>0</v>
      </c>
      <c r="G313">
        <v>0</v>
      </c>
      <c r="T313" t="s">
        <v>925</v>
      </c>
      <c r="U313" t="s">
        <v>1047</v>
      </c>
      <c r="V313" t="s">
        <v>1052</v>
      </c>
      <c r="W313">
        <v>70</v>
      </c>
    </row>
    <row r="314" spans="1:23" x14ac:dyDescent="0.2">
      <c r="A314" t="s">
        <v>970</v>
      </c>
      <c r="B314" t="s">
        <v>218</v>
      </c>
      <c r="C314" t="s">
        <v>51</v>
      </c>
      <c r="D314" t="s">
        <v>286</v>
      </c>
      <c r="E314">
        <v>0.12</v>
      </c>
      <c r="F314">
        <v>419</v>
      </c>
      <c r="G314">
        <v>50.28</v>
      </c>
      <c r="T314" t="s">
        <v>925</v>
      </c>
      <c r="U314" t="s">
        <v>1048</v>
      </c>
      <c r="V314" t="s">
        <v>1053</v>
      </c>
      <c r="W314">
        <v>250</v>
      </c>
    </row>
    <row r="315" spans="1:23" x14ac:dyDescent="0.2">
      <c r="A315" t="s">
        <v>970</v>
      </c>
      <c r="B315" t="s">
        <v>218</v>
      </c>
      <c r="C315" t="s">
        <v>55</v>
      </c>
      <c r="D315" t="s">
        <v>371</v>
      </c>
      <c r="E315">
        <v>0.7</v>
      </c>
      <c r="F315">
        <v>120</v>
      </c>
      <c r="G315">
        <v>84</v>
      </c>
      <c r="T315" t="s">
        <v>925</v>
      </c>
      <c r="U315" t="s">
        <v>1049</v>
      </c>
      <c r="V315" t="s">
        <v>1054</v>
      </c>
      <c r="W315">
        <v>750</v>
      </c>
    </row>
    <row r="316" spans="1:23" x14ac:dyDescent="0.2">
      <c r="A316" t="s">
        <v>970</v>
      </c>
      <c r="B316" t="s">
        <v>218</v>
      </c>
      <c r="C316" t="s">
        <v>69</v>
      </c>
      <c r="D316" t="s">
        <v>288</v>
      </c>
      <c r="E316">
        <v>0.22</v>
      </c>
      <c r="F316">
        <v>190</v>
      </c>
      <c r="G316">
        <v>41.8</v>
      </c>
      <c r="T316" t="s">
        <v>925</v>
      </c>
      <c r="U316" t="s">
        <v>1050</v>
      </c>
      <c r="V316" t="s">
        <v>1055</v>
      </c>
      <c r="W316">
        <v>0</v>
      </c>
    </row>
    <row r="317" spans="1:23" x14ac:dyDescent="0.2">
      <c r="A317" t="s">
        <v>970</v>
      </c>
      <c r="B317" t="s">
        <v>218</v>
      </c>
      <c r="C317" t="s">
        <v>82</v>
      </c>
      <c r="D317" t="s">
        <v>319</v>
      </c>
      <c r="E317">
        <v>1.125</v>
      </c>
      <c r="F317">
        <v>380</v>
      </c>
      <c r="G317">
        <v>427.5</v>
      </c>
      <c r="T317" t="s">
        <v>927</v>
      </c>
      <c r="U317" t="s">
        <v>1042</v>
      </c>
      <c r="V317" t="s">
        <v>401</v>
      </c>
      <c r="W317">
        <v>50</v>
      </c>
    </row>
    <row r="318" spans="1:23" x14ac:dyDescent="0.2">
      <c r="A318" t="s">
        <v>970</v>
      </c>
      <c r="B318" t="s">
        <v>218</v>
      </c>
      <c r="C318" t="s">
        <v>49</v>
      </c>
      <c r="D318" t="s">
        <v>290</v>
      </c>
      <c r="E318">
        <v>7.4999999999999997E-2</v>
      </c>
      <c r="F318">
        <v>248</v>
      </c>
      <c r="G318">
        <v>18.600000000000001</v>
      </c>
      <c r="T318" t="s">
        <v>927</v>
      </c>
      <c r="U318" t="s">
        <v>1043</v>
      </c>
      <c r="V318" t="s">
        <v>272</v>
      </c>
      <c r="W318">
        <v>1</v>
      </c>
    </row>
    <row r="319" spans="1:23" x14ac:dyDescent="0.2">
      <c r="A319" t="s">
        <v>970</v>
      </c>
      <c r="B319" t="s">
        <v>218</v>
      </c>
      <c r="C319" t="s">
        <v>28</v>
      </c>
      <c r="D319" t="s">
        <v>291</v>
      </c>
      <c r="E319">
        <v>0.8</v>
      </c>
      <c r="F319">
        <v>175</v>
      </c>
      <c r="G319">
        <v>140</v>
      </c>
      <c r="T319" t="s">
        <v>927</v>
      </c>
      <c r="U319" t="s">
        <v>1044</v>
      </c>
      <c r="V319" t="s">
        <v>405</v>
      </c>
      <c r="W319">
        <v>100</v>
      </c>
    </row>
    <row r="320" spans="1:23" x14ac:dyDescent="0.2">
      <c r="A320" t="s">
        <v>970</v>
      </c>
      <c r="B320" t="s">
        <v>218</v>
      </c>
      <c r="C320" t="s">
        <v>29</v>
      </c>
      <c r="D320" t="s">
        <v>292</v>
      </c>
      <c r="E320">
        <v>0.4</v>
      </c>
      <c r="F320">
        <v>27</v>
      </c>
      <c r="G320">
        <v>10.8</v>
      </c>
      <c r="T320" t="s">
        <v>927</v>
      </c>
      <c r="U320" t="s">
        <v>1045</v>
      </c>
      <c r="V320" t="s">
        <v>402</v>
      </c>
      <c r="W320">
        <v>60</v>
      </c>
    </row>
    <row r="321" spans="1:23" x14ac:dyDescent="0.2">
      <c r="A321" t="s">
        <v>970</v>
      </c>
      <c r="B321" t="s">
        <v>218</v>
      </c>
      <c r="C321" t="s">
        <v>31</v>
      </c>
      <c r="D321" t="s">
        <v>293</v>
      </c>
      <c r="E321">
        <v>3</v>
      </c>
      <c r="F321">
        <v>5</v>
      </c>
      <c r="G321">
        <v>15</v>
      </c>
      <c r="T321" t="s">
        <v>927</v>
      </c>
      <c r="U321" t="s">
        <v>1046</v>
      </c>
      <c r="V321" t="s">
        <v>1051</v>
      </c>
      <c r="W321">
        <v>70</v>
      </c>
    </row>
    <row r="322" spans="1:23" x14ac:dyDescent="0.2">
      <c r="A322" t="s">
        <v>970</v>
      </c>
      <c r="B322" t="s">
        <v>218</v>
      </c>
      <c r="C322" t="s">
        <v>34</v>
      </c>
      <c r="D322" t="s">
        <v>294</v>
      </c>
      <c r="E322">
        <v>2</v>
      </c>
      <c r="F322">
        <v>18</v>
      </c>
      <c r="G322">
        <v>36</v>
      </c>
      <c r="T322" t="s">
        <v>927</v>
      </c>
      <c r="U322" t="s">
        <v>1047</v>
      </c>
      <c r="V322" t="s">
        <v>1052</v>
      </c>
      <c r="W322">
        <v>70</v>
      </c>
    </row>
    <row r="323" spans="1:23" x14ac:dyDescent="0.2">
      <c r="A323" t="s">
        <v>970</v>
      </c>
      <c r="B323" t="s">
        <v>218</v>
      </c>
      <c r="C323" t="s">
        <v>35</v>
      </c>
      <c r="D323" t="s">
        <v>295</v>
      </c>
      <c r="E323">
        <v>1</v>
      </c>
      <c r="F323">
        <v>18</v>
      </c>
      <c r="G323">
        <v>18</v>
      </c>
      <c r="T323" t="s">
        <v>927</v>
      </c>
      <c r="U323" t="s">
        <v>1048</v>
      </c>
      <c r="V323" t="s">
        <v>1053</v>
      </c>
      <c r="W323">
        <v>250</v>
      </c>
    </row>
    <row r="324" spans="1:23" x14ac:dyDescent="0.2">
      <c r="A324" t="s">
        <v>970</v>
      </c>
      <c r="B324" t="s">
        <v>218</v>
      </c>
      <c r="C324" t="s">
        <v>36</v>
      </c>
      <c r="D324" t="s">
        <v>296</v>
      </c>
      <c r="E324">
        <v>2</v>
      </c>
      <c r="F324">
        <v>15</v>
      </c>
      <c r="G324">
        <v>30</v>
      </c>
      <c r="T324" t="s">
        <v>927</v>
      </c>
      <c r="U324" t="s">
        <v>1049</v>
      </c>
      <c r="V324" t="s">
        <v>1054</v>
      </c>
      <c r="W324">
        <v>750</v>
      </c>
    </row>
    <row r="325" spans="1:23" x14ac:dyDescent="0.2">
      <c r="A325" t="s">
        <v>970</v>
      </c>
      <c r="B325" t="s">
        <v>218</v>
      </c>
      <c r="C325" t="s">
        <v>37</v>
      </c>
      <c r="D325" t="s">
        <v>297</v>
      </c>
      <c r="E325">
        <v>1</v>
      </c>
      <c r="F325">
        <v>18</v>
      </c>
      <c r="G325">
        <v>18</v>
      </c>
      <c r="T325" t="s">
        <v>927</v>
      </c>
      <c r="U325" t="s">
        <v>1050</v>
      </c>
      <c r="V325" t="s">
        <v>1055</v>
      </c>
      <c r="W325">
        <v>0</v>
      </c>
    </row>
    <row r="326" spans="1:23" x14ac:dyDescent="0.2">
      <c r="A326" t="s">
        <v>970</v>
      </c>
      <c r="B326" t="s">
        <v>218</v>
      </c>
      <c r="C326" t="s">
        <v>39</v>
      </c>
      <c r="D326" t="s">
        <v>298</v>
      </c>
      <c r="E326">
        <v>1</v>
      </c>
      <c r="F326">
        <v>18</v>
      </c>
      <c r="G326">
        <v>18</v>
      </c>
      <c r="T326" t="s">
        <v>929</v>
      </c>
      <c r="U326" t="s">
        <v>1042</v>
      </c>
      <c r="V326" t="s">
        <v>401</v>
      </c>
      <c r="W326">
        <v>50</v>
      </c>
    </row>
    <row r="327" spans="1:23" x14ac:dyDescent="0.2">
      <c r="A327" t="s">
        <v>970</v>
      </c>
      <c r="B327" t="s">
        <v>218</v>
      </c>
      <c r="C327" t="s">
        <v>42</v>
      </c>
      <c r="D327" t="s">
        <v>299</v>
      </c>
      <c r="E327">
        <v>2</v>
      </c>
      <c r="F327">
        <v>2.5</v>
      </c>
      <c r="G327">
        <v>5</v>
      </c>
      <c r="T327" t="s">
        <v>929</v>
      </c>
      <c r="U327" t="s">
        <v>1043</v>
      </c>
      <c r="V327" t="s">
        <v>272</v>
      </c>
      <c r="W327">
        <v>1</v>
      </c>
    </row>
    <row r="328" spans="1:23" x14ac:dyDescent="0.2">
      <c r="A328" t="s">
        <v>970</v>
      </c>
      <c r="B328" t="s">
        <v>218</v>
      </c>
      <c r="C328" t="s">
        <v>43</v>
      </c>
      <c r="D328" t="s">
        <v>300</v>
      </c>
      <c r="E328">
        <v>92</v>
      </c>
      <c r="F328">
        <v>9.5</v>
      </c>
      <c r="G328">
        <v>874</v>
      </c>
      <c r="T328" t="s">
        <v>929</v>
      </c>
      <c r="U328" t="s">
        <v>1044</v>
      </c>
      <c r="V328" t="s">
        <v>405</v>
      </c>
      <c r="W328">
        <v>100</v>
      </c>
    </row>
    <row r="329" spans="1:23" x14ac:dyDescent="0.2">
      <c r="A329" t="s">
        <v>970</v>
      </c>
      <c r="B329" t="s">
        <v>218</v>
      </c>
      <c r="C329" t="s">
        <v>121</v>
      </c>
      <c r="D329" t="s">
        <v>301</v>
      </c>
      <c r="E329">
        <v>1</v>
      </c>
      <c r="F329">
        <v>0.95</v>
      </c>
      <c r="G329">
        <v>0.95</v>
      </c>
      <c r="T329" t="s">
        <v>929</v>
      </c>
      <c r="U329" t="s">
        <v>1045</v>
      </c>
      <c r="V329" t="s">
        <v>402</v>
      </c>
      <c r="W329">
        <v>60</v>
      </c>
    </row>
    <row r="330" spans="1:23" x14ac:dyDescent="0.2">
      <c r="A330" t="s">
        <v>970</v>
      </c>
      <c r="B330" t="s">
        <v>218</v>
      </c>
      <c r="C330" t="s">
        <v>122</v>
      </c>
      <c r="D330" t="s">
        <v>302</v>
      </c>
      <c r="E330">
        <v>1</v>
      </c>
      <c r="F330">
        <v>4.2</v>
      </c>
      <c r="G330">
        <v>4.2</v>
      </c>
      <c r="T330" t="s">
        <v>929</v>
      </c>
      <c r="U330" t="s">
        <v>1046</v>
      </c>
      <c r="V330" t="s">
        <v>1051</v>
      </c>
      <c r="W330">
        <v>70</v>
      </c>
    </row>
    <row r="331" spans="1:23" x14ac:dyDescent="0.2">
      <c r="A331" t="s">
        <v>970</v>
      </c>
      <c r="B331" t="s">
        <v>218</v>
      </c>
      <c r="C331" t="s">
        <v>2</v>
      </c>
      <c r="D331" t="s">
        <v>303</v>
      </c>
      <c r="E331">
        <v>1.8</v>
      </c>
      <c r="F331">
        <v>5.0999999999999996</v>
      </c>
      <c r="G331">
        <v>9.18</v>
      </c>
      <c r="T331" t="s">
        <v>929</v>
      </c>
      <c r="U331" t="s">
        <v>1047</v>
      </c>
      <c r="V331" t="s">
        <v>1052</v>
      </c>
      <c r="W331">
        <v>70</v>
      </c>
    </row>
    <row r="332" spans="1:23" x14ac:dyDescent="0.2">
      <c r="A332" t="s">
        <v>970</v>
      </c>
      <c r="B332" t="s">
        <v>218</v>
      </c>
      <c r="C332" t="s">
        <v>4</v>
      </c>
      <c r="D332" t="s">
        <v>304</v>
      </c>
      <c r="E332">
        <v>1.8</v>
      </c>
      <c r="F332">
        <v>10.1</v>
      </c>
      <c r="G332">
        <v>18.18</v>
      </c>
      <c r="T332" t="s">
        <v>929</v>
      </c>
      <c r="U332" t="s">
        <v>1048</v>
      </c>
      <c r="V332" t="s">
        <v>1053</v>
      </c>
      <c r="W332">
        <v>250</v>
      </c>
    </row>
    <row r="333" spans="1:23" x14ac:dyDescent="0.2">
      <c r="A333" t="s">
        <v>970</v>
      </c>
      <c r="B333" t="s">
        <v>218</v>
      </c>
      <c r="C333" t="s">
        <v>5</v>
      </c>
      <c r="D333" t="s">
        <v>305</v>
      </c>
      <c r="E333">
        <v>2.5</v>
      </c>
      <c r="F333">
        <v>11.5</v>
      </c>
      <c r="G333">
        <v>28.75</v>
      </c>
      <c r="T333" t="s">
        <v>929</v>
      </c>
      <c r="U333" t="s">
        <v>1049</v>
      </c>
      <c r="V333" t="s">
        <v>1054</v>
      </c>
      <c r="W333">
        <v>750</v>
      </c>
    </row>
    <row r="334" spans="1:23" x14ac:dyDescent="0.2">
      <c r="A334" t="s">
        <v>970</v>
      </c>
      <c r="B334" t="s">
        <v>218</v>
      </c>
      <c r="C334" t="s">
        <v>6</v>
      </c>
      <c r="D334" t="s">
        <v>306</v>
      </c>
      <c r="E334">
        <v>1.7</v>
      </c>
      <c r="F334">
        <v>16.8</v>
      </c>
      <c r="G334">
        <v>28.56</v>
      </c>
      <c r="T334" t="s">
        <v>929</v>
      </c>
      <c r="U334" t="s">
        <v>1050</v>
      </c>
      <c r="V334" t="s">
        <v>1055</v>
      </c>
      <c r="W334">
        <v>0</v>
      </c>
    </row>
    <row r="335" spans="1:23" x14ac:dyDescent="0.2">
      <c r="A335" t="s">
        <v>970</v>
      </c>
      <c r="B335" t="s">
        <v>218</v>
      </c>
      <c r="C335" t="s">
        <v>7</v>
      </c>
      <c r="D335" t="s">
        <v>307</v>
      </c>
      <c r="E335">
        <v>8.1999999999999993</v>
      </c>
      <c r="F335">
        <v>6.7</v>
      </c>
      <c r="G335">
        <v>54.94</v>
      </c>
      <c r="T335" t="s">
        <v>931</v>
      </c>
      <c r="U335" t="s">
        <v>1042</v>
      </c>
      <c r="V335" t="s">
        <v>401</v>
      </c>
      <c r="W335">
        <v>50</v>
      </c>
    </row>
    <row r="336" spans="1:23" x14ac:dyDescent="0.2">
      <c r="A336" t="s">
        <v>970</v>
      </c>
      <c r="B336" t="s">
        <v>218</v>
      </c>
      <c r="C336" t="s">
        <v>13</v>
      </c>
      <c r="D336" t="s">
        <v>309</v>
      </c>
      <c r="E336">
        <v>3.3</v>
      </c>
      <c r="F336">
        <v>7</v>
      </c>
      <c r="G336">
        <v>23.1</v>
      </c>
      <c r="T336" t="s">
        <v>931</v>
      </c>
      <c r="U336" t="s">
        <v>1043</v>
      </c>
      <c r="V336" t="s">
        <v>272</v>
      </c>
      <c r="W336">
        <v>1</v>
      </c>
    </row>
    <row r="337" spans="1:23" x14ac:dyDescent="0.2">
      <c r="A337" t="s">
        <v>970</v>
      </c>
      <c r="B337" t="s">
        <v>218</v>
      </c>
      <c r="C337" t="s">
        <v>14</v>
      </c>
      <c r="D337" t="s">
        <v>310</v>
      </c>
      <c r="E337">
        <v>0.15</v>
      </c>
      <c r="F337">
        <v>18</v>
      </c>
      <c r="G337">
        <v>2.7</v>
      </c>
      <c r="T337" t="s">
        <v>931</v>
      </c>
      <c r="U337" t="s">
        <v>1044</v>
      </c>
      <c r="V337" t="s">
        <v>405</v>
      </c>
      <c r="W337">
        <v>100</v>
      </c>
    </row>
    <row r="338" spans="1:23" x14ac:dyDescent="0.2">
      <c r="A338" t="s">
        <v>970</v>
      </c>
      <c r="B338" t="s">
        <v>218</v>
      </c>
      <c r="C338" t="s">
        <v>15</v>
      </c>
      <c r="D338" t="s">
        <v>311</v>
      </c>
      <c r="E338">
        <v>0.75</v>
      </c>
      <c r="F338">
        <v>18</v>
      </c>
      <c r="G338">
        <v>13.5</v>
      </c>
      <c r="T338" t="s">
        <v>931</v>
      </c>
      <c r="U338" t="s">
        <v>1045</v>
      </c>
      <c r="V338" t="s">
        <v>402</v>
      </c>
      <c r="W338">
        <v>60</v>
      </c>
    </row>
    <row r="339" spans="1:23" x14ac:dyDescent="0.2">
      <c r="A339" t="s">
        <v>970</v>
      </c>
      <c r="B339" t="s">
        <v>218</v>
      </c>
      <c r="C339" t="s">
        <v>16</v>
      </c>
      <c r="D339" t="s">
        <v>312</v>
      </c>
      <c r="E339">
        <v>0.16</v>
      </c>
      <c r="F339">
        <v>30</v>
      </c>
      <c r="G339">
        <v>4.8</v>
      </c>
      <c r="T339" t="s">
        <v>931</v>
      </c>
      <c r="U339" t="s">
        <v>1046</v>
      </c>
      <c r="V339" t="s">
        <v>1051</v>
      </c>
      <c r="W339">
        <v>70</v>
      </c>
    </row>
    <row r="340" spans="1:23" x14ac:dyDescent="0.2">
      <c r="A340" t="s">
        <v>970</v>
      </c>
      <c r="B340" t="s">
        <v>218</v>
      </c>
      <c r="C340" t="s">
        <v>105</v>
      </c>
      <c r="D340" t="s">
        <v>313</v>
      </c>
      <c r="E340">
        <v>10</v>
      </c>
      <c r="F340">
        <v>0.1</v>
      </c>
      <c r="G340">
        <v>1</v>
      </c>
      <c r="T340" t="s">
        <v>931</v>
      </c>
      <c r="U340" t="s">
        <v>1047</v>
      </c>
      <c r="V340" t="s">
        <v>1052</v>
      </c>
      <c r="W340">
        <v>70</v>
      </c>
    </row>
    <row r="341" spans="1:23" x14ac:dyDescent="0.2">
      <c r="A341" t="s">
        <v>970</v>
      </c>
      <c r="B341" t="s">
        <v>218</v>
      </c>
      <c r="C341" t="s">
        <v>111</v>
      </c>
      <c r="D341" t="s">
        <v>320</v>
      </c>
      <c r="E341">
        <v>200</v>
      </c>
      <c r="F341">
        <v>0.1</v>
      </c>
      <c r="G341">
        <v>20</v>
      </c>
      <c r="T341" t="s">
        <v>931</v>
      </c>
      <c r="U341" t="s">
        <v>1048</v>
      </c>
      <c r="V341" t="s">
        <v>1053</v>
      </c>
      <c r="W341">
        <v>250</v>
      </c>
    </row>
    <row r="342" spans="1:23" x14ac:dyDescent="0.2">
      <c r="A342" t="s">
        <v>966</v>
      </c>
      <c r="B342" t="s">
        <v>269</v>
      </c>
      <c r="C342" t="s">
        <v>94</v>
      </c>
      <c r="D342" t="s">
        <v>280</v>
      </c>
      <c r="E342">
        <v>1</v>
      </c>
      <c r="F342">
        <v>3.5</v>
      </c>
      <c r="G342">
        <v>3.5</v>
      </c>
      <c r="T342" t="s">
        <v>931</v>
      </c>
      <c r="U342" t="s">
        <v>1049</v>
      </c>
      <c r="V342" t="s">
        <v>1054</v>
      </c>
      <c r="W342">
        <v>750</v>
      </c>
    </row>
    <row r="343" spans="1:23" x14ac:dyDescent="0.2">
      <c r="A343" t="s">
        <v>966</v>
      </c>
      <c r="B343" t="s">
        <v>269</v>
      </c>
      <c r="C343" t="s">
        <v>95</v>
      </c>
      <c r="D343" t="s">
        <v>281</v>
      </c>
      <c r="E343">
        <v>1</v>
      </c>
      <c r="F343">
        <v>2</v>
      </c>
      <c r="G343">
        <v>2</v>
      </c>
      <c r="T343" t="s">
        <v>931</v>
      </c>
      <c r="U343" t="s">
        <v>1050</v>
      </c>
      <c r="V343" t="s">
        <v>1055</v>
      </c>
      <c r="W343">
        <v>0</v>
      </c>
    </row>
    <row r="344" spans="1:23" x14ac:dyDescent="0.2">
      <c r="A344" t="s">
        <v>966</v>
      </c>
      <c r="B344" t="s">
        <v>269</v>
      </c>
      <c r="C344" t="s">
        <v>96</v>
      </c>
      <c r="D344" t="s">
        <v>282</v>
      </c>
      <c r="E344">
        <v>1</v>
      </c>
      <c r="F344">
        <v>1</v>
      </c>
      <c r="G344">
        <v>1</v>
      </c>
      <c r="T344" t="s">
        <v>933</v>
      </c>
      <c r="U344" t="s">
        <v>1042</v>
      </c>
      <c r="V344" t="s">
        <v>401</v>
      </c>
      <c r="W344">
        <v>50</v>
      </c>
    </row>
    <row r="345" spans="1:23" x14ac:dyDescent="0.2">
      <c r="A345" t="s">
        <v>966</v>
      </c>
      <c r="B345" t="s">
        <v>269</v>
      </c>
      <c r="C345" t="s">
        <v>97</v>
      </c>
      <c r="D345" t="s">
        <v>283</v>
      </c>
      <c r="E345">
        <v>1</v>
      </c>
      <c r="F345">
        <v>1</v>
      </c>
      <c r="G345">
        <v>1</v>
      </c>
      <c r="T345" t="s">
        <v>933</v>
      </c>
      <c r="U345" t="s">
        <v>1043</v>
      </c>
      <c r="V345" t="s">
        <v>272</v>
      </c>
      <c r="W345">
        <v>1</v>
      </c>
    </row>
    <row r="346" spans="1:23" x14ac:dyDescent="0.2">
      <c r="A346" t="s">
        <v>966</v>
      </c>
      <c r="B346" t="s">
        <v>269</v>
      </c>
      <c r="C346" t="s">
        <v>99</v>
      </c>
      <c r="D346" t="s">
        <v>284</v>
      </c>
      <c r="E346">
        <v>1</v>
      </c>
      <c r="F346">
        <v>0</v>
      </c>
      <c r="G346">
        <v>0</v>
      </c>
      <c r="T346" t="s">
        <v>933</v>
      </c>
      <c r="U346" t="s">
        <v>1044</v>
      </c>
      <c r="V346" t="s">
        <v>405</v>
      </c>
      <c r="W346">
        <v>100</v>
      </c>
    </row>
    <row r="347" spans="1:23" x14ac:dyDescent="0.2">
      <c r="A347" t="s">
        <v>966</v>
      </c>
      <c r="B347" t="s">
        <v>269</v>
      </c>
      <c r="C347" t="s">
        <v>100</v>
      </c>
      <c r="D347" t="s">
        <v>285</v>
      </c>
      <c r="E347">
        <v>1</v>
      </c>
      <c r="F347">
        <v>0</v>
      </c>
      <c r="G347">
        <v>0</v>
      </c>
      <c r="T347" t="s">
        <v>933</v>
      </c>
      <c r="U347" t="s">
        <v>1045</v>
      </c>
      <c r="V347" t="s">
        <v>402</v>
      </c>
      <c r="W347">
        <v>60</v>
      </c>
    </row>
    <row r="348" spans="1:23" x14ac:dyDescent="0.2">
      <c r="A348" t="s">
        <v>966</v>
      </c>
      <c r="B348" t="s">
        <v>269</v>
      </c>
      <c r="C348" t="s">
        <v>51</v>
      </c>
      <c r="D348" t="s">
        <v>286</v>
      </c>
      <c r="E348">
        <v>0.12</v>
      </c>
      <c r="F348">
        <v>419</v>
      </c>
      <c r="G348">
        <v>50.28</v>
      </c>
      <c r="T348" t="s">
        <v>933</v>
      </c>
      <c r="U348" t="s">
        <v>1046</v>
      </c>
      <c r="V348" t="s">
        <v>1051</v>
      </c>
      <c r="W348">
        <v>70</v>
      </c>
    </row>
    <row r="349" spans="1:23" x14ac:dyDescent="0.2">
      <c r="A349" t="s">
        <v>966</v>
      </c>
      <c r="B349" t="s">
        <v>269</v>
      </c>
      <c r="C349" t="s">
        <v>52</v>
      </c>
      <c r="D349" t="s">
        <v>321</v>
      </c>
      <c r="E349">
        <v>0.7</v>
      </c>
      <c r="F349">
        <v>120</v>
      </c>
      <c r="G349">
        <v>84</v>
      </c>
      <c r="T349" t="s">
        <v>933</v>
      </c>
      <c r="U349" t="s">
        <v>1047</v>
      </c>
      <c r="V349" t="s">
        <v>1052</v>
      </c>
      <c r="W349">
        <v>70</v>
      </c>
    </row>
    <row r="350" spans="1:23" x14ac:dyDescent="0.2">
      <c r="A350" t="s">
        <v>966</v>
      </c>
      <c r="B350" t="s">
        <v>269</v>
      </c>
      <c r="C350" t="s">
        <v>69</v>
      </c>
      <c r="D350" t="s">
        <v>288</v>
      </c>
      <c r="E350">
        <v>0.22</v>
      </c>
      <c r="F350">
        <v>190</v>
      </c>
      <c r="G350">
        <v>41.8</v>
      </c>
      <c r="T350" t="s">
        <v>933</v>
      </c>
      <c r="U350" t="s">
        <v>1048</v>
      </c>
      <c r="V350" t="s">
        <v>1053</v>
      </c>
      <c r="W350">
        <v>250</v>
      </c>
    </row>
    <row r="351" spans="1:23" x14ac:dyDescent="0.2">
      <c r="A351" t="s">
        <v>966</v>
      </c>
      <c r="B351" t="s">
        <v>269</v>
      </c>
      <c r="C351" t="s">
        <v>81</v>
      </c>
      <c r="D351" t="s">
        <v>322</v>
      </c>
      <c r="E351">
        <v>1.125</v>
      </c>
      <c r="F351">
        <v>380</v>
      </c>
      <c r="G351">
        <v>427.5</v>
      </c>
      <c r="T351" t="s">
        <v>933</v>
      </c>
      <c r="U351" t="s">
        <v>1049</v>
      </c>
      <c r="V351" t="s">
        <v>1054</v>
      </c>
      <c r="W351">
        <v>750</v>
      </c>
    </row>
    <row r="352" spans="1:23" x14ac:dyDescent="0.2">
      <c r="A352" t="s">
        <v>966</v>
      </c>
      <c r="B352" t="s">
        <v>269</v>
      </c>
      <c r="C352" t="s">
        <v>49</v>
      </c>
      <c r="D352" t="s">
        <v>290</v>
      </c>
      <c r="E352">
        <v>7.4999999999999997E-2</v>
      </c>
      <c r="F352">
        <v>248</v>
      </c>
      <c r="G352">
        <v>18.600000000000001</v>
      </c>
      <c r="T352" t="s">
        <v>933</v>
      </c>
      <c r="U352" t="s">
        <v>1050</v>
      </c>
      <c r="V352" t="s">
        <v>1055</v>
      </c>
      <c r="W352">
        <v>0</v>
      </c>
    </row>
    <row r="353" spans="1:23" x14ac:dyDescent="0.2">
      <c r="A353" t="s">
        <v>966</v>
      </c>
      <c r="B353" t="s">
        <v>269</v>
      </c>
      <c r="C353" t="s">
        <v>28</v>
      </c>
      <c r="D353" t="s">
        <v>291</v>
      </c>
      <c r="E353">
        <v>0.8</v>
      </c>
      <c r="F353">
        <v>175</v>
      </c>
      <c r="G353">
        <v>140</v>
      </c>
      <c r="T353" t="s">
        <v>935</v>
      </c>
      <c r="U353" t="s">
        <v>1042</v>
      </c>
      <c r="V353" t="s">
        <v>401</v>
      </c>
      <c r="W353">
        <v>50</v>
      </c>
    </row>
    <row r="354" spans="1:23" x14ac:dyDescent="0.2">
      <c r="A354" t="s">
        <v>966</v>
      </c>
      <c r="B354" t="s">
        <v>269</v>
      </c>
      <c r="C354" t="s">
        <v>29</v>
      </c>
      <c r="D354" t="s">
        <v>292</v>
      </c>
      <c r="E354">
        <v>0.4</v>
      </c>
      <c r="F354">
        <v>27</v>
      </c>
      <c r="G354">
        <v>10.8</v>
      </c>
      <c r="T354" t="s">
        <v>935</v>
      </c>
      <c r="U354" t="s">
        <v>1043</v>
      </c>
      <c r="V354" t="s">
        <v>272</v>
      </c>
      <c r="W354">
        <v>1</v>
      </c>
    </row>
    <row r="355" spans="1:23" x14ac:dyDescent="0.2">
      <c r="A355" t="s">
        <v>966</v>
      </c>
      <c r="B355" t="s">
        <v>269</v>
      </c>
      <c r="C355" t="s">
        <v>31</v>
      </c>
      <c r="D355" t="s">
        <v>293</v>
      </c>
      <c r="E355">
        <v>3</v>
      </c>
      <c r="F355">
        <v>5</v>
      </c>
      <c r="G355">
        <v>15</v>
      </c>
      <c r="T355" t="s">
        <v>935</v>
      </c>
      <c r="U355" t="s">
        <v>1044</v>
      </c>
      <c r="V355" t="s">
        <v>405</v>
      </c>
      <c r="W355">
        <v>100</v>
      </c>
    </row>
    <row r="356" spans="1:23" x14ac:dyDescent="0.2">
      <c r="A356" t="s">
        <v>966</v>
      </c>
      <c r="B356" t="s">
        <v>269</v>
      </c>
      <c r="C356" t="s">
        <v>34</v>
      </c>
      <c r="D356" t="s">
        <v>294</v>
      </c>
      <c r="E356">
        <v>2</v>
      </c>
      <c r="F356">
        <v>18</v>
      </c>
      <c r="G356">
        <v>36</v>
      </c>
      <c r="T356" t="s">
        <v>935</v>
      </c>
      <c r="U356" t="s">
        <v>1045</v>
      </c>
      <c r="V356" t="s">
        <v>402</v>
      </c>
      <c r="W356">
        <v>60</v>
      </c>
    </row>
    <row r="357" spans="1:23" x14ac:dyDescent="0.2">
      <c r="A357" t="s">
        <v>966</v>
      </c>
      <c r="B357" t="s">
        <v>269</v>
      </c>
      <c r="C357" t="s">
        <v>35</v>
      </c>
      <c r="D357" t="s">
        <v>295</v>
      </c>
      <c r="E357">
        <v>1</v>
      </c>
      <c r="F357">
        <v>18</v>
      </c>
      <c r="G357">
        <v>18</v>
      </c>
      <c r="T357" t="s">
        <v>935</v>
      </c>
      <c r="U357" t="s">
        <v>1046</v>
      </c>
      <c r="V357" t="s">
        <v>1051</v>
      </c>
      <c r="W357">
        <v>70</v>
      </c>
    </row>
    <row r="358" spans="1:23" x14ac:dyDescent="0.2">
      <c r="A358" t="s">
        <v>966</v>
      </c>
      <c r="B358" t="s">
        <v>269</v>
      </c>
      <c r="C358" t="s">
        <v>36</v>
      </c>
      <c r="D358" t="s">
        <v>296</v>
      </c>
      <c r="E358">
        <v>2</v>
      </c>
      <c r="F358">
        <v>15</v>
      </c>
      <c r="G358">
        <v>30</v>
      </c>
      <c r="T358" t="s">
        <v>935</v>
      </c>
      <c r="U358" t="s">
        <v>1047</v>
      </c>
      <c r="V358" t="s">
        <v>1052</v>
      </c>
      <c r="W358">
        <v>70</v>
      </c>
    </row>
    <row r="359" spans="1:23" x14ac:dyDescent="0.2">
      <c r="A359" t="s">
        <v>966</v>
      </c>
      <c r="B359" t="s">
        <v>269</v>
      </c>
      <c r="C359" t="s">
        <v>37</v>
      </c>
      <c r="D359" t="s">
        <v>297</v>
      </c>
      <c r="E359">
        <v>1</v>
      </c>
      <c r="F359">
        <v>18</v>
      </c>
      <c r="G359">
        <v>18</v>
      </c>
      <c r="T359" t="s">
        <v>935</v>
      </c>
      <c r="U359" t="s">
        <v>1048</v>
      </c>
      <c r="V359" t="s">
        <v>1053</v>
      </c>
      <c r="W359">
        <v>250</v>
      </c>
    </row>
    <row r="360" spans="1:23" x14ac:dyDescent="0.2">
      <c r="A360" t="s">
        <v>966</v>
      </c>
      <c r="B360" t="s">
        <v>269</v>
      </c>
      <c r="C360" t="s">
        <v>39</v>
      </c>
      <c r="D360" t="s">
        <v>298</v>
      </c>
      <c r="E360">
        <v>1</v>
      </c>
      <c r="F360">
        <v>18</v>
      </c>
      <c r="G360">
        <v>18</v>
      </c>
      <c r="T360" t="s">
        <v>935</v>
      </c>
      <c r="U360" t="s">
        <v>1049</v>
      </c>
      <c r="V360" t="s">
        <v>1054</v>
      </c>
      <c r="W360">
        <v>750</v>
      </c>
    </row>
    <row r="361" spans="1:23" x14ac:dyDescent="0.2">
      <c r="A361" t="s">
        <v>966</v>
      </c>
      <c r="B361" t="s">
        <v>269</v>
      </c>
      <c r="C361" t="s">
        <v>42</v>
      </c>
      <c r="D361" t="s">
        <v>299</v>
      </c>
      <c r="E361">
        <v>2</v>
      </c>
      <c r="F361">
        <v>2.5</v>
      </c>
      <c r="G361">
        <v>5</v>
      </c>
      <c r="T361" t="s">
        <v>935</v>
      </c>
      <c r="U361" t="s">
        <v>1050</v>
      </c>
      <c r="V361" t="s">
        <v>1055</v>
      </c>
      <c r="W361">
        <v>0</v>
      </c>
    </row>
    <row r="362" spans="1:23" x14ac:dyDescent="0.2">
      <c r="A362" t="s">
        <v>966</v>
      </c>
      <c r="B362" t="s">
        <v>269</v>
      </c>
      <c r="C362" t="s">
        <v>43</v>
      </c>
      <c r="D362" t="s">
        <v>300</v>
      </c>
      <c r="E362">
        <v>92</v>
      </c>
      <c r="F362">
        <v>9.5</v>
      </c>
      <c r="G362">
        <v>874</v>
      </c>
      <c r="T362" t="s">
        <v>937</v>
      </c>
      <c r="U362" t="s">
        <v>1042</v>
      </c>
      <c r="V362" t="s">
        <v>401</v>
      </c>
      <c r="W362">
        <v>50</v>
      </c>
    </row>
    <row r="363" spans="1:23" x14ac:dyDescent="0.2">
      <c r="A363" t="s">
        <v>966</v>
      </c>
      <c r="B363" t="s">
        <v>269</v>
      </c>
      <c r="C363" t="s">
        <v>121</v>
      </c>
      <c r="D363" t="s">
        <v>301</v>
      </c>
      <c r="E363">
        <v>1</v>
      </c>
      <c r="F363">
        <v>0.95</v>
      </c>
      <c r="G363">
        <v>0.95</v>
      </c>
      <c r="T363" t="s">
        <v>937</v>
      </c>
      <c r="U363" t="s">
        <v>1043</v>
      </c>
      <c r="V363" t="s">
        <v>272</v>
      </c>
      <c r="W363">
        <v>1</v>
      </c>
    </row>
    <row r="364" spans="1:23" x14ac:dyDescent="0.2">
      <c r="A364" t="s">
        <v>966</v>
      </c>
      <c r="B364" t="s">
        <v>269</v>
      </c>
      <c r="C364" t="s">
        <v>122</v>
      </c>
      <c r="D364" t="s">
        <v>302</v>
      </c>
      <c r="E364">
        <v>1</v>
      </c>
      <c r="F364">
        <v>4.2</v>
      </c>
      <c r="G364">
        <v>4.2</v>
      </c>
      <c r="T364" t="s">
        <v>937</v>
      </c>
      <c r="U364" t="s">
        <v>1044</v>
      </c>
      <c r="V364" t="s">
        <v>405</v>
      </c>
      <c r="W364">
        <v>100</v>
      </c>
    </row>
    <row r="365" spans="1:23" x14ac:dyDescent="0.2">
      <c r="A365" t="s">
        <v>966</v>
      </c>
      <c r="B365" t="s">
        <v>269</v>
      </c>
      <c r="C365" t="s">
        <v>2</v>
      </c>
      <c r="D365" t="s">
        <v>303</v>
      </c>
      <c r="E365">
        <v>1.8</v>
      </c>
      <c r="F365">
        <v>5.0999999999999996</v>
      </c>
      <c r="G365">
        <v>9.18</v>
      </c>
      <c r="T365" t="s">
        <v>937</v>
      </c>
      <c r="U365" t="s">
        <v>1045</v>
      </c>
      <c r="V365" t="s">
        <v>402</v>
      </c>
      <c r="W365">
        <v>60</v>
      </c>
    </row>
    <row r="366" spans="1:23" x14ac:dyDescent="0.2">
      <c r="A366" t="s">
        <v>966</v>
      </c>
      <c r="B366" t="s">
        <v>269</v>
      </c>
      <c r="C366" t="s">
        <v>4</v>
      </c>
      <c r="D366" t="s">
        <v>304</v>
      </c>
      <c r="E366">
        <v>1.8</v>
      </c>
      <c r="F366">
        <v>10.1</v>
      </c>
      <c r="G366">
        <v>18.18</v>
      </c>
      <c r="T366" t="s">
        <v>937</v>
      </c>
      <c r="U366" t="s">
        <v>1046</v>
      </c>
      <c r="V366" t="s">
        <v>1051</v>
      </c>
      <c r="W366">
        <v>70</v>
      </c>
    </row>
    <row r="367" spans="1:23" x14ac:dyDescent="0.2">
      <c r="A367" t="s">
        <v>966</v>
      </c>
      <c r="B367" t="s">
        <v>269</v>
      </c>
      <c r="C367" t="s">
        <v>5</v>
      </c>
      <c r="D367" t="s">
        <v>305</v>
      </c>
      <c r="E367">
        <v>2.5</v>
      </c>
      <c r="F367">
        <v>11.5</v>
      </c>
      <c r="G367">
        <v>28.75</v>
      </c>
      <c r="T367" t="s">
        <v>937</v>
      </c>
      <c r="U367" t="s">
        <v>1047</v>
      </c>
      <c r="V367" t="s">
        <v>1052</v>
      </c>
      <c r="W367">
        <v>70</v>
      </c>
    </row>
    <row r="368" spans="1:23" x14ac:dyDescent="0.2">
      <c r="A368" t="s">
        <v>966</v>
      </c>
      <c r="B368" t="s">
        <v>269</v>
      </c>
      <c r="C368" t="s">
        <v>6</v>
      </c>
      <c r="D368" t="s">
        <v>306</v>
      </c>
      <c r="E368">
        <v>1.7</v>
      </c>
      <c r="F368">
        <v>16.8</v>
      </c>
      <c r="G368">
        <v>28.56</v>
      </c>
      <c r="T368" t="s">
        <v>937</v>
      </c>
      <c r="U368" t="s">
        <v>1048</v>
      </c>
      <c r="V368" t="s">
        <v>1053</v>
      </c>
      <c r="W368">
        <v>250</v>
      </c>
    </row>
    <row r="369" spans="1:23" x14ac:dyDescent="0.2">
      <c r="A369" t="s">
        <v>966</v>
      </c>
      <c r="B369" t="s">
        <v>269</v>
      </c>
      <c r="C369" t="s">
        <v>7</v>
      </c>
      <c r="D369" t="s">
        <v>307</v>
      </c>
      <c r="E369">
        <v>8.1999999999999993</v>
      </c>
      <c r="F369">
        <v>6.7</v>
      </c>
      <c r="G369">
        <v>54.94</v>
      </c>
      <c r="T369" t="s">
        <v>937</v>
      </c>
      <c r="U369" t="s">
        <v>1049</v>
      </c>
      <c r="V369" t="s">
        <v>1054</v>
      </c>
      <c r="W369">
        <v>750</v>
      </c>
    </row>
    <row r="370" spans="1:23" x14ac:dyDescent="0.2">
      <c r="A370" t="s">
        <v>966</v>
      </c>
      <c r="B370" t="s">
        <v>269</v>
      </c>
      <c r="C370" t="s">
        <v>13</v>
      </c>
      <c r="D370" t="s">
        <v>309</v>
      </c>
      <c r="E370">
        <v>3.3</v>
      </c>
      <c r="F370">
        <v>7</v>
      </c>
      <c r="G370">
        <v>23.1</v>
      </c>
      <c r="T370" t="s">
        <v>937</v>
      </c>
      <c r="U370" t="s">
        <v>1050</v>
      </c>
      <c r="V370" t="s">
        <v>1055</v>
      </c>
      <c r="W370">
        <v>0</v>
      </c>
    </row>
    <row r="371" spans="1:23" x14ac:dyDescent="0.2">
      <c r="A371" t="s">
        <v>966</v>
      </c>
      <c r="B371" t="s">
        <v>269</v>
      </c>
      <c r="C371" t="s">
        <v>14</v>
      </c>
      <c r="D371" t="s">
        <v>310</v>
      </c>
      <c r="E371">
        <v>0.15</v>
      </c>
      <c r="F371">
        <v>18</v>
      </c>
      <c r="G371">
        <v>2.7</v>
      </c>
      <c r="T371" t="s">
        <v>939</v>
      </c>
      <c r="U371" t="s">
        <v>1042</v>
      </c>
      <c r="V371" t="s">
        <v>401</v>
      </c>
      <c r="W371">
        <v>50</v>
      </c>
    </row>
    <row r="372" spans="1:23" x14ac:dyDescent="0.2">
      <c r="A372" t="s">
        <v>966</v>
      </c>
      <c r="B372" t="s">
        <v>269</v>
      </c>
      <c r="C372" t="s">
        <v>15</v>
      </c>
      <c r="D372" t="s">
        <v>311</v>
      </c>
      <c r="E372">
        <v>0.75</v>
      </c>
      <c r="F372">
        <v>18</v>
      </c>
      <c r="G372">
        <v>13.5</v>
      </c>
      <c r="T372" t="s">
        <v>939</v>
      </c>
      <c r="U372" t="s">
        <v>1043</v>
      </c>
      <c r="V372" t="s">
        <v>272</v>
      </c>
      <c r="W372">
        <v>1</v>
      </c>
    </row>
    <row r="373" spans="1:23" x14ac:dyDescent="0.2">
      <c r="A373" t="s">
        <v>966</v>
      </c>
      <c r="B373" t="s">
        <v>269</v>
      </c>
      <c r="C373" t="s">
        <v>16</v>
      </c>
      <c r="D373" t="s">
        <v>312</v>
      </c>
      <c r="E373">
        <v>0.16</v>
      </c>
      <c r="F373">
        <v>30</v>
      </c>
      <c r="G373">
        <v>4.8</v>
      </c>
      <c r="T373" t="s">
        <v>939</v>
      </c>
      <c r="U373" t="s">
        <v>1044</v>
      </c>
      <c r="V373" t="s">
        <v>405</v>
      </c>
      <c r="W373">
        <v>100</v>
      </c>
    </row>
    <row r="374" spans="1:23" x14ac:dyDescent="0.2">
      <c r="A374" t="s">
        <v>966</v>
      </c>
      <c r="B374" t="s">
        <v>269</v>
      </c>
      <c r="C374" t="s">
        <v>105</v>
      </c>
      <c r="D374" t="s">
        <v>313</v>
      </c>
      <c r="E374">
        <v>10</v>
      </c>
      <c r="F374">
        <v>0.1</v>
      </c>
      <c r="G374">
        <v>1</v>
      </c>
      <c r="T374" t="s">
        <v>939</v>
      </c>
      <c r="U374" t="s">
        <v>1045</v>
      </c>
      <c r="V374" t="s">
        <v>402</v>
      </c>
      <c r="W374">
        <v>60</v>
      </c>
    </row>
    <row r="375" spans="1:23" x14ac:dyDescent="0.2">
      <c r="A375" t="s">
        <v>966</v>
      </c>
      <c r="B375" t="s">
        <v>269</v>
      </c>
      <c r="C375" t="s">
        <v>108</v>
      </c>
      <c r="D375" t="s">
        <v>323</v>
      </c>
      <c r="E375">
        <v>200</v>
      </c>
      <c r="F375">
        <v>0.1</v>
      </c>
      <c r="G375">
        <v>20</v>
      </c>
      <c r="T375" t="s">
        <v>939</v>
      </c>
      <c r="U375" t="s">
        <v>1046</v>
      </c>
      <c r="V375" t="s">
        <v>1051</v>
      </c>
      <c r="W375">
        <v>70</v>
      </c>
    </row>
    <row r="376" spans="1:23" x14ac:dyDescent="0.2">
      <c r="A376" t="s">
        <v>856</v>
      </c>
      <c r="B376" t="s">
        <v>857</v>
      </c>
      <c r="C376" t="s">
        <v>94</v>
      </c>
      <c r="D376" t="s">
        <v>280</v>
      </c>
      <c r="E376">
        <v>1</v>
      </c>
      <c r="F376">
        <v>3.5</v>
      </c>
      <c r="G376">
        <v>3.5</v>
      </c>
      <c r="T376" t="s">
        <v>939</v>
      </c>
      <c r="U376" t="s">
        <v>1047</v>
      </c>
      <c r="V376" t="s">
        <v>1052</v>
      </c>
      <c r="W376">
        <v>70</v>
      </c>
    </row>
    <row r="377" spans="1:23" x14ac:dyDescent="0.2">
      <c r="A377" t="s">
        <v>856</v>
      </c>
      <c r="B377" t="s">
        <v>857</v>
      </c>
      <c r="C377" t="s">
        <v>95</v>
      </c>
      <c r="D377" t="s">
        <v>281</v>
      </c>
      <c r="E377">
        <v>2</v>
      </c>
      <c r="F377">
        <v>2</v>
      </c>
      <c r="G377">
        <v>4</v>
      </c>
      <c r="T377" t="s">
        <v>939</v>
      </c>
      <c r="U377" t="s">
        <v>1048</v>
      </c>
      <c r="V377" t="s">
        <v>1053</v>
      </c>
      <c r="W377">
        <v>250</v>
      </c>
    </row>
    <row r="378" spans="1:23" x14ac:dyDescent="0.2">
      <c r="A378" t="s">
        <v>856</v>
      </c>
      <c r="B378" t="s">
        <v>857</v>
      </c>
      <c r="C378" t="s">
        <v>56</v>
      </c>
      <c r="D378" t="s">
        <v>287</v>
      </c>
      <c r="E378">
        <v>0</v>
      </c>
      <c r="F378">
        <v>90</v>
      </c>
      <c r="G378">
        <v>0</v>
      </c>
      <c r="T378" t="s">
        <v>939</v>
      </c>
      <c r="U378" t="s">
        <v>1049</v>
      </c>
      <c r="V378" t="s">
        <v>1054</v>
      </c>
      <c r="W378">
        <v>750</v>
      </c>
    </row>
    <row r="379" spans="1:23" x14ac:dyDescent="0.2">
      <c r="A379" t="s">
        <v>856</v>
      </c>
      <c r="B379" t="s">
        <v>857</v>
      </c>
      <c r="C379" t="s">
        <v>79</v>
      </c>
      <c r="D379" t="s">
        <v>289</v>
      </c>
      <c r="E379">
        <v>0</v>
      </c>
      <c r="F379">
        <v>380</v>
      </c>
      <c r="G379">
        <v>0</v>
      </c>
      <c r="T379" t="s">
        <v>939</v>
      </c>
      <c r="U379" t="s">
        <v>1050</v>
      </c>
      <c r="V379" t="s">
        <v>1055</v>
      </c>
      <c r="W379">
        <v>0</v>
      </c>
    </row>
    <row r="380" spans="1:23" x14ac:dyDescent="0.2">
      <c r="A380" t="s">
        <v>856</v>
      </c>
      <c r="B380" t="s">
        <v>857</v>
      </c>
      <c r="C380" t="s">
        <v>587</v>
      </c>
      <c r="D380" t="s">
        <v>588</v>
      </c>
      <c r="E380">
        <v>2</v>
      </c>
      <c r="F380">
        <v>3.2</v>
      </c>
      <c r="G380">
        <v>6.4</v>
      </c>
      <c r="T380" t="s">
        <v>941</v>
      </c>
      <c r="U380" t="s">
        <v>1042</v>
      </c>
      <c r="V380" t="s">
        <v>401</v>
      </c>
      <c r="W380">
        <v>50</v>
      </c>
    </row>
    <row r="381" spans="1:23" x14ac:dyDescent="0.2">
      <c r="A381" t="s">
        <v>856</v>
      </c>
      <c r="B381" t="s">
        <v>857</v>
      </c>
      <c r="C381" t="s">
        <v>29</v>
      </c>
      <c r="D381" t="s">
        <v>292</v>
      </c>
      <c r="E381">
        <v>0.85</v>
      </c>
      <c r="F381">
        <v>27</v>
      </c>
      <c r="G381">
        <v>22.95</v>
      </c>
      <c r="T381" t="s">
        <v>941</v>
      </c>
      <c r="U381" t="s">
        <v>1043</v>
      </c>
      <c r="V381" t="s">
        <v>272</v>
      </c>
      <c r="W381">
        <v>1</v>
      </c>
    </row>
    <row r="382" spans="1:23" x14ac:dyDescent="0.2">
      <c r="A382" t="s">
        <v>856</v>
      </c>
      <c r="B382" t="s">
        <v>857</v>
      </c>
      <c r="C382" t="s">
        <v>30</v>
      </c>
      <c r="D382" t="s">
        <v>332</v>
      </c>
      <c r="E382">
        <v>2</v>
      </c>
      <c r="F382">
        <v>6</v>
      </c>
      <c r="G382">
        <v>12</v>
      </c>
      <c r="T382" t="s">
        <v>941</v>
      </c>
      <c r="U382" t="s">
        <v>1044</v>
      </c>
      <c r="V382" t="s">
        <v>405</v>
      </c>
      <c r="W382">
        <v>100</v>
      </c>
    </row>
    <row r="383" spans="1:23" x14ac:dyDescent="0.2">
      <c r="A383" t="s">
        <v>856</v>
      </c>
      <c r="B383" t="s">
        <v>857</v>
      </c>
      <c r="C383" t="s">
        <v>590</v>
      </c>
      <c r="D383" t="s">
        <v>591</v>
      </c>
      <c r="E383">
        <v>1</v>
      </c>
      <c r="F383">
        <v>2.8</v>
      </c>
      <c r="G383">
        <v>2.8</v>
      </c>
      <c r="T383" t="s">
        <v>941</v>
      </c>
      <c r="U383" t="s">
        <v>1045</v>
      </c>
      <c r="V383" t="s">
        <v>402</v>
      </c>
      <c r="W383">
        <v>60</v>
      </c>
    </row>
    <row r="384" spans="1:23" x14ac:dyDescent="0.2">
      <c r="A384" t="s">
        <v>856</v>
      </c>
      <c r="B384" t="s">
        <v>857</v>
      </c>
      <c r="C384" t="s">
        <v>606</v>
      </c>
      <c r="D384" t="s">
        <v>607</v>
      </c>
      <c r="E384">
        <v>1</v>
      </c>
      <c r="F384">
        <v>13</v>
      </c>
      <c r="G384">
        <v>13</v>
      </c>
      <c r="T384" t="s">
        <v>941</v>
      </c>
      <c r="U384" t="s">
        <v>1046</v>
      </c>
      <c r="V384" t="s">
        <v>1051</v>
      </c>
      <c r="W384">
        <v>70</v>
      </c>
    </row>
    <row r="385" spans="1:23" x14ac:dyDescent="0.2">
      <c r="A385" t="s">
        <v>856</v>
      </c>
      <c r="B385" t="s">
        <v>857</v>
      </c>
      <c r="C385" t="s">
        <v>628</v>
      </c>
      <c r="D385" t="s">
        <v>629</v>
      </c>
      <c r="E385">
        <v>1</v>
      </c>
      <c r="F385">
        <v>102.5</v>
      </c>
      <c r="G385">
        <v>102.5</v>
      </c>
      <c r="T385" t="s">
        <v>941</v>
      </c>
      <c r="U385" t="s">
        <v>1047</v>
      </c>
      <c r="V385" t="s">
        <v>1052</v>
      </c>
      <c r="W385">
        <v>70</v>
      </c>
    </row>
    <row r="386" spans="1:23" x14ac:dyDescent="0.2">
      <c r="A386" t="s">
        <v>856</v>
      </c>
      <c r="B386" t="s">
        <v>857</v>
      </c>
      <c r="C386" t="s">
        <v>121</v>
      </c>
      <c r="D386" t="s">
        <v>301</v>
      </c>
      <c r="E386">
        <v>1</v>
      </c>
      <c r="F386">
        <v>0.95</v>
      </c>
      <c r="G386">
        <v>0.95</v>
      </c>
      <c r="T386" t="s">
        <v>941</v>
      </c>
      <c r="U386" t="s">
        <v>1048</v>
      </c>
      <c r="V386" t="s">
        <v>1053</v>
      </c>
      <c r="W386">
        <v>250</v>
      </c>
    </row>
    <row r="387" spans="1:23" x14ac:dyDescent="0.2">
      <c r="A387" t="s">
        <v>856</v>
      </c>
      <c r="B387" t="s">
        <v>857</v>
      </c>
      <c r="C387" t="s">
        <v>122</v>
      </c>
      <c r="D387" t="s">
        <v>302</v>
      </c>
      <c r="E387">
        <v>1</v>
      </c>
      <c r="F387">
        <v>4.2</v>
      </c>
      <c r="G387">
        <v>4.2</v>
      </c>
      <c r="T387" t="s">
        <v>941</v>
      </c>
      <c r="U387" t="s">
        <v>1049</v>
      </c>
      <c r="V387" t="s">
        <v>1054</v>
      </c>
      <c r="W387">
        <v>750</v>
      </c>
    </row>
    <row r="388" spans="1:23" x14ac:dyDescent="0.2">
      <c r="A388" t="s">
        <v>856</v>
      </c>
      <c r="B388" t="s">
        <v>857</v>
      </c>
      <c r="C388" t="s">
        <v>2</v>
      </c>
      <c r="D388" t="s">
        <v>303</v>
      </c>
      <c r="E388">
        <v>0.8</v>
      </c>
      <c r="F388">
        <v>5.0999999999999996</v>
      </c>
      <c r="G388">
        <v>4.08</v>
      </c>
      <c r="T388" t="s">
        <v>941</v>
      </c>
      <c r="U388" t="s">
        <v>1050</v>
      </c>
      <c r="V388" t="s">
        <v>1055</v>
      </c>
      <c r="W388">
        <v>0</v>
      </c>
    </row>
    <row r="389" spans="1:23" x14ac:dyDescent="0.2">
      <c r="A389" t="s">
        <v>856</v>
      </c>
      <c r="B389" t="s">
        <v>857</v>
      </c>
      <c r="C389" t="s">
        <v>6</v>
      </c>
      <c r="D389" t="s">
        <v>306</v>
      </c>
      <c r="E389">
        <v>1.6</v>
      </c>
      <c r="F389">
        <v>16.8</v>
      </c>
      <c r="G389">
        <v>26.88</v>
      </c>
      <c r="T389" t="s">
        <v>943</v>
      </c>
      <c r="U389" t="s">
        <v>1042</v>
      </c>
      <c r="V389" t="s">
        <v>401</v>
      </c>
      <c r="W389">
        <v>50</v>
      </c>
    </row>
    <row r="390" spans="1:23" x14ac:dyDescent="0.2">
      <c r="A390" t="s">
        <v>856</v>
      </c>
      <c r="B390" t="s">
        <v>857</v>
      </c>
      <c r="C390" t="s">
        <v>7</v>
      </c>
      <c r="D390" t="s">
        <v>307</v>
      </c>
      <c r="E390">
        <v>0.1</v>
      </c>
      <c r="F390">
        <v>6.7</v>
      </c>
      <c r="G390">
        <v>0.67</v>
      </c>
      <c r="T390" t="s">
        <v>943</v>
      </c>
      <c r="U390" t="s">
        <v>1043</v>
      </c>
      <c r="V390" t="s">
        <v>272</v>
      </c>
      <c r="W390">
        <v>1</v>
      </c>
    </row>
    <row r="391" spans="1:23" x14ac:dyDescent="0.2">
      <c r="A391" t="s">
        <v>856</v>
      </c>
      <c r="B391" t="s">
        <v>857</v>
      </c>
      <c r="C391" t="s">
        <v>13</v>
      </c>
      <c r="D391" t="s">
        <v>309</v>
      </c>
      <c r="E391">
        <v>0.45</v>
      </c>
      <c r="F391">
        <v>7</v>
      </c>
      <c r="G391">
        <v>3.15</v>
      </c>
      <c r="T391" t="s">
        <v>943</v>
      </c>
      <c r="U391" t="s">
        <v>1044</v>
      </c>
      <c r="V391" t="s">
        <v>405</v>
      </c>
      <c r="W391">
        <v>100</v>
      </c>
    </row>
    <row r="392" spans="1:23" x14ac:dyDescent="0.2">
      <c r="A392" t="s">
        <v>856</v>
      </c>
      <c r="B392" t="s">
        <v>857</v>
      </c>
      <c r="C392" t="s">
        <v>814</v>
      </c>
      <c r="D392" t="s">
        <v>815</v>
      </c>
      <c r="E392">
        <v>0.64</v>
      </c>
      <c r="F392">
        <v>0</v>
      </c>
      <c r="G392">
        <v>0</v>
      </c>
      <c r="T392" t="s">
        <v>943</v>
      </c>
      <c r="U392" t="s">
        <v>1045</v>
      </c>
      <c r="V392" t="s">
        <v>402</v>
      </c>
      <c r="W392">
        <v>60</v>
      </c>
    </row>
    <row r="393" spans="1:23" x14ac:dyDescent="0.2">
      <c r="A393" t="s">
        <v>856</v>
      </c>
      <c r="B393" t="s">
        <v>857</v>
      </c>
      <c r="C393" t="s">
        <v>105</v>
      </c>
      <c r="D393" t="s">
        <v>313</v>
      </c>
      <c r="E393">
        <v>0</v>
      </c>
      <c r="F393">
        <v>0.1</v>
      </c>
      <c r="G393">
        <v>0</v>
      </c>
      <c r="T393" t="s">
        <v>943</v>
      </c>
      <c r="U393" t="s">
        <v>1046</v>
      </c>
      <c r="V393" t="s">
        <v>1051</v>
      </c>
      <c r="W393">
        <v>70</v>
      </c>
    </row>
    <row r="394" spans="1:23" x14ac:dyDescent="0.2">
      <c r="A394" t="s">
        <v>856</v>
      </c>
      <c r="B394" t="s">
        <v>857</v>
      </c>
      <c r="C394" t="s">
        <v>110</v>
      </c>
      <c r="D394" t="s">
        <v>314</v>
      </c>
      <c r="E394">
        <v>0</v>
      </c>
      <c r="F394">
        <v>0.1</v>
      </c>
      <c r="G394">
        <v>0</v>
      </c>
      <c r="T394" t="s">
        <v>943</v>
      </c>
      <c r="U394" t="s">
        <v>1047</v>
      </c>
      <c r="V394" t="s">
        <v>1052</v>
      </c>
      <c r="W394">
        <v>70</v>
      </c>
    </row>
    <row r="395" spans="1:23" x14ac:dyDescent="0.2">
      <c r="A395" t="s">
        <v>860</v>
      </c>
      <c r="B395" t="s">
        <v>861</v>
      </c>
      <c r="C395" t="s">
        <v>94</v>
      </c>
      <c r="D395" t="s">
        <v>280</v>
      </c>
      <c r="E395">
        <v>1</v>
      </c>
      <c r="F395">
        <v>3.5</v>
      </c>
      <c r="G395">
        <v>3.5</v>
      </c>
      <c r="T395" t="s">
        <v>943</v>
      </c>
      <c r="U395" t="s">
        <v>1048</v>
      </c>
      <c r="V395" t="s">
        <v>1053</v>
      </c>
      <c r="W395">
        <v>250</v>
      </c>
    </row>
    <row r="396" spans="1:23" x14ac:dyDescent="0.2">
      <c r="A396" t="s">
        <v>860</v>
      </c>
      <c r="B396" t="s">
        <v>861</v>
      </c>
      <c r="C396" t="s">
        <v>95</v>
      </c>
      <c r="D396" t="s">
        <v>281</v>
      </c>
      <c r="E396">
        <v>2</v>
      </c>
      <c r="F396">
        <v>2</v>
      </c>
      <c r="G396">
        <v>4</v>
      </c>
      <c r="T396" t="s">
        <v>943</v>
      </c>
      <c r="U396" t="s">
        <v>1049</v>
      </c>
      <c r="V396" t="s">
        <v>1054</v>
      </c>
      <c r="W396">
        <v>750</v>
      </c>
    </row>
    <row r="397" spans="1:23" x14ac:dyDescent="0.2">
      <c r="A397" t="s">
        <v>860</v>
      </c>
      <c r="B397" t="s">
        <v>861</v>
      </c>
      <c r="C397" t="s">
        <v>56</v>
      </c>
      <c r="D397" t="s">
        <v>287</v>
      </c>
      <c r="E397">
        <v>0</v>
      </c>
      <c r="F397">
        <v>90</v>
      </c>
      <c r="G397">
        <v>0</v>
      </c>
      <c r="T397" t="s">
        <v>943</v>
      </c>
      <c r="U397" t="s">
        <v>1050</v>
      </c>
      <c r="V397" t="s">
        <v>1055</v>
      </c>
      <c r="W397">
        <v>0</v>
      </c>
    </row>
    <row r="398" spans="1:23" x14ac:dyDescent="0.2">
      <c r="A398" t="s">
        <v>860</v>
      </c>
      <c r="B398" t="s">
        <v>861</v>
      </c>
      <c r="C398" t="s">
        <v>80</v>
      </c>
      <c r="D398" t="s">
        <v>317</v>
      </c>
      <c r="E398">
        <v>0</v>
      </c>
      <c r="F398">
        <v>380</v>
      </c>
      <c r="G398">
        <v>0</v>
      </c>
      <c r="T398" t="s">
        <v>945</v>
      </c>
      <c r="U398" t="s">
        <v>1042</v>
      </c>
      <c r="V398" t="s">
        <v>401</v>
      </c>
      <c r="W398">
        <v>50</v>
      </c>
    </row>
    <row r="399" spans="1:23" x14ac:dyDescent="0.2">
      <c r="A399" t="s">
        <v>860</v>
      </c>
      <c r="B399" t="s">
        <v>861</v>
      </c>
      <c r="C399" t="s">
        <v>587</v>
      </c>
      <c r="D399" t="s">
        <v>588</v>
      </c>
      <c r="E399">
        <v>2</v>
      </c>
      <c r="F399">
        <v>3.2</v>
      </c>
      <c r="G399">
        <v>6.4</v>
      </c>
      <c r="T399" t="s">
        <v>945</v>
      </c>
      <c r="U399" t="s">
        <v>1043</v>
      </c>
      <c r="V399" t="s">
        <v>272</v>
      </c>
      <c r="W399">
        <v>1</v>
      </c>
    </row>
    <row r="400" spans="1:23" x14ac:dyDescent="0.2">
      <c r="A400" t="s">
        <v>860</v>
      </c>
      <c r="B400" t="s">
        <v>861</v>
      </c>
      <c r="C400" t="s">
        <v>29</v>
      </c>
      <c r="D400" t="s">
        <v>292</v>
      </c>
      <c r="E400">
        <v>0.85</v>
      </c>
      <c r="F400">
        <v>27</v>
      </c>
      <c r="G400">
        <v>22.95</v>
      </c>
      <c r="T400" t="s">
        <v>945</v>
      </c>
      <c r="U400" t="s">
        <v>1044</v>
      </c>
      <c r="V400" t="s">
        <v>405</v>
      </c>
      <c r="W400">
        <v>100</v>
      </c>
    </row>
    <row r="401" spans="1:23" x14ac:dyDescent="0.2">
      <c r="A401" t="s">
        <v>860</v>
      </c>
      <c r="B401" t="s">
        <v>861</v>
      </c>
      <c r="C401" t="s">
        <v>30</v>
      </c>
      <c r="D401" t="s">
        <v>332</v>
      </c>
      <c r="E401">
        <v>2</v>
      </c>
      <c r="F401">
        <v>6</v>
      </c>
      <c r="G401">
        <v>12</v>
      </c>
      <c r="T401" t="s">
        <v>945</v>
      </c>
      <c r="U401" t="s">
        <v>1045</v>
      </c>
      <c r="V401" t="s">
        <v>402</v>
      </c>
      <c r="W401">
        <v>60</v>
      </c>
    </row>
    <row r="402" spans="1:23" x14ac:dyDescent="0.2">
      <c r="A402" t="s">
        <v>860</v>
      </c>
      <c r="B402" t="s">
        <v>861</v>
      </c>
      <c r="C402" t="s">
        <v>590</v>
      </c>
      <c r="D402" t="s">
        <v>591</v>
      </c>
      <c r="E402">
        <v>1</v>
      </c>
      <c r="F402">
        <v>2.8</v>
      </c>
      <c r="G402">
        <v>2.8</v>
      </c>
      <c r="T402" t="s">
        <v>945</v>
      </c>
      <c r="U402" t="s">
        <v>1046</v>
      </c>
      <c r="V402" t="s">
        <v>1051</v>
      </c>
      <c r="W402">
        <v>70</v>
      </c>
    </row>
    <row r="403" spans="1:23" x14ac:dyDescent="0.2">
      <c r="A403" t="s">
        <v>860</v>
      </c>
      <c r="B403" t="s">
        <v>861</v>
      </c>
      <c r="C403" t="s">
        <v>606</v>
      </c>
      <c r="D403" t="s">
        <v>607</v>
      </c>
      <c r="E403">
        <v>1</v>
      </c>
      <c r="F403">
        <v>13</v>
      </c>
      <c r="G403">
        <v>13</v>
      </c>
      <c r="T403" t="s">
        <v>945</v>
      </c>
      <c r="U403" t="s">
        <v>1047</v>
      </c>
      <c r="V403" t="s">
        <v>1052</v>
      </c>
      <c r="W403">
        <v>70</v>
      </c>
    </row>
    <row r="404" spans="1:23" x14ac:dyDescent="0.2">
      <c r="A404" t="s">
        <v>860</v>
      </c>
      <c r="B404" t="s">
        <v>861</v>
      </c>
      <c r="C404" t="s">
        <v>628</v>
      </c>
      <c r="D404" t="s">
        <v>629</v>
      </c>
      <c r="E404">
        <v>1</v>
      </c>
      <c r="F404">
        <v>102.5</v>
      </c>
      <c r="G404">
        <v>102.5</v>
      </c>
      <c r="T404" t="s">
        <v>945</v>
      </c>
      <c r="U404" t="s">
        <v>1048</v>
      </c>
      <c r="V404" t="s">
        <v>1053</v>
      </c>
      <c r="W404">
        <v>250</v>
      </c>
    </row>
    <row r="405" spans="1:23" x14ac:dyDescent="0.2">
      <c r="A405" t="s">
        <v>860</v>
      </c>
      <c r="B405" t="s">
        <v>861</v>
      </c>
      <c r="C405" t="s">
        <v>121</v>
      </c>
      <c r="D405" t="s">
        <v>301</v>
      </c>
      <c r="E405">
        <v>1</v>
      </c>
      <c r="F405">
        <v>0.95</v>
      </c>
      <c r="G405">
        <v>0.95</v>
      </c>
      <c r="T405" t="s">
        <v>945</v>
      </c>
      <c r="U405" t="s">
        <v>1049</v>
      </c>
      <c r="V405" t="s">
        <v>1054</v>
      </c>
      <c r="W405">
        <v>750</v>
      </c>
    </row>
    <row r="406" spans="1:23" x14ac:dyDescent="0.2">
      <c r="A406" t="s">
        <v>860</v>
      </c>
      <c r="B406" t="s">
        <v>861</v>
      </c>
      <c r="C406" t="s">
        <v>122</v>
      </c>
      <c r="D406" t="s">
        <v>302</v>
      </c>
      <c r="E406">
        <v>1</v>
      </c>
      <c r="F406">
        <v>4.2</v>
      </c>
      <c r="G406">
        <v>4.2</v>
      </c>
      <c r="T406" t="s">
        <v>945</v>
      </c>
      <c r="U406" t="s">
        <v>1050</v>
      </c>
      <c r="V406" t="s">
        <v>1055</v>
      </c>
      <c r="W406">
        <v>0</v>
      </c>
    </row>
    <row r="407" spans="1:23" x14ac:dyDescent="0.2">
      <c r="A407" t="s">
        <v>860</v>
      </c>
      <c r="B407" t="s">
        <v>861</v>
      </c>
      <c r="C407" t="s">
        <v>2</v>
      </c>
      <c r="D407" t="s">
        <v>303</v>
      </c>
      <c r="E407">
        <v>0.8</v>
      </c>
      <c r="F407">
        <v>5.0999999999999996</v>
      </c>
      <c r="G407">
        <v>4.08</v>
      </c>
      <c r="T407" t="s">
        <v>947</v>
      </c>
      <c r="U407" t="s">
        <v>1042</v>
      </c>
      <c r="V407" t="s">
        <v>401</v>
      </c>
      <c r="W407">
        <v>50</v>
      </c>
    </row>
    <row r="408" spans="1:23" x14ac:dyDescent="0.2">
      <c r="A408" t="s">
        <v>860</v>
      </c>
      <c r="B408" t="s">
        <v>861</v>
      </c>
      <c r="C408" t="s">
        <v>6</v>
      </c>
      <c r="D408" t="s">
        <v>306</v>
      </c>
      <c r="E408">
        <v>1.6</v>
      </c>
      <c r="F408">
        <v>16.8</v>
      </c>
      <c r="G408">
        <v>26.88</v>
      </c>
      <c r="T408" t="s">
        <v>947</v>
      </c>
      <c r="U408" t="s">
        <v>1043</v>
      </c>
      <c r="V408" t="s">
        <v>272</v>
      </c>
      <c r="W408">
        <v>1</v>
      </c>
    </row>
    <row r="409" spans="1:23" x14ac:dyDescent="0.2">
      <c r="A409" t="s">
        <v>860</v>
      </c>
      <c r="B409" t="s">
        <v>861</v>
      </c>
      <c r="C409" t="s">
        <v>7</v>
      </c>
      <c r="D409" t="s">
        <v>307</v>
      </c>
      <c r="E409">
        <v>0.1</v>
      </c>
      <c r="F409">
        <v>6.7</v>
      </c>
      <c r="G409">
        <v>0.67</v>
      </c>
      <c r="T409" t="s">
        <v>947</v>
      </c>
      <c r="U409" t="s">
        <v>1044</v>
      </c>
      <c r="V409" t="s">
        <v>405</v>
      </c>
      <c r="W409">
        <v>100</v>
      </c>
    </row>
    <row r="410" spans="1:23" x14ac:dyDescent="0.2">
      <c r="A410" t="s">
        <v>860</v>
      </c>
      <c r="B410" t="s">
        <v>861</v>
      </c>
      <c r="C410" t="s">
        <v>13</v>
      </c>
      <c r="D410" t="s">
        <v>309</v>
      </c>
      <c r="E410">
        <v>0.45</v>
      </c>
      <c r="F410">
        <v>7</v>
      </c>
      <c r="G410">
        <v>3.15</v>
      </c>
      <c r="T410" t="s">
        <v>947</v>
      </c>
      <c r="U410" t="s">
        <v>1045</v>
      </c>
      <c r="V410" t="s">
        <v>402</v>
      </c>
      <c r="W410">
        <v>60</v>
      </c>
    </row>
    <row r="411" spans="1:23" x14ac:dyDescent="0.2">
      <c r="A411" t="s">
        <v>860</v>
      </c>
      <c r="B411" t="s">
        <v>861</v>
      </c>
      <c r="C411" t="s">
        <v>814</v>
      </c>
      <c r="D411" t="s">
        <v>815</v>
      </c>
      <c r="E411">
        <v>0.64</v>
      </c>
      <c r="F411">
        <v>0</v>
      </c>
      <c r="G411">
        <v>0</v>
      </c>
      <c r="T411" t="s">
        <v>947</v>
      </c>
      <c r="U411" t="s">
        <v>1046</v>
      </c>
      <c r="V411" t="s">
        <v>1051</v>
      </c>
      <c r="W411">
        <v>70</v>
      </c>
    </row>
    <row r="412" spans="1:23" x14ac:dyDescent="0.2">
      <c r="A412" t="s">
        <v>860</v>
      </c>
      <c r="B412" t="s">
        <v>861</v>
      </c>
      <c r="C412" t="s">
        <v>110</v>
      </c>
      <c r="D412" t="s">
        <v>314</v>
      </c>
      <c r="E412">
        <v>0</v>
      </c>
      <c r="F412">
        <v>0.1</v>
      </c>
      <c r="G412">
        <v>0</v>
      </c>
      <c r="T412" t="s">
        <v>947</v>
      </c>
      <c r="U412" t="s">
        <v>1047</v>
      </c>
      <c r="V412" t="s">
        <v>1052</v>
      </c>
      <c r="W412">
        <v>70</v>
      </c>
    </row>
    <row r="413" spans="1:23" x14ac:dyDescent="0.2">
      <c r="A413" t="s">
        <v>860</v>
      </c>
      <c r="B413" t="s">
        <v>861</v>
      </c>
      <c r="C413" t="s">
        <v>113</v>
      </c>
      <c r="D413" t="s">
        <v>318</v>
      </c>
      <c r="E413">
        <v>0</v>
      </c>
      <c r="F413">
        <v>0.1</v>
      </c>
      <c r="G413">
        <v>0</v>
      </c>
      <c r="T413" t="s">
        <v>947</v>
      </c>
      <c r="U413" t="s">
        <v>1048</v>
      </c>
      <c r="V413" t="s">
        <v>1053</v>
      </c>
      <c r="W413">
        <v>250</v>
      </c>
    </row>
    <row r="414" spans="1:23" x14ac:dyDescent="0.2">
      <c r="A414" t="s">
        <v>858</v>
      </c>
      <c r="B414" t="s">
        <v>859</v>
      </c>
      <c r="C414" t="s">
        <v>94</v>
      </c>
      <c r="D414" t="s">
        <v>280</v>
      </c>
      <c r="E414">
        <v>1</v>
      </c>
      <c r="F414">
        <v>3.5</v>
      </c>
      <c r="G414">
        <v>3.5</v>
      </c>
      <c r="T414" t="s">
        <v>947</v>
      </c>
      <c r="U414" t="s">
        <v>1049</v>
      </c>
      <c r="V414" t="s">
        <v>1054</v>
      </c>
      <c r="W414">
        <v>750</v>
      </c>
    </row>
    <row r="415" spans="1:23" x14ac:dyDescent="0.2">
      <c r="A415" t="s">
        <v>858</v>
      </c>
      <c r="B415" t="s">
        <v>859</v>
      </c>
      <c r="C415" t="s">
        <v>95</v>
      </c>
      <c r="D415" t="s">
        <v>281</v>
      </c>
      <c r="E415">
        <v>2</v>
      </c>
      <c r="F415">
        <v>2</v>
      </c>
      <c r="G415">
        <v>4</v>
      </c>
      <c r="T415" t="s">
        <v>947</v>
      </c>
      <c r="U415" t="s">
        <v>1050</v>
      </c>
      <c r="V415" t="s">
        <v>1055</v>
      </c>
      <c r="W415">
        <v>0</v>
      </c>
    </row>
    <row r="416" spans="1:23" x14ac:dyDescent="0.2">
      <c r="A416" t="s">
        <v>858</v>
      </c>
      <c r="B416" t="s">
        <v>859</v>
      </c>
      <c r="C416" t="s">
        <v>52</v>
      </c>
      <c r="D416" t="s">
        <v>321</v>
      </c>
      <c r="E416">
        <v>0</v>
      </c>
      <c r="F416">
        <v>120</v>
      </c>
      <c r="G416">
        <v>0</v>
      </c>
      <c r="T416" t="s">
        <v>949</v>
      </c>
      <c r="U416" t="s">
        <v>1042</v>
      </c>
      <c r="V416" t="s">
        <v>401</v>
      </c>
      <c r="W416">
        <v>50</v>
      </c>
    </row>
    <row r="417" spans="1:23" x14ac:dyDescent="0.2">
      <c r="A417" t="s">
        <v>858</v>
      </c>
      <c r="B417" t="s">
        <v>859</v>
      </c>
      <c r="C417" t="s">
        <v>81</v>
      </c>
      <c r="D417" t="s">
        <v>322</v>
      </c>
      <c r="E417">
        <v>0</v>
      </c>
      <c r="F417">
        <v>380</v>
      </c>
      <c r="G417">
        <v>0</v>
      </c>
      <c r="T417" t="s">
        <v>949</v>
      </c>
      <c r="U417" t="s">
        <v>1043</v>
      </c>
      <c r="V417" t="s">
        <v>272</v>
      </c>
      <c r="W417">
        <v>1</v>
      </c>
    </row>
    <row r="418" spans="1:23" x14ac:dyDescent="0.2">
      <c r="A418" t="s">
        <v>858</v>
      </c>
      <c r="B418" t="s">
        <v>859</v>
      </c>
      <c r="C418" t="s">
        <v>587</v>
      </c>
      <c r="D418" t="s">
        <v>588</v>
      </c>
      <c r="E418">
        <v>2</v>
      </c>
      <c r="F418">
        <v>3.2</v>
      </c>
      <c r="G418">
        <v>6.4</v>
      </c>
      <c r="T418" t="s">
        <v>949</v>
      </c>
      <c r="U418" t="s">
        <v>1044</v>
      </c>
      <c r="V418" t="s">
        <v>405</v>
      </c>
      <c r="W418">
        <v>100</v>
      </c>
    </row>
    <row r="419" spans="1:23" x14ac:dyDescent="0.2">
      <c r="A419" t="s">
        <v>858</v>
      </c>
      <c r="B419" t="s">
        <v>859</v>
      </c>
      <c r="C419" t="s">
        <v>29</v>
      </c>
      <c r="D419" t="s">
        <v>292</v>
      </c>
      <c r="E419">
        <v>0.85</v>
      </c>
      <c r="F419">
        <v>27</v>
      </c>
      <c r="G419">
        <v>22.95</v>
      </c>
      <c r="T419" t="s">
        <v>949</v>
      </c>
      <c r="U419" t="s">
        <v>1045</v>
      </c>
      <c r="V419" t="s">
        <v>402</v>
      </c>
      <c r="W419">
        <v>60</v>
      </c>
    </row>
    <row r="420" spans="1:23" x14ac:dyDescent="0.2">
      <c r="A420" t="s">
        <v>858</v>
      </c>
      <c r="B420" t="s">
        <v>859</v>
      </c>
      <c r="C420" t="s">
        <v>30</v>
      </c>
      <c r="D420" t="s">
        <v>332</v>
      </c>
      <c r="E420">
        <v>2</v>
      </c>
      <c r="F420">
        <v>6</v>
      </c>
      <c r="G420">
        <v>12</v>
      </c>
      <c r="T420" t="s">
        <v>949</v>
      </c>
      <c r="U420" t="s">
        <v>1046</v>
      </c>
      <c r="V420" t="s">
        <v>1051</v>
      </c>
      <c r="W420">
        <v>70</v>
      </c>
    </row>
    <row r="421" spans="1:23" x14ac:dyDescent="0.2">
      <c r="A421" t="s">
        <v>858</v>
      </c>
      <c r="B421" t="s">
        <v>859</v>
      </c>
      <c r="C421" t="s">
        <v>590</v>
      </c>
      <c r="D421" t="s">
        <v>591</v>
      </c>
      <c r="E421">
        <v>1</v>
      </c>
      <c r="F421">
        <v>2.8</v>
      </c>
      <c r="G421">
        <v>2.8</v>
      </c>
      <c r="T421" t="s">
        <v>949</v>
      </c>
      <c r="U421" t="s">
        <v>1047</v>
      </c>
      <c r="V421" t="s">
        <v>1052</v>
      </c>
      <c r="W421">
        <v>70</v>
      </c>
    </row>
    <row r="422" spans="1:23" x14ac:dyDescent="0.2">
      <c r="A422" t="s">
        <v>858</v>
      </c>
      <c r="B422" t="s">
        <v>859</v>
      </c>
      <c r="C422" t="s">
        <v>606</v>
      </c>
      <c r="D422" t="s">
        <v>607</v>
      </c>
      <c r="E422">
        <v>1</v>
      </c>
      <c r="F422">
        <v>13</v>
      </c>
      <c r="G422">
        <v>13</v>
      </c>
      <c r="T422" t="s">
        <v>949</v>
      </c>
      <c r="U422" t="s">
        <v>1048</v>
      </c>
      <c r="V422" t="s">
        <v>1053</v>
      </c>
      <c r="W422">
        <v>250</v>
      </c>
    </row>
    <row r="423" spans="1:23" x14ac:dyDescent="0.2">
      <c r="A423" t="s">
        <v>858</v>
      </c>
      <c r="B423" t="s">
        <v>859</v>
      </c>
      <c r="C423" t="s">
        <v>628</v>
      </c>
      <c r="D423" t="s">
        <v>629</v>
      </c>
      <c r="E423">
        <v>1</v>
      </c>
      <c r="F423">
        <v>102.5</v>
      </c>
      <c r="G423">
        <v>102.5</v>
      </c>
      <c r="T423" t="s">
        <v>949</v>
      </c>
      <c r="U423" t="s">
        <v>1049</v>
      </c>
      <c r="V423" t="s">
        <v>1054</v>
      </c>
      <c r="W423">
        <v>750</v>
      </c>
    </row>
    <row r="424" spans="1:23" x14ac:dyDescent="0.2">
      <c r="A424" t="s">
        <v>858</v>
      </c>
      <c r="B424" t="s">
        <v>859</v>
      </c>
      <c r="C424" t="s">
        <v>121</v>
      </c>
      <c r="D424" t="s">
        <v>301</v>
      </c>
      <c r="E424">
        <v>1</v>
      </c>
      <c r="F424">
        <v>0.95</v>
      </c>
      <c r="G424">
        <v>0.95</v>
      </c>
      <c r="T424" t="s">
        <v>949</v>
      </c>
      <c r="U424" t="s">
        <v>1050</v>
      </c>
      <c r="V424" t="s">
        <v>1055</v>
      </c>
      <c r="W424">
        <v>0</v>
      </c>
    </row>
    <row r="425" spans="1:23" x14ac:dyDescent="0.2">
      <c r="A425" t="s">
        <v>858</v>
      </c>
      <c r="B425" t="s">
        <v>859</v>
      </c>
      <c r="C425" t="s">
        <v>122</v>
      </c>
      <c r="D425" t="s">
        <v>302</v>
      </c>
      <c r="E425">
        <v>1</v>
      </c>
      <c r="F425">
        <v>4.2</v>
      </c>
      <c r="G425">
        <v>4.2</v>
      </c>
      <c r="T425" t="s">
        <v>951</v>
      </c>
      <c r="U425" t="s">
        <v>1042</v>
      </c>
      <c r="V425" t="s">
        <v>401</v>
      </c>
      <c r="W425">
        <v>50</v>
      </c>
    </row>
    <row r="426" spans="1:23" x14ac:dyDescent="0.2">
      <c r="A426" t="s">
        <v>858</v>
      </c>
      <c r="B426" t="s">
        <v>859</v>
      </c>
      <c r="C426" t="s">
        <v>2</v>
      </c>
      <c r="D426" t="s">
        <v>303</v>
      </c>
      <c r="E426">
        <v>0.8</v>
      </c>
      <c r="F426">
        <v>5.0999999999999996</v>
      </c>
      <c r="G426">
        <v>4.08</v>
      </c>
      <c r="T426" t="s">
        <v>951</v>
      </c>
      <c r="U426" t="s">
        <v>1043</v>
      </c>
      <c r="V426" t="s">
        <v>272</v>
      </c>
      <c r="W426">
        <v>1</v>
      </c>
    </row>
    <row r="427" spans="1:23" x14ac:dyDescent="0.2">
      <c r="A427" t="s">
        <v>858</v>
      </c>
      <c r="B427" t="s">
        <v>859</v>
      </c>
      <c r="C427" t="s">
        <v>6</v>
      </c>
      <c r="D427" t="s">
        <v>306</v>
      </c>
      <c r="E427">
        <v>1.6</v>
      </c>
      <c r="F427">
        <v>16.8</v>
      </c>
      <c r="G427">
        <v>26.88</v>
      </c>
      <c r="T427" t="s">
        <v>951</v>
      </c>
      <c r="U427" t="s">
        <v>1044</v>
      </c>
      <c r="V427" t="s">
        <v>405</v>
      </c>
      <c r="W427">
        <v>100</v>
      </c>
    </row>
    <row r="428" spans="1:23" x14ac:dyDescent="0.2">
      <c r="A428" t="s">
        <v>858</v>
      </c>
      <c r="B428" t="s">
        <v>859</v>
      </c>
      <c r="C428" t="s">
        <v>7</v>
      </c>
      <c r="D428" t="s">
        <v>307</v>
      </c>
      <c r="E428">
        <v>0.1</v>
      </c>
      <c r="F428">
        <v>6.7</v>
      </c>
      <c r="G428">
        <v>0.67</v>
      </c>
      <c r="T428" t="s">
        <v>951</v>
      </c>
      <c r="U428" t="s">
        <v>1045</v>
      </c>
      <c r="V428" t="s">
        <v>402</v>
      </c>
      <c r="W428">
        <v>60</v>
      </c>
    </row>
    <row r="429" spans="1:23" x14ac:dyDescent="0.2">
      <c r="A429" t="s">
        <v>858</v>
      </c>
      <c r="B429" t="s">
        <v>859</v>
      </c>
      <c r="C429" t="s">
        <v>13</v>
      </c>
      <c r="D429" t="s">
        <v>309</v>
      </c>
      <c r="E429">
        <v>0.45</v>
      </c>
      <c r="F429">
        <v>7</v>
      </c>
      <c r="G429">
        <v>3.15</v>
      </c>
      <c r="T429" t="s">
        <v>951</v>
      </c>
      <c r="U429" t="s">
        <v>1046</v>
      </c>
      <c r="V429" t="s">
        <v>1051</v>
      </c>
      <c r="W429">
        <v>70</v>
      </c>
    </row>
    <row r="430" spans="1:23" x14ac:dyDescent="0.2">
      <c r="A430" t="s">
        <v>858</v>
      </c>
      <c r="B430" t="s">
        <v>859</v>
      </c>
      <c r="C430" t="s">
        <v>814</v>
      </c>
      <c r="D430" t="s">
        <v>815</v>
      </c>
      <c r="E430">
        <v>0.64</v>
      </c>
      <c r="F430">
        <v>0</v>
      </c>
      <c r="G430">
        <v>0</v>
      </c>
      <c r="T430" t="s">
        <v>951</v>
      </c>
      <c r="U430" t="s">
        <v>1047</v>
      </c>
      <c r="V430" t="s">
        <v>1052</v>
      </c>
      <c r="W430">
        <v>70</v>
      </c>
    </row>
    <row r="431" spans="1:23" x14ac:dyDescent="0.2">
      <c r="A431" t="s">
        <v>858</v>
      </c>
      <c r="B431" t="s">
        <v>859</v>
      </c>
      <c r="C431" t="s">
        <v>105</v>
      </c>
      <c r="D431" t="s">
        <v>313</v>
      </c>
      <c r="E431">
        <v>0</v>
      </c>
      <c r="F431">
        <v>0.1</v>
      </c>
      <c r="G431">
        <v>0</v>
      </c>
      <c r="T431" t="s">
        <v>951</v>
      </c>
      <c r="U431" t="s">
        <v>1048</v>
      </c>
      <c r="V431" t="s">
        <v>1053</v>
      </c>
      <c r="W431">
        <v>250</v>
      </c>
    </row>
    <row r="432" spans="1:23" x14ac:dyDescent="0.2">
      <c r="A432" t="s">
        <v>858</v>
      </c>
      <c r="B432" t="s">
        <v>859</v>
      </c>
      <c r="C432" t="s">
        <v>108</v>
      </c>
      <c r="D432" t="s">
        <v>323</v>
      </c>
      <c r="E432">
        <v>0</v>
      </c>
      <c r="F432">
        <v>0.1</v>
      </c>
      <c r="G432">
        <v>0</v>
      </c>
      <c r="T432" t="s">
        <v>951</v>
      </c>
      <c r="U432" t="s">
        <v>1049</v>
      </c>
      <c r="V432" t="s">
        <v>1054</v>
      </c>
      <c r="W432">
        <v>750</v>
      </c>
    </row>
    <row r="433" spans="1:23" x14ac:dyDescent="0.2">
      <c r="A433" t="s">
        <v>956</v>
      </c>
      <c r="B433" t="s">
        <v>219</v>
      </c>
      <c r="C433" t="s">
        <v>95</v>
      </c>
      <c r="D433" t="s">
        <v>281</v>
      </c>
      <c r="E433">
        <v>2</v>
      </c>
      <c r="F433">
        <v>2</v>
      </c>
      <c r="G433">
        <v>4</v>
      </c>
      <c r="T433" t="s">
        <v>951</v>
      </c>
      <c r="U433" t="s">
        <v>1050</v>
      </c>
      <c r="V433" t="s">
        <v>1055</v>
      </c>
      <c r="W433">
        <v>0</v>
      </c>
    </row>
    <row r="434" spans="1:23" x14ac:dyDescent="0.2">
      <c r="A434" t="s">
        <v>956</v>
      </c>
      <c r="B434" t="s">
        <v>219</v>
      </c>
      <c r="C434" t="s">
        <v>44</v>
      </c>
      <c r="D434" t="s">
        <v>324</v>
      </c>
      <c r="E434">
        <v>0.3</v>
      </c>
      <c r="F434">
        <v>65</v>
      </c>
      <c r="G434">
        <v>19.5</v>
      </c>
      <c r="T434" t="s">
        <v>953</v>
      </c>
      <c r="U434" t="s">
        <v>1042</v>
      </c>
      <c r="V434" t="s">
        <v>401</v>
      </c>
      <c r="W434">
        <v>50</v>
      </c>
    </row>
    <row r="435" spans="1:23" x14ac:dyDescent="0.2">
      <c r="A435" t="s">
        <v>956</v>
      </c>
      <c r="B435" t="s">
        <v>219</v>
      </c>
      <c r="C435" t="s">
        <v>53</v>
      </c>
      <c r="D435" t="s">
        <v>325</v>
      </c>
      <c r="E435">
        <v>1.1499999999999999</v>
      </c>
      <c r="F435">
        <v>120</v>
      </c>
      <c r="G435">
        <v>138</v>
      </c>
      <c r="T435" t="s">
        <v>953</v>
      </c>
      <c r="U435" t="s">
        <v>1043</v>
      </c>
      <c r="V435" t="s">
        <v>272</v>
      </c>
      <c r="W435">
        <v>1</v>
      </c>
    </row>
    <row r="436" spans="1:23" x14ac:dyDescent="0.2">
      <c r="A436" t="s">
        <v>956</v>
      </c>
      <c r="B436" t="s">
        <v>219</v>
      </c>
      <c r="C436" t="s">
        <v>60</v>
      </c>
      <c r="D436" t="s">
        <v>337</v>
      </c>
      <c r="E436">
        <v>0.2</v>
      </c>
      <c r="F436">
        <v>130</v>
      </c>
      <c r="G436">
        <v>26</v>
      </c>
      <c r="T436" t="s">
        <v>953</v>
      </c>
      <c r="U436" t="s">
        <v>1044</v>
      </c>
      <c r="V436" t="s">
        <v>405</v>
      </c>
      <c r="W436">
        <v>100</v>
      </c>
    </row>
    <row r="437" spans="1:23" x14ac:dyDescent="0.2">
      <c r="A437" t="s">
        <v>956</v>
      </c>
      <c r="B437" t="s">
        <v>219</v>
      </c>
      <c r="C437" t="s">
        <v>69</v>
      </c>
      <c r="D437" t="s">
        <v>288</v>
      </c>
      <c r="E437">
        <v>0.19</v>
      </c>
      <c r="F437">
        <v>190</v>
      </c>
      <c r="G437">
        <v>36.1</v>
      </c>
      <c r="T437" t="s">
        <v>953</v>
      </c>
      <c r="U437" t="s">
        <v>1045</v>
      </c>
      <c r="V437" t="s">
        <v>402</v>
      </c>
      <c r="W437">
        <v>60</v>
      </c>
    </row>
    <row r="438" spans="1:23" x14ac:dyDescent="0.2">
      <c r="A438" t="s">
        <v>956</v>
      </c>
      <c r="B438" t="s">
        <v>219</v>
      </c>
      <c r="C438" t="s">
        <v>84</v>
      </c>
      <c r="D438" t="s">
        <v>346</v>
      </c>
      <c r="E438">
        <v>0.55000000000000004</v>
      </c>
      <c r="F438">
        <v>190</v>
      </c>
      <c r="G438">
        <v>104.5</v>
      </c>
      <c r="T438" t="s">
        <v>953</v>
      </c>
      <c r="U438" t="s">
        <v>1046</v>
      </c>
      <c r="V438" t="s">
        <v>1051</v>
      </c>
      <c r="W438">
        <v>70</v>
      </c>
    </row>
    <row r="439" spans="1:23" x14ac:dyDescent="0.2">
      <c r="A439" t="s">
        <v>956</v>
      </c>
      <c r="B439" t="s">
        <v>219</v>
      </c>
      <c r="C439" t="s">
        <v>93</v>
      </c>
      <c r="D439" t="s">
        <v>327</v>
      </c>
      <c r="E439">
        <v>0.15</v>
      </c>
      <c r="F439">
        <v>70</v>
      </c>
      <c r="G439">
        <v>10.5</v>
      </c>
      <c r="T439" t="s">
        <v>953</v>
      </c>
      <c r="U439" t="s">
        <v>1047</v>
      </c>
      <c r="V439" t="s">
        <v>1052</v>
      </c>
      <c r="W439">
        <v>70</v>
      </c>
    </row>
    <row r="440" spans="1:23" x14ac:dyDescent="0.2">
      <c r="A440" t="s">
        <v>956</v>
      </c>
      <c r="B440" t="s">
        <v>219</v>
      </c>
      <c r="C440" t="s">
        <v>47</v>
      </c>
      <c r="D440" t="s">
        <v>328</v>
      </c>
      <c r="E440">
        <v>0.08</v>
      </c>
      <c r="F440">
        <v>235</v>
      </c>
      <c r="G440">
        <v>18.8</v>
      </c>
      <c r="T440" t="s">
        <v>953</v>
      </c>
      <c r="U440" t="s">
        <v>1048</v>
      </c>
      <c r="V440" t="s">
        <v>1053</v>
      </c>
      <c r="W440">
        <v>250</v>
      </c>
    </row>
    <row r="441" spans="1:23" x14ac:dyDescent="0.2">
      <c r="A441" t="s">
        <v>956</v>
      </c>
      <c r="B441" t="s">
        <v>219</v>
      </c>
      <c r="C441" t="s">
        <v>49</v>
      </c>
      <c r="D441" t="s">
        <v>290</v>
      </c>
      <c r="E441">
        <v>7.4999999999999997E-2</v>
      </c>
      <c r="F441">
        <v>248</v>
      </c>
      <c r="G441">
        <v>18.600000000000001</v>
      </c>
      <c r="T441" t="s">
        <v>953</v>
      </c>
      <c r="U441" t="s">
        <v>1049</v>
      </c>
      <c r="V441" t="s">
        <v>1054</v>
      </c>
      <c r="W441">
        <v>750</v>
      </c>
    </row>
    <row r="442" spans="1:23" x14ac:dyDescent="0.2">
      <c r="A442" t="s">
        <v>956</v>
      </c>
      <c r="B442" t="s">
        <v>219</v>
      </c>
      <c r="C442" t="s">
        <v>19</v>
      </c>
      <c r="D442" t="s">
        <v>329</v>
      </c>
      <c r="E442">
        <v>2</v>
      </c>
      <c r="F442">
        <v>2.9</v>
      </c>
      <c r="G442">
        <v>5.8</v>
      </c>
      <c r="T442" t="s">
        <v>953</v>
      </c>
      <c r="U442" t="s">
        <v>1050</v>
      </c>
      <c r="V442" t="s">
        <v>1055</v>
      </c>
      <c r="W442">
        <v>0</v>
      </c>
    </row>
    <row r="443" spans="1:23" x14ac:dyDescent="0.2">
      <c r="A443" t="s">
        <v>956</v>
      </c>
      <c r="B443" t="s">
        <v>219</v>
      </c>
      <c r="C443" t="s">
        <v>20</v>
      </c>
      <c r="D443" t="s">
        <v>330</v>
      </c>
      <c r="E443">
        <v>2</v>
      </c>
      <c r="F443">
        <v>2.9</v>
      </c>
      <c r="G443">
        <v>5.8</v>
      </c>
      <c r="T443" t="s">
        <v>955</v>
      </c>
      <c r="U443" t="s">
        <v>1042</v>
      </c>
      <c r="V443" t="s">
        <v>401</v>
      </c>
      <c r="W443">
        <v>50</v>
      </c>
    </row>
    <row r="444" spans="1:23" x14ac:dyDescent="0.2">
      <c r="A444" t="s">
        <v>956</v>
      </c>
      <c r="B444" t="s">
        <v>219</v>
      </c>
      <c r="C444" t="s">
        <v>22</v>
      </c>
      <c r="D444" t="s">
        <v>331</v>
      </c>
      <c r="E444">
        <v>2</v>
      </c>
      <c r="F444">
        <v>2.5</v>
      </c>
      <c r="G444">
        <v>5</v>
      </c>
      <c r="T444" t="s">
        <v>955</v>
      </c>
      <c r="U444" t="s">
        <v>1043</v>
      </c>
      <c r="V444" t="s">
        <v>272</v>
      </c>
      <c r="W444">
        <v>1</v>
      </c>
    </row>
    <row r="445" spans="1:23" x14ac:dyDescent="0.2">
      <c r="A445" t="s">
        <v>956</v>
      </c>
      <c r="B445" t="s">
        <v>219</v>
      </c>
      <c r="C445" t="s">
        <v>29</v>
      </c>
      <c r="D445" t="s">
        <v>292</v>
      </c>
      <c r="E445">
        <v>1.3</v>
      </c>
      <c r="F445">
        <v>27</v>
      </c>
      <c r="G445">
        <v>35.1</v>
      </c>
      <c r="T445" t="s">
        <v>955</v>
      </c>
      <c r="U445" t="s">
        <v>1044</v>
      </c>
      <c r="V445" t="s">
        <v>405</v>
      </c>
      <c r="W445">
        <v>100</v>
      </c>
    </row>
    <row r="446" spans="1:23" x14ac:dyDescent="0.2">
      <c r="A446" t="s">
        <v>956</v>
      </c>
      <c r="B446" t="s">
        <v>219</v>
      </c>
      <c r="C446" t="s">
        <v>30</v>
      </c>
      <c r="D446" t="s">
        <v>332</v>
      </c>
      <c r="E446">
        <v>3</v>
      </c>
      <c r="F446">
        <v>6</v>
      </c>
      <c r="G446">
        <v>18</v>
      </c>
      <c r="T446" t="s">
        <v>955</v>
      </c>
      <c r="U446" t="s">
        <v>1045</v>
      </c>
      <c r="V446" t="s">
        <v>402</v>
      </c>
      <c r="W446">
        <v>60</v>
      </c>
    </row>
    <row r="447" spans="1:23" x14ac:dyDescent="0.2">
      <c r="A447" t="s">
        <v>956</v>
      </c>
      <c r="B447" t="s">
        <v>219</v>
      </c>
      <c r="C447" t="s">
        <v>101</v>
      </c>
      <c r="D447" t="s">
        <v>333</v>
      </c>
      <c r="E447">
        <v>0.35</v>
      </c>
      <c r="F447">
        <v>1200</v>
      </c>
      <c r="G447">
        <v>420</v>
      </c>
      <c r="T447" t="s">
        <v>955</v>
      </c>
      <c r="U447" t="s">
        <v>1046</v>
      </c>
      <c r="V447" t="s">
        <v>1051</v>
      </c>
      <c r="W447">
        <v>70</v>
      </c>
    </row>
    <row r="448" spans="1:23" x14ac:dyDescent="0.2">
      <c r="A448" t="s">
        <v>956</v>
      </c>
      <c r="B448" t="s">
        <v>219</v>
      </c>
      <c r="C448" t="s">
        <v>121</v>
      </c>
      <c r="D448" t="s">
        <v>301</v>
      </c>
      <c r="E448">
        <v>1</v>
      </c>
      <c r="F448">
        <v>0.95</v>
      </c>
      <c r="G448">
        <v>0.95</v>
      </c>
      <c r="T448" t="s">
        <v>955</v>
      </c>
      <c r="U448" t="s">
        <v>1047</v>
      </c>
      <c r="V448" t="s">
        <v>1052</v>
      </c>
      <c r="W448">
        <v>70</v>
      </c>
    </row>
    <row r="449" spans="1:23" x14ac:dyDescent="0.2">
      <c r="A449" t="s">
        <v>956</v>
      </c>
      <c r="B449" t="s">
        <v>219</v>
      </c>
      <c r="C449" t="s">
        <v>122</v>
      </c>
      <c r="D449" t="s">
        <v>302</v>
      </c>
      <c r="E449">
        <v>1</v>
      </c>
      <c r="F449">
        <v>4.2</v>
      </c>
      <c r="G449">
        <v>4.2</v>
      </c>
      <c r="T449" t="s">
        <v>955</v>
      </c>
      <c r="U449" t="s">
        <v>1048</v>
      </c>
      <c r="V449" t="s">
        <v>1053</v>
      </c>
      <c r="W449">
        <v>250</v>
      </c>
    </row>
    <row r="450" spans="1:23" x14ac:dyDescent="0.2">
      <c r="A450" t="s">
        <v>956</v>
      </c>
      <c r="B450" t="s">
        <v>219</v>
      </c>
      <c r="C450" t="s">
        <v>4</v>
      </c>
      <c r="D450" t="s">
        <v>304</v>
      </c>
      <c r="E450">
        <v>2.4</v>
      </c>
      <c r="F450">
        <v>10.1</v>
      </c>
      <c r="G450">
        <v>24.24</v>
      </c>
      <c r="T450" t="s">
        <v>955</v>
      </c>
      <c r="U450" t="s">
        <v>1049</v>
      </c>
      <c r="V450" t="s">
        <v>1054</v>
      </c>
      <c r="W450">
        <v>750</v>
      </c>
    </row>
    <row r="451" spans="1:23" x14ac:dyDescent="0.2">
      <c r="A451" t="s">
        <v>956</v>
      </c>
      <c r="B451" t="s">
        <v>219</v>
      </c>
      <c r="C451" t="s">
        <v>105</v>
      </c>
      <c r="D451" t="s">
        <v>313</v>
      </c>
      <c r="E451">
        <v>200</v>
      </c>
      <c r="F451">
        <v>0.1</v>
      </c>
      <c r="G451">
        <v>20</v>
      </c>
      <c r="T451" t="s">
        <v>955</v>
      </c>
      <c r="U451" t="s">
        <v>1050</v>
      </c>
      <c r="V451" t="s">
        <v>1055</v>
      </c>
      <c r="W451">
        <v>0</v>
      </c>
    </row>
    <row r="452" spans="1:23" x14ac:dyDescent="0.2">
      <c r="A452" t="s">
        <v>956</v>
      </c>
      <c r="B452" t="s">
        <v>219</v>
      </c>
      <c r="C452" t="s">
        <v>107</v>
      </c>
      <c r="D452" t="s">
        <v>316</v>
      </c>
      <c r="E452">
        <v>50</v>
      </c>
      <c r="F452">
        <v>0.1</v>
      </c>
      <c r="G452">
        <v>5</v>
      </c>
      <c r="T452" t="s">
        <v>219</v>
      </c>
      <c r="U452" t="s">
        <v>1042</v>
      </c>
      <c r="V452" t="s">
        <v>401</v>
      </c>
      <c r="W452">
        <v>50</v>
      </c>
    </row>
    <row r="453" spans="1:23" x14ac:dyDescent="0.2">
      <c r="A453" t="s">
        <v>957</v>
      </c>
      <c r="B453" t="s">
        <v>223</v>
      </c>
      <c r="C453" t="s">
        <v>95</v>
      </c>
      <c r="D453" t="s">
        <v>281</v>
      </c>
      <c r="E453">
        <v>2</v>
      </c>
      <c r="F453">
        <v>2</v>
      </c>
      <c r="G453">
        <v>4</v>
      </c>
      <c r="T453" t="s">
        <v>219</v>
      </c>
      <c r="U453" t="s">
        <v>1043</v>
      </c>
      <c r="V453" t="s">
        <v>272</v>
      </c>
      <c r="W453">
        <v>450</v>
      </c>
    </row>
    <row r="454" spans="1:23" x14ac:dyDescent="0.2">
      <c r="A454" t="s">
        <v>957</v>
      </c>
      <c r="B454" t="s">
        <v>223</v>
      </c>
      <c r="C454" t="s">
        <v>44</v>
      </c>
      <c r="D454" t="s">
        <v>324</v>
      </c>
      <c r="E454">
        <v>0.3</v>
      </c>
      <c r="F454">
        <v>65</v>
      </c>
      <c r="G454">
        <v>19.5</v>
      </c>
      <c r="T454" t="s">
        <v>219</v>
      </c>
      <c r="U454" t="s">
        <v>1044</v>
      </c>
      <c r="V454" t="s">
        <v>405</v>
      </c>
      <c r="W454">
        <v>100</v>
      </c>
    </row>
    <row r="455" spans="1:23" x14ac:dyDescent="0.2">
      <c r="A455" t="s">
        <v>957</v>
      </c>
      <c r="B455" t="s">
        <v>223</v>
      </c>
      <c r="C455" t="s">
        <v>53</v>
      </c>
      <c r="D455" t="s">
        <v>325</v>
      </c>
      <c r="E455">
        <v>1.1499999999999999</v>
      </c>
      <c r="F455">
        <v>120</v>
      </c>
      <c r="G455">
        <v>138</v>
      </c>
      <c r="T455" t="s">
        <v>219</v>
      </c>
      <c r="U455" t="s">
        <v>1045</v>
      </c>
      <c r="V455" t="s">
        <v>402</v>
      </c>
      <c r="W455">
        <v>60</v>
      </c>
    </row>
    <row r="456" spans="1:23" x14ac:dyDescent="0.2">
      <c r="A456" t="s">
        <v>957</v>
      </c>
      <c r="B456" t="s">
        <v>223</v>
      </c>
      <c r="C456" t="s">
        <v>60</v>
      </c>
      <c r="D456" t="s">
        <v>337</v>
      </c>
      <c r="E456">
        <v>0.2</v>
      </c>
      <c r="F456">
        <v>130</v>
      </c>
      <c r="G456">
        <v>26</v>
      </c>
      <c r="T456" t="s">
        <v>219</v>
      </c>
      <c r="U456" t="s">
        <v>1046</v>
      </c>
      <c r="V456" t="s">
        <v>1051</v>
      </c>
      <c r="W456">
        <v>70</v>
      </c>
    </row>
    <row r="457" spans="1:23" x14ac:dyDescent="0.2">
      <c r="A457" t="s">
        <v>957</v>
      </c>
      <c r="B457" t="s">
        <v>223</v>
      </c>
      <c r="C457" t="s">
        <v>61</v>
      </c>
      <c r="D457" t="s">
        <v>341</v>
      </c>
      <c r="E457">
        <v>0.25</v>
      </c>
      <c r="F457">
        <v>190</v>
      </c>
      <c r="G457">
        <v>47.5</v>
      </c>
      <c r="T457" t="s">
        <v>219</v>
      </c>
      <c r="U457" t="s">
        <v>1047</v>
      </c>
      <c r="V457" t="s">
        <v>1052</v>
      </c>
      <c r="W457">
        <v>70</v>
      </c>
    </row>
    <row r="458" spans="1:23" x14ac:dyDescent="0.2">
      <c r="A458" t="s">
        <v>957</v>
      </c>
      <c r="B458" t="s">
        <v>223</v>
      </c>
      <c r="C458" t="s">
        <v>69</v>
      </c>
      <c r="D458" t="s">
        <v>288</v>
      </c>
      <c r="E458">
        <v>0.19</v>
      </c>
      <c r="F458">
        <v>190</v>
      </c>
      <c r="G458">
        <v>36.1</v>
      </c>
      <c r="T458" t="s">
        <v>219</v>
      </c>
      <c r="U458" t="s">
        <v>1048</v>
      </c>
      <c r="V458" t="s">
        <v>1053</v>
      </c>
      <c r="W458">
        <v>250</v>
      </c>
    </row>
    <row r="459" spans="1:23" x14ac:dyDescent="0.2">
      <c r="A459" t="s">
        <v>957</v>
      </c>
      <c r="B459" t="s">
        <v>223</v>
      </c>
      <c r="C459" t="s">
        <v>70</v>
      </c>
      <c r="D459" t="s">
        <v>342</v>
      </c>
      <c r="E459">
        <v>0.75</v>
      </c>
      <c r="F459">
        <v>145</v>
      </c>
      <c r="G459">
        <v>108.75</v>
      </c>
      <c r="T459" t="s">
        <v>219</v>
      </c>
      <c r="U459" t="s">
        <v>1049</v>
      </c>
      <c r="V459" t="s">
        <v>1054</v>
      </c>
      <c r="W459">
        <v>750</v>
      </c>
    </row>
    <row r="460" spans="1:23" x14ac:dyDescent="0.2">
      <c r="A460" t="s">
        <v>957</v>
      </c>
      <c r="B460" t="s">
        <v>223</v>
      </c>
      <c r="C460" t="s">
        <v>93</v>
      </c>
      <c r="D460" t="s">
        <v>327</v>
      </c>
      <c r="E460">
        <v>0.125</v>
      </c>
      <c r="F460">
        <v>70</v>
      </c>
      <c r="G460">
        <v>8.75</v>
      </c>
      <c r="T460" t="s">
        <v>219</v>
      </c>
      <c r="U460" t="s">
        <v>1050</v>
      </c>
      <c r="V460" t="s">
        <v>1055</v>
      </c>
      <c r="W460">
        <v>0</v>
      </c>
    </row>
    <row r="461" spans="1:23" x14ac:dyDescent="0.2">
      <c r="A461" t="s">
        <v>957</v>
      </c>
      <c r="B461" t="s">
        <v>223</v>
      </c>
      <c r="C461" t="s">
        <v>47</v>
      </c>
      <c r="D461" t="s">
        <v>328</v>
      </c>
      <c r="E461">
        <v>0.08</v>
      </c>
      <c r="F461">
        <v>235</v>
      </c>
      <c r="G461">
        <v>18.8</v>
      </c>
      <c r="T461" t="s">
        <v>223</v>
      </c>
      <c r="U461" t="s">
        <v>1042</v>
      </c>
      <c r="V461" t="s">
        <v>401</v>
      </c>
      <c r="W461">
        <v>50</v>
      </c>
    </row>
    <row r="462" spans="1:23" x14ac:dyDescent="0.2">
      <c r="A462" t="s">
        <v>957</v>
      </c>
      <c r="B462" t="s">
        <v>223</v>
      </c>
      <c r="C462" t="s">
        <v>49</v>
      </c>
      <c r="D462" t="s">
        <v>290</v>
      </c>
      <c r="E462">
        <v>7.4999999999999997E-2</v>
      </c>
      <c r="F462">
        <v>248</v>
      </c>
      <c r="G462">
        <v>18.600000000000001</v>
      </c>
      <c r="T462" t="s">
        <v>223</v>
      </c>
      <c r="U462" t="s">
        <v>1043</v>
      </c>
      <c r="V462" t="s">
        <v>272</v>
      </c>
      <c r="W462">
        <v>450</v>
      </c>
    </row>
    <row r="463" spans="1:23" x14ac:dyDescent="0.2">
      <c r="A463" t="s">
        <v>957</v>
      </c>
      <c r="B463" t="s">
        <v>223</v>
      </c>
      <c r="C463" t="s">
        <v>19</v>
      </c>
      <c r="D463" t="s">
        <v>329</v>
      </c>
      <c r="E463">
        <v>2</v>
      </c>
      <c r="F463">
        <v>2.9</v>
      </c>
      <c r="G463">
        <v>5.8</v>
      </c>
      <c r="T463" t="s">
        <v>223</v>
      </c>
      <c r="U463" t="s">
        <v>1044</v>
      </c>
      <c r="V463" t="s">
        <v>405</v>
      </c>
      <c r="W463">
        <v>100</v>
      </c>
    </row>
    <row r="464" spans="1:23" x14ac:dyDescent="0.2">
      <c r="A464" t="s">
        <v>957</v>
      </c>
      <c r="B464" t="s">
        <v>223</v>
      </c>
      <c r="C464" t="s">
        <v>20</v>
      </c>
      <c r="D464" t="s">
        <v>330</v>
      </c>
      <c r="E464">
        <v>2</v>
      </c>
      <c r="F464">
        <v>2.9</v>
      </c>
      <c r="G464">
        <v>5.8</v>
      </c>
      <c r="T464" t="s">
        <v>223</v>
      </c>
      <c r="U464" t="s">
        <v>1045</v>
      </c>
      <c r="V464" t="s">
        <v>402</v>
      </c>
      <c r="W464">
        <v>60</v>
      </c>
    </row>
    <row r="465" spans="1:23" x14ac:dyDescent="0.2">
      <c r="A465" t="s">
        <v>957</v>
      </c>
      <c r="B465" t="s">
        <v>223</v>
      </c>
      <c r="C465" t="s">
        <v>22</v>
      </c>
      <c r="D465" t="s">
        <v>331</v>
      </c>
      <c r="E465">
        <v>2</v>
      </c>
      <c r="F465">
        <v>2.5</v>
      </c>
      <c r="G465">
        <v>5</v>
      </c>
      <c r="T465" t="s">
        <v>223</v>
      </c>
      <c r="U465" t="s">
        <v>1046</v>
      </c>
      <c r="V465" t="s">
        <v>1051</v>
      </c>
      <c r="W465">
        <v>70</v>
      </c>
    </row>
    <row r="466" spans="1:23" x14ac:dyDescent="0.2">
      <c r="A466" t="s">
        <v>957</v>
      </c>
      <c r="B466" t="s">
        <v>223</v>
      </c>
      <c r="C466" t="s">
        <v>29</v>
      </c>
      <c r="D466" t="s">
        <v>292</v>
      </c>
      <c r="E466">
        <v>1.2</v>
      </c>
      <c r="F466">
        <v>27</v>
      </c>
      <c r="G466">
        <v>32.4</v>
      </c>
      <c r="T466" t="s">
        <v>223</v>
      </c>
      <c r="U466" t="s">
        <v>1047</v>
      </c>
      <c r="V466" t="s">
        <v>1052</v>
      </c>
      <c r="W466">
        <v>70</v>
      </c>
    </row>
    <row r="467" spans="1:23" x14ac:dyDescent="0.2">
      <c r="A467" t="s">
        <v>957</v>
      </c>
      <c r="B467" t="s">
        <v>223</v>
      </c>
      <c r="C467" t="s">
        <v>30</v>
      </c>
      <c r="D467" t="s">
        <v>332</v>
      </c>
      <c r="E467">
        <v>3</v>
      </c>
      <c r="F467">
        <v>6</v>
      </c>
      <c r="G467">
        <v>18</v>
      </c>
      <c r="T467" t="s">
        <v>223</v>
      </c>
      <c r="U467" t="s">
        <v>1048</v>
      </c>
      <c r="V467" t="s">
        <v>1053</v>
      </c>
      <c r="W467">
        <v>250</v>
      </c>
    </row>
    <row r="468" spans="1:23" x14ac:dyDescent="0.2">
      <c r="A468" t="s">
        <v>957</v>
      </c>
      <c r="B468" t="s">
        <v>223</v>
      </c>
      <c r="C468" t="s">
        <v>101</v>
      </c>
      <c r="D468" t="s">
        <v>333</v>
      </c>
      <c r="E468">
        <v>1.4999999999999999E-2</v>
      </c>
      <c r="F468">
        <v>1200</v>
      </c>
      <c r="G468">
        <v>18</v>
      </c>
      <c r="T468" t="s">
        <v>223</v>
      </c>
      <c r="U468" t="s">
        <v>1049</v>
      </c>
      <c r="V468" t="s">
        <v>1054</v>
      </c>
      <c r="W468">
        <v>750</v>
      </c>
    </row>
    <row r="469" spans="1:23" x14ac:dyDescent="0.2">
      <c r="A469" t="s">
        <v>957</v>
      </c>
      <c r="B469" t="s">
        <v>223</v>
      </c>
      <c r="C469" t="s">
        <v>121</v>
      </c>
      <c r="D469" t="s">
        <v>301</v>
      </c>
      <c r="E469">
        <v>1</v>
      </c>
      <c r="F469">
        <v>0.95</v>
      </c>
      <c r="G469">
        <v>0.95</v>
      </c>
      <c r="T469" t="s">
        <v>223</v>
      </c>
      <c r="U469" t="s">
        <v>1050</v>
      </c>
      <c r="V469" t="s">
        <v>1055</v>
      </c>
      <c r="W469">
        <v>0</v>
      </c>
    </row>
    <row r="470" spans="1:23" x14ac:dyDescent="0.2">
      <c r="A470" t="s">
        <v>957</v>
      </c>
      <c r="B470" t="s">
        <v>223</v>
      </c>
      <c r="C470" t="s">
        <v>122</v>
      </c>
      <c r="D470" t="s">
        <v>302</v>
      </c>
      <c r="E470">
        <v>1</v>
      </c>
      <c r="F470">
        <v>4.2</v>
      </c>
      <c r="G470">
        <v>4.2</v>
      </c>
      <c r="T470" t="s">
        <v>224</v>
      </c>
      <c r="U470" t="s">
        <v>1042</v>
      </c>
      <c r="V470" t="s">
        <v>401</v>
      </c>
      <c r="W470">
        <v>50</v>
      </c>
    </row>
    <row r="471" spans="1:23" x14ac:dyDescent="0.2">
      <c r="A471" t="s">
        <v>957</v>
      </c>
      <c r="B471" t="s">
        <v>223</v>
      </c>
      <c r="C471" t="s">
        <v>4</v>
      </c>
      <c r="D471" t="s">
        <v>304</v>
      </c>
      <c r="E471">
        <v>2.4</v>
      </c>
      <c r="F471">
        <v>10.1</v>
      </c>
      <c r="G471">
        <v>24.24</v>
      </c>
      <c r="T471" t="s">
        <v>224</v>
      </c>
      <c r="U471" t="s">
        <v>1043</v>
      </c>
      <c r="V471" t="s">
        <v>272</v>
      </c>
      <c r="W471">
        <v>450</v>
      </c>
    </row>
    <row r="472" spans="1:23" x14ac:dyDescent="0.2">
      <c r="A472" t="s">
        <v>957</v>
      </c>
      <c r="B472" t="s">
        <v>223</v>
      </c>
      <c r="C472" t="s">
        <v>5</v>
      </c>
      <c r="D472" t="s">
        <v>305</v>
      </c>
      <c r="E472">
        <v>0.25</v>
      </c>
      <c r="F472">
        <v>11.5</v>
      </c>
      <c r="G472">
        <v>2.875</v>
      </c>
      <c r="T472" t="s">
        <v>224</v>
      </c>
      <c r="U472" t="s">
        <v>1044</v>
      </c>
      <c r="V472" t="s">
        <v>405</v>
      </c>
      <c r="W472">
        <v>100</v>
      </c>
    </row>
    <row r="473" spans="1:23" x14ac:dyDescent="0.2">
      <c r="A473" t="s">
        <v>957</v>
      </c>
      <c r="B473" t="s">
        <v>223</v>
      </c>
      <c r="C473" t="s">
        <v>105</v>
      </c>
      <c r="D473" t="s">
        <v>313</v>
      </c>
      <c r="E473">
        <v>200</v>
      </c>
      <c r="F473">
        <v>0.1</v>
      </c>
      <c r="G473">
        <v>20</v>
      </c>
      <c r="T473" t="s">
        <v>224</v>
      </c>
      <c r="U473" t="s">
        <v>1045</v>
      </c>
      <c r="V473" t="s">
        <v>402</v>
      </c>
      <c r="W473">
        <v>60</v>
      </c>
    </row>
    <row r="474" spans="1:23" x14ac:dyDescent="0.2">
      <c r="A474" t="s">
        <v>957</v>
      </c>
      <c r="B474" t="s">
        <v>223</v>
      </c>
      <c r="C474" t="s">
        <v>107</v>
      </c>
      <c r="D474" t="s">
        <v>316</v>
      </c>
      <c r="E474">
        <v>50</v>
      </c>
      <c r="F474">
        <v>0.1</v>
      </c>
      <c r="G474">
        <v>5</v>
      </c>
      <c r="T474" t="s">
        <v>224</v>
      </c>
      <c r="U474" t="s">
        <v>1046</v>
      </c>
      <c r="V474" t="s">
        <v>1051</v>
      </c>
      <c r="W474">
        <v>70</v>
      </c>
    </row>
    <row r="475" spans="1:23" x14ac:dyDescent="0.2">
      <c r="A475" t="s">
        <v>958</v>
      </c>
      <c r="B475" t="s">
        <v>224</v>
      </c>
      <c r="C475" t="s">
        <v>95</v>
      </c>
      <c r="D475" t="s">
        <v>281</v>
      </c>
      <c r="E475">
        <v>2</v>
      </c>
      <c r="F475">
        <v>2</v>
      </c>
      <c r="G475">
        <v>4</v>
      </c>
      <c r="T475" t="s">
        <v>224</v>
      </c>
      <c r="U475" t="s">
        <v>1047</v>
      </c>
      <c r="V475" t="s">
        <v>1052</v>
      </c>
      <c r="W475">
        <v>70</v>
      </c>
    </row>
    <row r="476" spans="1:23" x14ac:dyDescent="0.2">
      <c r="A476" t="s">
        <v>958</v>
      </c>
      <c r="B476" t="s">
        <v>224</v>
      </c>
      <c r="C476" t="s">
        <v>44</v>
      </c>
      <c r="D476" t="s">
        <v>324</v>
      </c>
      <c r="E476">
        <v>0.3</v>
      </c>
      <c r="F476">
        <v>65</v>
      </c>
      <c r="G476">
        <v>19.5</v>
      </c>
      <c r="T476" t="s">
        <v>224</v>
      </c>
      <c r="U476" t="s">
        <v>1048</v>
      </c>
      <c r="V476" t="s">
        <v>1053</v>
      </c>
      <c r="W476">
        <v>250</v>
      </c>
    </row>
    <row r="477" spans="1:23" x14ac:dyDescent="0.2">
      <c r="A477" t="s">
        <v>958</v>
      </c>
      <c r="B477" t="s">
        <v>224</v>
      </c>
      <c r="C477" t="s">
        <v>53</v>
      </c>
      <c r="D477" t="s">
        <v>325</v>
      </c>
      <c r="E477">
        <v>1.1499999999999999</v>
      </c>
      <c r="F477">
        <v>120</v>
      </c>
      <c r="G477">
        <v>138</v>
      </c>
      <c r="T477" t="s">
        <v>224</v>
      </c>
      <c r="U477" t="s">
        <v>1049</v>
      </c>
      <c r="V477" t="s">
        <v>1054</v>
      </c>
      <c r="W477">
        <v>750</v>
      </c>
    </row>
    <row r="478" spans="1:23" x14ac:dyDescent="0.2">
      <c r="A478" t="s">
        <v>958</v>
      </c>
      <c r="B478" t="s">
        <v>224</v>
      </c>
      <c r="C478" t="s">
        <v>60</v>
      </c>
      <c r="D478" t="s">
        <v>337</v>
      </c>
      <c r="E478">
        <v>0.2</v>
      </c>
      <c r="F478">
        <v>130</v>
      </c>
      <c r="G478">
        <v>26</v>
      </c>
      <c r="T478" t="s">
        <v>224</v>
      </c>
      <c r="U478" t="s">
        <v>1050</v>
      </c>
      <c r="V478" t="s">
        <v>1055</v>
      </c>
      <c r="W478">
        <v>0</v>
      </c>
    </row>
    <row r="479" spans="1:23" x14ac:dyDescent="0.2">
      <c r="A479" t="s">
        <v>958</v>
      </c>
      <c r="B479" t="s">
        <v>224</v>
      </c>
      <c r="C479" t="s">
        <v>61</v>
      </c>
      <c r="D479" t="s">
        <v>341</v>
      </c>
      <c r="E479">
        <v>0.25</v>
      </c>
      <c r="F479">
        <v>190</v>
      </c>
      <c r="G479">
        <v>47.5</v>
      </c>
      <c r="T479" t="s">
        <v>228</v>
      </c>
      <c r="U479" t="s">
        <v>1042</v>
      </c>
      <c r="V479" t="s">
        <v>401</v>
      </c>
      <c r="W479">
        <v>50</v>
      </c>
    </row>
    <row r="480" spans="1:23" x14ac:dyDescent="0.2">
      <c r="A480" t="s">
        <v>958</v>
      </c>
      <c r="B480" t="s">
        <v>224</v>
      </c>
      <c r="C480" t="s">
        <v>69</v>
      </c>
      <c r="D480" t="s">
        <v>288</v>
      </c>
      <c r="E480">
        <v>0.19</v>
      </c>
      <c r="F480">
        <v>190</v>
      </c>
      <c r="G480">
        <v>36.1</v>
      </c>
      <c r="T480" t="s">
        <v>228</v>
      </c>
      <c r="U480" t="s">
        <v>1043</v>
      </c>
      <c r="V480" t="s">
        <v>272</v>
      </c>
      <c r="W480">
        <v>450</v>
      </c>
    </row>
    <row r="481" spans="1:23" x14ac:dyDescent="0.2">
      <c r="A481" t="s">
        <v>958</v>
      </c>
      <c r="B481" t="s">
        <v>224</v>
      </c>
      <c r="C481" t="s">
        <v>544</v>
      </c>
      <c r="D481" t="s">
        <v>545</v>
      </c>
      <c r="E481">
        <v>0.75</v>
      </c>
      <c r="F481">
        <v>145</v>
      </c>
      <c r="G481">
        <v>108.75</v>
      </c>
      <c r="T481" t="s">
        <v>228</v>
      </c>
      <c r="U481" t="s">
        <v>1044</v>
      </c>
      <c r="V481" t="s">
        <v>405</v>
      </c>
      <c r="W481">
        <v>100</v>
      </c>
    </row>
    <row r="482" spans="1:23" x14ac:dyDescent="0.2">
      <c r="A482" t="s">
        <v>958</v>
      </c>
      <c r="B482" t="s">
        <v>224</v>
      </c>
      <c r="C482" t="s">
        <v>93</v>
      </c>
      <c r="D482" t="s">
        <v>327</v>
      </c>
      <c r="E482">
        <v>0.125</v>
      </c>
      <c r="F482">
        <v>70</v>
      </c>
      <c r="G482">
        <v>8.75</v>
      </c>
      <c r="T482" t="s">
        <v>228</v>
      </c>
      <c r="U482" t="s">
        <v>1045</v>
      </c>
      <c r="V482" t="s">
        <v>402</v>
      </c>
      <c r="W482">
        <v>60</v>
      </c>
    </row>
    <row r="483" spans="1:23" x14ac:dyDescent="0.2">
      <c r="A483" t="s">
        <v>958</v>
      </c>
      <c r="B483" t="s">
        <v>224</v>
      </c>
      <c r="C483" t="s">
        <v>47</v>
      </c>
      <c r="D483" t="s">
        <v>328</v>
      </c>
      <c r="E483">
        <v>0.08</v>
      </c>
      <c r="F483">
        <v>235</v>
      </c>
      <c r="G483">
        <v>18.8</v>
      </c>
      <c r="T483" t="s">
        <v>228</v>
      </c>
      <c r="U483" t="s">
        <v>1046</v>
      </c>
      <c r="V483" t="s">
        <v>1051</v>
      </c>
      <c r="W483">
        <v>70</v>
      </c>
    </row>
    <row r="484" spans="1:23" x14ac:dyDescent="0.2">
      <c r="A484" t="s">
        <v>958</v>
      </c>
      <c r="B484" t="s">
        <v>224</v>
      </c>
      <c r="C484" t="s">
        <v>49</v>
      </c>
      <c r="D484" t="s">
        <v>290</v>
      </c>
      <c r="E484">
        <v>7.4999999999999997E-2</v>
      </c>
      <c r="F484">
        <v>248</v>
      </c>
      <c r="G484">
        <v>18.600000000000001</v>
      </c>
      <c r="T484" t="s">
        <v>228</v>
      </c>
      <c r="U484" t="s">
        <v>1047</v>
      </c>
      <c r="V484" t="s">
        <v>1052</v>
      </c>
      <c r="W484">
        <v>70</v>
      </c>
    </row>
    <row r="485" spans="1:23" x14ac:dyDescent="0.2">
      <c r="A485" t="s">
        <v>958</v>
      </c>
      <c r="B485" t="s">
        <v>224</v>
      </c>
      <c r="C485" t="s">
        <v>19</v>
      </c>
      <c r="D485" t="s">
        <v>329</v>
      </c>
      <c r="E485">
        <v>2</v>
      </c>
      <c r="F485">
        <v>2.9</v>
      </c>
      <c r="G485">
        <v>5.8</v>
      </c>
      <c r="T485" t="s">
        <v>228</v>
      </c>
      <c r="U485" t="s">
        <v>1048</v>
      </c>
      <c r="V485" t="s">
        <v>1053</v>
      </c>
      <c r="W485">
        <v>250</v>
      </c>
    </row>
    <row r="486" spans="1:23" x14ac:dyDescent="0.2">
      <c r="A486" t="s">
        <v>958</v>
      </c>
      <c r="B486" t="s">
        <v>224</v>
      </c>
      <c r="C486" t="s">
        <v>20</v>
      </c>
      <c r="D486" t="s">
        <v>330</v>
      </c>
      <c r="E486">
        <v>2</v>
      </c>
      <c r="F486">
        <v>2.9</v>
      </c>
      <c r="G486">
        <v>5.8</v>
      </c>
      <c r="T486" t="s">
        <v>228</v>
      </c>
      <c r="U486" t="s">
        <v>1049</v>
      </c>
      <c r="V486" t="s">
        <v>1054</v>
      </c>
      <c r="W486">
        <v>750</v>
      </c>
    </row>
    <row r="487" spans="1:23" x14ac:dyDescent="0.2">
      <c r="A487" t="s">
        <v>958</v>
      </c>
      <c r="B487" t="s">
        <v>224</v>
      </c>
      <c r="C487" t="s">
        <v>22</v>
      </c>
      <c r="D487" t="s">
        <v>331</v>
      </c>
      <c r="E487">
        <v>2</v>
      </c>
      <c r="F487">
        <v>2.5</v>
      </c>
      <c r="G487">
        <v>5</v>
      </c>
      <c r="T487" t="s">
        <v>228</v>
      </c>
      <c r="U487" t="s">
        <v>1050</v>
      </c>
      <c r="V487" t="s">
        <v>1055</v>
      </c>
      <c r="W487">
        <v>0</v>
      </c>
    </row>
    <row r="488" spans="1:23" x14ac:dyDescent="0.2">
      <c r="A488" t="s">
        <v>958</v>
      </c>
      <c r="B488" t="s">
        <v>224</v>
      </c>
      <c r="C488" t="s">
        <v>29</v>
      </c>
      <c r="D488" t="s">
        <v>292</v>
      </c>
      <c r="E488">
        <v>1.2</v>
      </c>
      <c r="F488">
        <v>27</v>
      </c>
      <c r="G488">
        <v>32.4</v>
      </c>
      <c r="T488" t="s">
        <v>225</v>
      </c>
      <c r="U488" t="s">
        <v>1042</v>
      </c>
      <c r="V488" t="s">
        <v>401</v>
      </c>
      <c r="W488">
        <v>50</v>
      </c>
    </row>
    <row r="489" spans="1:23" x14ac:dyDescent="0.2">
      <c r="A489" t="s">
        <v>958</v>
      </c>
      <c r="B489" t="s">
        <v>224</v>
      </c>
      <c r="C489" t="s">
        <v>30</v>
      </c>
      <c r="D489" t="s">
        <v>332</v>
      </c>
      <c r="E489">
        <v>3</v>
      </c>
      <c r="F489">
        <v>6</v>
      </c>
      <c r="G489">
        <v>18</v>
      </c>
      <c r="T489" t="s">
        <v>225</v>
      </c>
      <c r="U489" t="s">
        <v>1043</v>
      </c>
      <c r="V489" t="s">
        <v>272</v>
      </c>
      <c r="W489">
        <v>450</v>
      </c>
    </row>
    <row r="490" spans="1:23" x14ac:dyDescent="0.2">
      <c r="A490" t="s">
        <v>958</v>
      </c>
      <c r="B490" t="s">
        <v>224</v>
      </c>
      <c r="C490" t="s">
        <v>101</v>
      </c>
      <c r="D490" t="s">
        <v>333</v>
      </c>
      <c r="E490">
        <v>1.4999999999999999E-2</v>
      </c>
      <c r="F490">
        <v>1200</v>
      </c>
      <c r="G490">
        <v>18</v>
      </c>
      <c r="T490" t="s">
        <v>225</v>
      </c>
      <c r="U490" t="s">
        <v>1044</v>
      </c>
      <c r="V490" t="s">
        <v>405</v>
      </c>
      <c r="W490">
        <v>100</v>
      </c>
    </row>
    <row r="491" spans="1:23" x14ac:dyDescent="0.2">
      <c r="A491" t="s">
        <v>958</v>
      </c>
      <c r="B491" t="s">
        <v>224</v>
      </c>
      <c r="C491" t="s">
        <v>121</v>
      </c>
      <c r="D491" t="s">
        <v>301</v>
      </c>
      <c r="E491">
        <v>1</v>
      </c>
      <c r="F491">
        <v>0.95</v>
      </c>
      <c r="G491">
        <v>0.95</v>
      </c>
      <c r="T491" t="s">
        <v>225</v>
      </c>
      <c r="U491" t="s">
        <v>1045</v>
      </c>
      <c r="V491" t="s">
        <v>402</v>
      </c>
      <c r="W491">
        <v>60</v>
      </c>
    </row>
    <row r="492" spans="1:23" x14ac:dyDescent="0.2">
      <c r="A492" t="s">
        <v>958</v>
      </c>
      <c r="B492" t="s">
        <v>224</v>
      </c>
      <c r="C492" t="s">
        <v>122</v>
      </c>
      <c r="D492" t="s">
        <v>302</v>
      </c>
      <c r="E492">
        <v>1</v>
      </c>
      <c r="F492">
        <v>4.2</v>
      </c>
      <c r="G492">
        <v>4.2</v>
      </c>
      <c r="T492" t="s">
        <v>225</v>
      </c>
      <c r="U492" t="s">
        <v>1046</v>
      </c>
      <c r="V492" t="s">
        <v>1051</v>
      </c>
      <c r="W492">
        <v>70</v>
      </c>
    </row>
    <row r="493" spans="1:23" x14ac:dyDescent="0.2">
      <c r="A493" t="s">
        <v>958</v>
      </c>
      <c r="B493" t="s">
        <v>224</v>
      </c>
      <c r="C493" t="s">
        <v>4</v>
      </c>
      <c r="D493" t="s">
        <v>304</v>
      </c>
      <c r="E493">
        <v>2.4</v>
      </c>
      <c r="F493">
        <v>10.1</v>
      </c>
      <c r="G493">
        <v>24.24</v>
      </c>
      <c r="T493" t="s">
        <v>225</v>
      </c>
      <c r="U493" t="s">
        <v>1047</v>
      </c>
      <c r="V493" t="s">
        <v>1052</v>
      </c>
      <c r="W493">
        <v>70</v>
      </c>
    </row>
    <row r="494" spans="1:23" x14ac:dyDescent="0.2">
      <c r="A494" t="s">
        <v>958</v>
      </c>
      <c r="B494" t="s">
        <v>224</v>
      </c>
      <c r="C494" t="s">
        <v>5</v>
      </c>
      <c r="D494" t="s">
        <v>305</v>
      </c>
      <c r="E494">
        <v>0.25</v>
      </c>
      <c r="F494">
        <v>11.5</v>
      </c>
      <c r="G494">
        <v>2.875</v>
      </c>
      <c r="T494" t="s">
        <v>225</v>
      </c>
      <c r="U494" t="s">
        <v>1048</v>
      </c>
      <c r="V494" t="s">
        <v>1053</v>
      </c>
      <c r="W494">
        <v>250</v>
      </c>
    </row>
    <row r="495" spans="1:23" x14ac:dyDescent="0.2">
      <c r="A495" t="s">
        <v>958</v>
      </c>
      <c r="B495" t="s">
        <v>224</v>
      </c>
      <c r="C495" t="s">
        <v>105</v>
      </c>
      <c r="D495" t="s">
        <v>313</v>
      </c>
      <c r="E495">
        <v>100</v>
      </c>
      <c r="F495">
        <v>0.1</v>
      </c>
      <c r="G495">
        <v>10</v>
      </c>
      <c r="T495" t="s">
        <v>225</v>
      </c>
      <c r="U495" t="s">
        <v>1049</v>
      </c>
      <c r="V495" t="s">
        <v>1054</v>
      </c>
      <c r="W495">
        <v>750</v>
      </c>
    </row>
    <row r="496" spans="1:23" x14ac:dyDescent="0.2">
      <c r="A496" t="s">
        <v>958</v>
      </c>
      <c r="B496" t="s">
        <v>224</v>
      </c>
      <c r="C496" t="s">
        <v>107</v>
      </c>
      <c r="D496" t="s">
        <v>316</v>
      </c>
      <c r="E496">
        <v>100</v>
      </c>
      <c r="F496">
        <v>0.1</v>
      </c>
      <c r="G496">
        <v>10</v>
      </c>
      <c r="T496" t="s">
        <v>225</v>
      </c>
      <c r="U496" t="s">
        <v>1050</v>
      </c>
      <c r="V496" t="s">
        <v>1055</v>
      </c>
      <c r="W496">
        <v>0</v>
      </c>
    </row>
    <row r="497" spans="1:23" x14ac:dyDescent="0.2">
      <c r="A497" t="s">
        <v>961</v>
      </c>
      <c r="B497" t="s">
        <v>227</v>
      </c>
      <c r="C497" t="s">
        <v>95</v>
      </c>
      <c r="D497" t="s">
        <v>281</v>
      </c>
      <c r="E497">
        <v>2</v>
      </c>
      <c r="F497">
        <v>2</v>
      </c>
      <c r="G497">
        <v>4</v>
      </c>
      <c r="T497" t="s">
        <v>227</v>
      </c>
      <c r="U497" t="s">
        <v>1042</v>
      </c>
      <c r="V497" t="s">
        <v>401</v>
      </c>
      <c r="W497">
        <v>50</v>
      </c>
    </row>
    <row r="498" spans="1:23" x14ac:dyDescent="0.2">
      <c r="A498" t="s">
        <v>961</v>
      </c>
      <c r="B498" t="s">
        <v>227</v>
      </c>
      <c r="C498" t="s">
        <v>44</v>
      </c>
      <c r="D498" t="s">
        <v>324</v>
      </c>
      <c r="E498">
        <v>0.3</v>
      </c>
      <c r="F498">
        <v>65</v>
      </c>
      <c r="G498">
        <v>19.5</v>
      </c>
      <c r="T498" t="s">
        <v>227</v>
      </c>
      <c r="U498" t="s">
        <v>1043</v>
      </c>
      <c r="V498" t="s">
        <v>272</v>
      </c>
      <c r="W498">
        <v>450</v>
      </c>
    </row>
    <row r="499" spans="1:23" x14ac:dyDescent="0.2">
      <c r="A499" t="s">
        <v>961</v>
      </c>
      <c r="B499" t="s">
        <v>227</v>
      </c>
      <c r="C499" t="s">
        <v>53</v>
      </c>
      <c r="D499" t="s">
        <v>325</v>
      </c>
      <c r="E499">
        <v>1.1499999999999999</v>
      </c>
      <c r="F499">
        <v>120</v>
      </c>
      <c r="G499">
        <v>138</v>
      </c>
      <c r="T499" t="s">
        <v>227</v>
      </c>
      <c r="U499" t="s">
        <v>1044</v>
      </c>
      <c r="V499" t="s">
        <v>405</v>
      </c>
      <c r="W499">
        <v>100</v>
      </c>
    </row>
    <row r="500" spans="1:23" x14ac:dyDescent="0.2">
      <c r="A500" t="s">
        <v>961</v>
      </c>
      <c r="B500" t="s">
        <v>227</v>
      </c>
      <c r="C500" t="s">
        <v>60</v>
      </c>
      <c r="D500" t="s">
        <v>337</v>
      </c>
      <c r="E500">
        <v>0.2</v>
      </c>
      <c r="F500">
        <v>130</v>
      </c>
      <c r="G500">
        <v>26</v>
      </c>
      <c r="T500" t="s">
        <v>227</v>
      </c>
      <c r="U500" t="s">
        <v>1045</v>
      </c>
      <c r="V500" t="s">
        <v>402</v>
      </c>
      <c r="W500">
        <v>60</v>
      </c>
    </row>
    <row r="501" spans="1:23" x14ac:dyDescent="0.2">
      <c r="A501" t="s">
        <v>961</v>
      </c>
      <c r="B501" t="s">
        <v>227</v>
      </c>
      <c r="C501" t="s">
        <v>61</v>
      </c>
      <c r="D501" t="s">
        <v>341</v>
      </c>
      <c r="E501">
        <v>0.25</v>
      </c>
      <c r="F501">
        <v>190</v>
      </c>
      <c r="G501">
        <v>47.5</v>
      </c>
      <c r="T501" t="s">
        <v>227</v>
      </c>
      <c r="U501" t="s">
        <v>1046</v>
      </c>
      <c r="V501" t="s">
        <v>1051</v>
      </c>
      <c r="W501">
        <v>70</v>
      </c>
    </row>
    <row r="502" spans="1:23" x14ac:dyDescent="0.2">
      <c r="A502" t="s">
        <v>961</v>
      </c>
      <c r="B502" t="s">
        <v>227</v>
      </c>
      <c r="C502" t="s">
        <v>66</v>
      </c>
      <c r="D502" t="s">
        <v>353</v>
      </c>
      <c r="E502">
        <v>0.75</v>
      </c>
      <c r="F502">
        <v>190</v>
      </c>
      <c r="G502">
        <v>142.5</v>
      </c>
      <c r="T502" t="s">
        <v>227</v>
      </c>
      <c r="U502" t="s">
        <v>1047</v>
      </c>
      <c r="V502" t="s">
        <v>1052</v>
      </c>
      <c r="W502">
        <v>70</v>
      </c>
    </row>
    <row r="503" spans="1:23" x14ac:dyDescent="0.2">
      <c r="A503" t="s">
        <v>961</v>
      </c>
      <c r="B503" t="s">
        <v>227</v>
      </c>
      <c r="C503" t="s">
        <v>69</v>
      </c>
      <c r="D503" t="s">
        <v>288</v>
      </c>
      <c r="E503">
        <v>0.19</v>
      </c>
      <c r="F503">
        <v>190</v>
      </c>
      <c r="G503">
        <v>36.1</v>
      </c>
      <c r="T503" t="s">
        <v>227</v>
      </c>
      <c r="U503" t="s">
        <v>1048</v>
      </c>
      <c r="V503" t="s">
        <v>1053</v>
      </c>
      <c r="W503">
        <v>250</v>
      </c>
    </row>
    <row r="504" spans="1:23" x14ac:dyDescent="0.2">
      <c r="A504" t="s">
        <v>961</v>
      </c>
      <c r="B504" t="s">
        <v>227</v>
      </c>
      <c r="C504" t="s">
        <v>93</v>
      </c>
      <c r="D504" t="s">
        <v>327</v>
      </c>
      <c r="E504">
        <v>0.125</v>
      </c>
      <c r="F504">
        <v>70</v>
      </c>
      <c r="G504">
        <v>8.75</v>
      </c>
      <c r="T504" t="s">
        <v>227</v>
      </c>
      <c r="U504" t="s">
        <v>1049</v>
      </c>
      <c r="V504" t="s">
        <v>1054</v>
      </c>
      <c r="W504">
        <v>750</v>
      </c>
    </row>
    <row r="505" spans="1:23" x14ac:dyDescent="0.2">
      <c r="A505" t="s">
        <v>961</v>
      </c>
      <c r="B505" t="s">
        <v>227</v>
      </c>
      <c r="C505" t="s">
        <v>47</v>
      </c>
      <c r="D505" t="s">
        <v>328</v>
      </c>
      <c r="E505">
        <v>0.08</v>
      </c>
      <c r="F505">
        <v>235</v>
      </c>
      <c r="G505">
        <v>18.8</v>
      </c>
      <c r="T505" t="s">
        <v>227</v>
      </c>
      <c r="U505" t="s">
        <v>1050</v>
      </c>
      <c r="V505" t="s">
        <v>1055</v>
      </c>
      <c r="W505">
        <v>0</v>
      </c>
    </row>
    <row r="506" spans="1:23" x14ac:dyDescent="0.2">
      <c r="A506" t="s">
        <v>961</v>
      </c>
      <c r="B506" t="s">
        <v>227</v>
      </c>
      <c r="C506" t="s">
        <v>49</v>
      </c>
      <c r="D506" t="s">
        <v>290</v>
      </c>
      <c r="E506">
        <v>7.4999999999999997E-2</v>
      </c>
      <c r="F506">
        <v>248</v>
      </c>
      <c r="G506">
        <v>18.600000000000001</v>
      </c>
      <c r="T506" t="s">
        <v>226</v>
      </c>
      <c r="U506" t="s">
        <v>1042</v>
      </c>
      <c r="V506" t="s">
        <v>401</v>
      </c>
      <c r="W506">
        <v>50</v>
      </c>
    </row>
    <row r="507" spans="1:23" x14ac:dyDescent="0.2">
      <c r="A507" t="s">
        <v>961</v>
      </c>
      <c r="B507" t="s">
        <v>227</v>
      </c>
      <c r="C507" t="s">
        <v>19</v>
      </c>
      <c r="D507" t="s">
        <v>329</v>
      </c>
      <c r="E507">
        <v>2</v>
      </c>
      <c r="F507">
        <v>2.9</v>
      </c>
      <c r="G507">
        <v>5.8</v>
      </c>
      <c r="T507" t="s">
        <v>226</v>
      </c>
      <c r="U507" t="s">
        <v>1043</v>
      </c>
      <c r="V507" t="s">
        <v>272</v>
      </c>
      <c r="W507">
        <v>885</v>
      </c>
    </row>
    <row r="508" spans="1:23" x14ac:dyDescent="0.2">
      <c r="A508" t="s">
        <v>961</v>
      </c>
      <c r="B508" t="s">
        <v>227</v>
      </c>
      <c r="C508" t="s">
        <v>20</v>
      </c>
      <c r="D508" t="s">
        <v>330</v>
      </c>
      <c r="E508">
        <v>2</v>
      </c>
      <c r="F508">
        <v>2.9</v>
      </c>
      <c r="G508">
        <v>5.8</v>
      </c>
      <c r="T508" t="s">
        <v>226</v>
      </c>
      <c r="U508" t="s">
        <v>1044</v>
      </c>
      <c r="V508" t="s">
        <v>405</v>
      </c>
      <c r="W508">
        <v>100</v>
      </c>
    </row>
    <row r="509" spans="1:23" x14ac:dyDescent="0.2">
      <c r="A509" t="s">
        <v>961</v>
      </c>
      <c r="B509" t="s">
        <v>227</v>
      </c>
      <c r="C509" t="s">
        <v>22</v>
      </c>
      <c r="D509" t="s">
        <v>331</v>
      </c>
      <c r="E509">
        <v>2</v>
      </c>
      <c r="F509">
        <v>2.5</v>
      </c>
      <c r="G509">
        <v>5</v>
      </c>
      <c r="T509" t="s">
        <v>226</v>
      </c>
      <c r="U509" t="s">
        <v>1045</v>
      </c>
      <c r="V509" t="s">
        <v>402</v>
      </c>
      <c r="W509">
        <v>60</v>
      </c>
    </row>
    <row r="510" spans="1:23" x14ac:dyDescent="0.2">
      <c r="A510" t="s">
        <v>961</v>
      </c>
      <c r="B510" t="s">
        <v>227</v>
      </c>
      <c r="C510" t="s">
        <v>29</v>
      </c>
      <c r="D510" t="s">
        <v>292</v>
      </c>
      <c r="E510">
        <v>1.2</v>
      </c>
      <c r="F510">
        <v>27</v>
      </c>
      <c r="G510">
        <v>32.4</v>
      </c>
      <c r="T510" t="s">
        <v>226</v>
      </c>
      <c r="U510" t="s">
        <v>1046</v>
      </c>
      <c r="V510" t="s">
        <v>1051</v>
      </c>
      <c r="W510">
        <v>70</v>
      </c>
    </row>
    <row r="511" spans="1:23" x14ac:dyDescent="0.2">
      <c r="A511" t="s">
        <v>961</v>
      </c>
      <c r="B511" t="s">
        <v>227</v>
      </c>
      <c r="C511" t="s">
        <v>30</v>
      </c>
      <c r="D511" t="s">
        <v>332</v>
      </c>
      <c r="E511">
        <v>3</v>
      </c>
      <c r="F511">
        <v>6</v>
      </c>
      <c r="G511">
        <v>18</v>
      </c>
      <c r="T511" t="s">
        <v>226</v>
      </c>
      <c r="U511" t="s">
        <v>1047</v>
      </c>
      <c r="V511" t="s">
        <v>1052</v>
      </c>
      <c r="W511">
        <v>70</v>
      </c>
    </row>
    <row r="512" spans="1:23" x14ac:dyDescent="0.2">
      <c r="A512" t="s">
        <v>961</v>
      </c>
      <c r="B512" t="s">
        <v>227</v>
      </c>
      <c r="C512" t="s">
        <v>101</v>
      </c>
      <c r="D512" t="s">
        <v>333</v>
      </c>
      <c r="E512">
        <v>1.4999999999999999E-2</v>
      </c>
      <c r="F512">
        <v>1200</v>
      </c>
      <c r="G512">
        <v>18</v>
      </c>
      <c r="T512" t="s">
        <v>226</v>
      </c>
      <c r="U512" t="s">
        <v>1048</v>
      </c>
      <c r="V512" t="s">
        <v>1053</v>
      </c>
      <c r="W512">
        <v>250</v>
      </c>
    </row>
    <row r="513" spans="1:23" x14ac:dyDescent="0.2">
      <c r="A513" t="s">
        <v>961</v>
      </c>
      <c r="B513" t="s">
        <v>227</v>
      </c>
      <c r="C513" t="s">
        <v>121</v>
      </c>
      <c r="D513" t="s">
        <v>301</v>
      </c>
      <c r="E513">
        <v>1</v>
      </c>
      <c r="F513">
        <v>0.95</v>
      </c>
      <c r="G513">
        <v>0.95</v>
      </c>
      <c r="T513" t="s">
        <v>226</v>
      </c>
      <c r="U513" t="s">
        <v>1049</v>
      </c>
      <c r="V513" t="s">
        <v>1054</v>
      </c>
      <c r="W513">
        <v>750</v>
      </c>
    </row>
    <row r="514" spans="1:23" x14ac:dyDescent="0.2">
      <c r="A514" t="s">
        <v>961</v>
      </c>
      <c r="B514" t="s">
        <v>227</v>
      </c>
      <c r="C514" t="s">
        <v>122</v>
      </c>
      <c r="D514" t="s">
        <v>302</v>
      </c>
      <c r="E514">
        <v>1</v>
      </c>
      <c r="F514">
        <v>4.2</v>
      </c>
      <c r="G514">
        <v>4.2</v>
      </c>
      <c r="T514" t="s">
        <v>226</v>
      </c>
      <c r="U514" t="s">
        <v>1050</v>
      </c>
      <c r="V514" t="s">
        <v>1055</v>
      </c>
      <c r="W514">
        <v>0</v>
      </c>
    </row>
    <row r="515" spans="1:23" x14ac:dyDescent="0.2">
      <c r="A515" t="s">
        <v>961</v>
      </c>
      <c r="B515" t="s">
        <v>227</v>
      </c>
      <c r="C515" t="s">
        <v>4</v>
      </c>
      <c r="D515" t="s">
        <v>304</v>
      </c>
      <c r="E515">
        <v>2.4</v>
      </c>
      <c r="F515">
        <v>10.1</v>
      </c>
      <c r="G515">
        <v>24.24</v>
      </c>
      <c r="T515" t="s">
        <v>220</v>
      </c>
      <c r="U515" t="s">
        <v>1042</v>
      </c>
      <c r="V515" t="s">
        <v>401</v>
      </c>
      <c r="W515">
        <v>50</v>
      </c>
    </row>
    <row r="516" spans="1:23" x14ac:dyDescent="0.2">
      <c r="A516" t="s">
        <v>961</v>
      </c>
      <c r="B516" t="s">
        <v>227</v>
      </c>
      <c r="C516" t="s">
        <v>5</v>
      </c>
      <c r="D516" t="s">
        <v>305</v>
      </c>
      <c r="E516">
        <v>0.25</v>
      </c>
      <c r="F516">
        <v>11.5</v>
      </c>
      <c r="G516">
        <v>2.875</v>
      </c>
      <c r="T516" t="s">
        <v>220</v>
      </c>
      <c r="U516" t="s">
        <v>1043</v>
      </c>
      <c r="V516" t="s">
        <v>272</v>
      </c>
      <c r="W516">
        <v>885</v>
      </c>
    </row>
    <row r="517" spans="1:23" x14ac:dyDescent="0.2">
      <c r="A517" t="s">
        <v>961</v>
      </c>
      <c r="B517" t="s">
        <v>227</v>
      </c>
      <c r="C517" t="s">
        <v>105</v>
      </c>
      <c r="D517" t="s">
        <v>313</v>
      </c>
      <c r="E517">
        <v>100</v>
      </c>
      <c r="F517">
        <v>0.1</v>
      </c>
      <c r="G517">
        <v>10</v>
      </c>
      <c r="T517" t="s">
        <v>220</v>
      </c>
      <c r="U517" t="s">
        <v>1044</v>
      </c>
      <c r="V517" t="s">
        <v>405</v>
      </c>
      <c r="W517">
        <v>100</v>
      </c>
    </row>
    <row r="518" spans="1:23" x14ac:dyDescent="0.2">
      <c r="A518" t="s">
        <v>961</v>
      </c>
      <c r="B518" t="s">
        <v>227</v>
      </c>
      <c r="C518" t="s">
        <v>107</v>
      </c>
      <c r="D518" t="s">
        <v>316</v>
      </c>
      <c r="E518">
        <v>50</v>
      </c>
      <c r="F518">
        <v>0.1</v>
      </c>
      <c r="G518">
        <v>5</v>
      </c>
      <c r="T518" t="s">
        <v>220</v>
      </c>
      <c r="U518" t="s">
        <v>1045</v>
      </c>
      <c r="V518" t="s">
        <v>402</v>
      </c>
      <c r="W518">
        <v>60</v>
      </c>
    </row>
    <row r="519" spans="1:23" x14ac:dyDescent="0.2">
      <c r="A519" t="s">
        <v>961</v>
      </c>
      <c r="B519" t="s">
        <v>227</v>
      </c>
      <c r="C519" t="s">
        <v>120</v>
      </c>
      <c r="D519" t="s">
        <v>340</v>
      </c>
      <c r="E519">
        <v>50</v>
      </c>
      <c r="F519">
        <v>0.1</v>
      </c>
      <c r="G519">
        <v>5</v>
      </c>
      <c r="T519" t="s">
        <v>220</v>
      </c>
      <c r="U519" t="s">
        <v>1046</v>
      </c>
      <c r="V519" t="s">
        <v>1051</v>
      </c>
      <c r="W519">
        <v>70</v>
      </c>
    </row>
    <row r="520" spans="1:23" x14ac:dyDescent="0.2">
      <c r="A520" t="s">
        <v>959</v>
      </c>
      <c r="B520" t="s">
        <v>228</v>
      </c>
      <c r="C520" t="s">
        <v>95</v>
      </c>
      <c r="D520" t="s">
        <v>281</v>
      </c>
      <c r="E520">
        <v>2</v>
      </c>
      <c r="F520">
        <v>2</v>
      </c>
      <c r="G520">
        <v>4</v>
      </c>
      <c r="T520" t="s">
        <v>220</v>
      </c>
      <c r="U520" t="s">
        <v>1047</v>
      </c>
      <c r="V520" t="s">
        <v>1052</v>
      </c>
      <c r="W520">
        <v>70</v>
      </c>
    </row>
    <row r="521" spans="1:23" x14ac:dyDescent="0.2">
      <c r="A521" t="s">
        <v>959</v>
      </c>
      <c r="B521" t="s">
        <v>228</v>
      </c>
      <c r="C521" t="s">
        <v>44</v>
      </c>
      <c r="D521" t="s">
        <v>324</v>
      </c>
      <c r="E521">
        <v>0.3</v>
      </c>
      <c r="F521">
        <v>65</v>
      </c>
      <c r="G521">
        <v>19.5</v>
      </c>
      <c r="T521" t="s">
        <v>220</v>
      </c>
      <c r="U521" t="s">
        <v>1048</v>
      </c>
      <c r="V521" t="s">
        <v>1053</v>
      </c>
      <c r="W521">
        <v>250</v>
      </c>
    </row>
    <row r="522" spans="1:23" x14ac:dyDescent="0.2">
      <c r="A522" t="s">
        <v>959</v>
      </c>
      <c r="B522" t="s">
        <v>228</v>
      </c>
      <c r="C522" t="s">
        <v>53</v>
      </c>
      <c r="D522" t="s">
        <v>325</v>
      </c>
      <c r="E522">
        <v>1.1499999999999999</v>
      </c>
      <c r="F522">
        <v>120</v>
      </c>
      <c r="G522">
        <v>138</v>
      </c>
      <c r="T522" t="s">
        <v>220</v>
      </c>
      <c r="U522" t="s">
        <v>1049</v>
      </c>
      <c r="V522" t="s">
        <v>1054</v>
      </c>
      <c r="W522">
        <v>750</v>
      </c>
    </row>
    <row r="523" spans="1:23" x14ac:dyDescent="0.2">
      <c r="A523" t="s">
        <v>959</v>
      </c>
      <c r="B523" t="s">
        <v>228</v>
      </c>
      <c r="C523" t="s">
        <v>60</v>
      </c>
      <c r="D523" t="s">
        <v>337</v>
      </c>
      <c r="E523">
        <v>0.2</v>
      </c>
      <c r="F523">
        <v>130</v>
      </c>
      <c r="G523">
        <v>26</v>
      </c>
      <c r="T523" t="s">
        <v>220</v>
      </c>
      <c r="U523" t="s">
        <v>1050</v>
      </c>
      <c r="V523" t="s">
        <v>1055</v>
      </c>
      <c r="W523">
        <v>0</v>
      </c>
    </row>
    <row r="524" spans="1:23" x14ac:dyDescent="0.2">
      <c r="A524" t="s">
        <v>959</v>
      </c>
      <c r="B524" t="s">
        <v>228</v>
      </c>
      <c r="C524" t="s">
        <v>61</v>
      </c>
      <c r="D524" t="s">
        <v>341</v>
      </c>
      <c r="E524">
        <v>0.25</v>
      </c>
      <c r="F524">
        <v>190</v>
      </c>
      <c r="G524">
        <v>47.5</v>
      </c>
      <c r="T524" t="s">
        <v>222</v>
      </c>
      <c r="U524" t="s">
        <v>1042</v>
      </c>
      <c r="V524" t="s">
        <v>401</v>
      </c>
      <c r="W524">
        <v>50</v>
      </c>
    </row>
    <row r="525" spans="1:23" x14ac:dyDescent="0.2">
      <c r="A525" t="s">
        <v>959</v>
      </c>
      <c r="B525" t="s">
        <v>228</v>
      </c>
      <c r="C525" t="s">
        <v>69</v>
      </c>
      <c r="D525" t="s">
        <v>288</v>
      </c>
      <c r="E525">
        <v>0.19</v>
      </c>
      <c r="F525">
        <v>190</v>
      </c>
      <c r="G525">
        <v>36.1</v>
      </c>
      <c r="T525" t="s">
        <v>222</v>
      </c>
      <c r="U525" t="s">
        <v>1043</v>
      </c>
      <c r="V525" t="s">
        <v>272</v>
      </c>
      <c r="W525">
        <v>885</v>
      </c>
    </row>
    <row r="526" spans="1:23" x14ac:dyDescent="0.2">
      <c r="A526" t="s">
        <v>959</v>
      </c>
      <c r="B526" t="s">
        <v>228</v>
      </c>
      <c r="C526" t="s">
        <v>71</v>
      </c>
      <c r="D526" t="s">
        <v>385</v>
      </c>
      <c r="E526">
        <v>0.75</v>
      </c>
      <c r="F526">
        <v>145</v>
      </c>
      <c r="G526">
        <v>108.75</v>
      </c>
      <c r="T526" t="s">
        <v>222</v>
      </c>
      <c r="U526" t="s">
        <v>1044</v>
      </c>
      <c r="V526" t="s">
        <v>405</v>
      </c>
      <c r="W526">
        <v>100</v>
      </c>
    </row>
    <row r="527" spans="1:23" x14ac:dyDescent="0.2">
      <c r="A527" t="s">
        <v>959</v>
      </c>
      <c r="B527" t="s">
        <v>228</v>
      </c>
      <c r="C527" t="s">
        <v>93</v>
      </c>
      <c r="D527" t="s">
        <v>327</v>
      </c>
      <c r="E527">
        <v>0.125</v>
      </c>
      <c r="F527">
        <v>70</v>
      </c>
      <c r="G527">
        <v>8.75</v>
      </c>
      <c r="T527" t="s">
        <v>222</v>
      </c>
      <c r="U527" t="s">
        <v>1045</v>
      </c>
      <c r="V527" t="s">
        <v>402</v>
      </c>
      <c r="W527">
        <v>60</v>
      </c>
    </row>
    <row r="528" spans="1:23" x14ac:dyDescent="0.2">
      <c r="A528" t="s">
        <v>959</v>
      </c>
      <c r="B528" t="s">
        <v>228</v>
      </c>
      <c r="C528" t="s">
        <v>47</v>
      </c>
      <c r="D528" t="s">
        <v>328</v>
      </c>
      <c r="E528">
        <v>0.08</v>
      </c>
      <c r="F528">
        <v>235</v>
      </c>
      <c r="G528">
        <v>18.8</v>
      </c>
      <c r="T528" t="s">
        <v>222</v>
      </c>
      <c r="U528" t="s">
        <v>1046</v>
      </c>
      <c r="V528" t="s">
        <v>1051</v>
      </c>
      <c r="W528">
        <v>70</v>
      </c>
    </row>
    <row r="529" spans="1:23" x14ac:dyDescent="0.2">
      <c r="A529" t="s">
        <v>959</v>
      </c>
      <c r="B529" t="s">
        <v>228</v>
      </c>
      <c r="C529" t="s">
        <v>49</v>
      </c>
      <c r="D529" t="s">
        <v>290</v>
      </c>
      <c r="E529">
        <v>7.4999999999999997E-2</v>
      </c>
      <c r="F529">
        <v>248</v>
      </c>
      <c r="G529">
        <v>18.600000000000001</v>
      </c>
      <c r="T529" t="s">
        <v>222</v>
      </c>
      <c r="U529" t="s">
        <v>1047</v>
      </c>
      <c r="V529" t="s">
        <v>1052</v>
      </c>
      <c r="W529">
        <v>70</v>
      </c>
    </row>
    <row r="530" spans="1:23" x14ac:dyDescent="0.2">
      <c r="A530" t="s">
        <v>959</v>
      </c>
      <c r="B530" t="s">
        <v>228</v>
      </c>
      <c r="C530" t="s">
        <v>19</v>
      </c>
      <c r="D530" t="s">
        <v>329</v>
      </c>
      <c r="E530">
        <v>2</v>
      </c>
      <c r="F530">
        <v>2.9</v>
      </c>
      <c r="G530">
        <v>5.8</v>
      </c>
      <c r="T530" t="s">
        <v>222</v>
      </c>
      <c r="U530" t="s">
        <v>1048</v>
      </c>
      <c r="V530" t="s">
        <v>1053</v>
      </c>
      <c r="W530">
        <v>250</v>
      </c>
    </row>
    <row r="531" spans="1:23" x14ac:dyDescent="0.2">
      <c r="A531" t="s">
        <v>959</v>
      </c>
      <c r="B531" t="s">
        <v>228</v>
      </c>
      <c r="C531" t="s">
        <v>20</v>
      </c>
      <c r="D531" t="s">
        <v>330</v>
      </c>
      <c r="E531">
        <v>2</v>
      </c>
      <c r="F531">
        <v>2.9</v>
      </c>
      <c r="G531">
        <v>5.8</v>
      </c>
      <c r="T531" t="s">
        <v>222</v>
      </c>
      <c r="U531" t="s">
        <v>1049</v>
      </c>
      <c r="V531" t="s">
        <v>1054</v>
      </c>
      <c r="W531">
        <v>750</v>
      </c>
    </row>
    <row r="532" spans="1:23" x14ac:dyDescent="0.2">
      <c r="A532" t="s">
        <v>959</v>
      </c>
      <c r="B532" t="s">
        <v>228</v>
      </c>
      <c r="C532" t="s">
        <v>22</v>
      </c>
      <c r="D532" t="s">
        <v>331</v>
      </c>
      <c r="E532">
        <v>2</v>
      </c>
      <c r="F532">
        <v>2.5</v>
      </c>
      <c r="G532">
        <v>5</v>
      </c>
      <c r="T532" t="s">
        <v>222</v>
      </c>
      <c r="U532" t="s">
        <v>1050</v>
      </c>
      <c r="V532" t="s">
        <v>1055</v>
      </c>
      <c r="W532">
        <v>0</v>
      </c>
    </row>
    <row r="533" spans="1:23" x14ac:dyDescent="0.2">
      <c r="A533" t="s">
        <v>959</v>
      </c>
      <c r="B533" t="s">
        <v>228</v>
      </c>
      <c r="C533" t="s">
        <v>29</v>
      </c>
      <c r="D533" t="s">
        <v>292</v>
      </c>
      <c r="E533">
        <v>1.2</v>
      </c>
      <c r="F533">
        <v>27</v>
      </c>
      <c r="G533">
        <v>32.4</v>
      </c>
      <c r="T533" t="s">
        <v>221</v>
      </c>
      <c r="U533" t="s">
        <v>1042</v>
      </c>
      <c r="V533" t="s">
        <v>401</v>
      </c>
      <c r="W533">
        <v>50</v>
      </c>
    </row>
    <row r="534" spans="1:23" x14ac:dyDescent="0.2">
      <c r="A534" t="s">
        <v>959</v>
      </c>
      <c r="B534" t="s">
        <v>228</v>
      </c>
      <c r="C534" t="s">
        <v>30</v>
      </c>
      <c r="D534" t="s">
        <v>332</v>
      </c>
      <c r="E534">
        <v>3</v>
      </c>
      <c r="F534">
        <v>6</v>
      </c>
      <c r="G534">
        <v>18</v>
      </c>
      <c r="T534" t="s">
        <v>221</v>
      </c>
      <c r="U534" t="s">
        <v>1043</v>
      </c>
      <c r="V534" t="s">
        <v>272</v>
      </c>
      <c r="W534">
        <v>885</v>
      </c>
    </row>
    <row r="535" spans="1:23" x14ac:dyDescent="0.2">
      <c r="A535" t="s">
        <v>959</v>
      </c>
      <c r="B535" t="s">
        <v>228</v>
      </c>
      <c r="C535" t="s">
        <v>101</v>
      </c>
      <c r="D535" t="s">
        <v>333</v>
      </c>
      <c r="E535">
        <v>1.4999999999999999E-2</v>
      </c>
      <c r="F535">
        <v>1200</v>
      </c>
      <c r="G535">
        <v>18</v>
      </c>
      <c r="T535" t="s">
        <v>221</v>
      </c>
      <c r="U535" t="s">
        <v>1044</v>
      </c>
      <c r="V535" t="s">
        <v>405</v>
      </c>
      <c r="W535">
        <v>100</v>
      </c>
    </row>
    <row r="536" spans="1:23" x14ac:dyDescent="0.2">
      <c r="A536" t="s">
        <v>959</v>
      </c>
      <c r="B536" t="s">
        <v>228</v>
      </c>
      <c r="C536" t="s">
        <v>121</v>
      </c>
      <c r="D536" t="s">
        <v>301</v>
      </c>
      <c r="E536">
        <v>1</v>
      </c>
      <c r="F536">
        <v>0.95</v>
      </c>
      <c r="G536">
        <v>0.95</v>
      </c>
      <c r="T536" t="s">
        <v>221</v>
      </c>
      <c r="U536" t="s">
        <v>1045</v>
      </c>
      <c r="V536" t="s">
        <v>402</v>
      </c>
      <c r="W536">
        <v>60</v>
      </c>
    </row>
    <row r="537" spans="1:23" x14ac:dyDescent="0.2">
      <c r="A537" t="s">
        <v>959</v>
      </c>
      <c r="B537" t="s">
        <v>228</v>
      </c>
      <c r="C537" t="s">
        <v>122</v>
      </c>
      <c r="D537" t="s">
        <v>302</v>
      </c>
      <c r="E537">
        <v>1</v>
      </c>
      <c r="F537">
        <v>4.2</v>
      </c>
      <c r="G537">
        <v>4.2</v>
      </c>
      <c r="T537" t="s">
        <v>221</v>
      </c>
      <c r="U537" t="s">
        <v>1046</v>
      </c>
      <c r="V537" t="s">
        <v>1051</v>
      </c>
      <c r="W537">
        <v>70</v>
      </c>
    </row>
    <row r="538" spans="1:23" x14ac:dyDescent="0.2">
      <c r="A538" t="s">
        <v>959</v>
      </c>
      <c r="B538" t="s">
        <v>228</v>
      </c>
      <c r="C538" t="s">
        <v>4</v>
      </c>
      <c r="D538" t="s">
        <v>304</v>
      </c>
      <c r="E538">
        <v>2.4</v>
      </c>
      <c r="F538">
        <v>10.1</v>
      </c>
      <c r="G538">
        <v>24.24</v>
      </c>
      <c r="T538" t="s">
        <v>221</v>
      </c>
      <c r="U538" t="s">
        <v>1047</v>
      </c>
      <c r="V538" t="s">
        <v>1052</v>
      </c>
      <c r="W538">
        <v>70</v>
      </c>
    </row>
    <row r="539" spans="1:23" x14ac:dyDescent="0.2">
      <c r="A539" t="s">
        <v>959</v>
      </c>
      <c r="B539" t="s">
        <v>228</v>
      </c>
      <c r="C539" t="s">
        <v>5</v>
      </c>
      <c r="D539" t="s">
        <v>305</v>
      </c>
      <c r="E539">
        <v>0.25</v>
      </c>
      <c r="F539">
        <v>11.5</v>
      </c>
      <c r="G539">
        <v>2.875</v>
      </c>
      <c r="T539" t="s">
        <v>221</v>
      </c>
      <c r="U539" t="s">
        <v>1048</v>
      </c>
      <c r="V539" t="s">
        <v>1053</v>
      </c>
      <c r="W539">
        <v>250</v>
      </c>
    </row>
    <row r="540" spans="1:23" x14ac:dyDescent="0.2">
      <c r="A540" t="s">
        <v>959</v>
      </c>
      <c r="B540" t="s">
        <v>228</v>
      </c>
      <c r="C540" t="s">
        <v>105</v>
      </c>
      <c r="D540" t="s">
        <v>313</v>
      </c>
      <c r="E540">
        <v>100</v>
      </c>
      <c r="F540">
        <v>0.1</v>
      </c>
      <c r="G540">
        <v>10</v>
      </c>
      <c r="T540" t="s">
        <v>221</v>
      </c>
      <c r="U540" t="s">
        <v>1049</v>
      </c>
      <c r="V540" t="s">
        <v>1054</v>
      </c>
      <c r="W540">
        <v>750</v>
      </c>
    </row>
    <row r="541" spans="1:23" x14ac:dyDescent="0.2">
      <c r="A541" t="s">
        <v>959</v>
      </c>
      <c r="B541" t="s">
        <v>228</v>
      </c>
      <c r="C541" t="s">
        <v>106</v>
      </c>
      <c r="D541" t="s">
        <v>364</v>
      </c>
      <c r="E541">
        <v>50</v>
      </c>
      <c r="F541">
        <v>0.1</v>
      </c>
      <c r="G541">
        <v>5</v>
      </c>
      <c r="T541" t="s">
        <v>221</v>
      </c>
      <c r="U541" t="s">
        <v>1050</v>
      </c>
      <c r="V541" t="s">
        <v>1055</v>
      </c>
      <c r="W541">
        <v>0</v>
      </c>
    </row>
    <row r="542" spans="1:23" x14ac:dyDescent="0.2">
      <c r="A542" t="s">
        <v>959</v>
      </c>
      <c r="B542" t="s">
        <v>228</v>
      </c>
      <c r="C542" t="s">
        <v>107</v>
      </c>
      <c r="D542" t="s">
        <v>316</v>
      </c>
      <c r="E542">
        <v>50</v>
      </c>
      <c r="F542">
        <v>0.1</v>
      </c>
      <c r="G542">
        <v>5</v>
      </c>
      <c r="T542" t="s">
        <v>269</v>
      </c>
      <c r="U542" t="s">
        <v>1042</v>
      </c>
      <c r="V542" t="s">
        <v>401</v>
      </c>
      <c r="W542">
        <v>50</v>
      </c>
    </row>
    <row r="543" spans="1:23" x14ac:dyDescent="0.2">
      <c r="A543" t="s">
        <v>960</v>
      </c>
      <c r="B543" t="s">
        <v>225</v>
      </c>
      <c r="C543" t="s">
        <v>95</v>
      </c>
      <c r="D543" t="s">
        <v>281</v>
      </c>
      <c r="E543">
        <v>2</v>
      </c>
      <c r="F543">
        <v>2</v>
      </c>
      <c r="G543">
        <v>4</v>
      </c>
      <c r="T543" t="s">
        <v>269</v>
      </c>
      <c r="U543" t="s">
        <v>1043</v>
      </c>
      <c r="V543" t="s">
        <v>272</v>
      </c>
      <c r="W543">
        <v>885</v>
      </c>
    </row>
    <row r="544" spans="1:23" x14ac:dyDescent="0.2">
      <c r="A544" t="s">
        <v>960</v>
      </c>
      <c r="B544" t="s">
        <v>225</v>
      </c>
      <c r="C544" t="s">
        <v>44</v>
      </c>
      <c r="D544" t="s">
        <v>324</v>
      </c>
      <c r="E544">
        <v>0.3</v>
      </c>
      <c r="F544">
        <v>65</v>
      </c>
      <c r="G544">
        <v>19.5</v>
      </c>
      <c r="T544" t="s">
        <v>269</v>
      </c>
      <c r="U544" t="s">
        <v>1044</v>
      </c>
      <c r="V544" t="s">
        <v>405</v>
      </c>
      <c r="W544">
        <v>100</v>
      </c>
    </row>
    <row r="545" spans="1:23" x14ac:dyDescent="0.2">
      <c r="A545" t="s">
        <v>960</v>
      </c>
      <c r="B545" t="s">
        <v>225</v>
      </c>
      <c r="C545" t="s">
        <v>53</v>
      </c>
      <c r="D545" t="s">
        <v>325</v>
      </c>
      <c r="E545">
        <v>1.1499999999999999</v>
      </c>
      <c r="F545">
        <v>120</v>
      </c>
      <c r="G545">
        <v>138</v>
      </c>
      <c r="T545" t="s">
        <v>269</v>
      </c>
      <c r="U545" t="s">
        <v>1045</v>
      </c>
      <c r="V545" t="s">
        <v>402</v>
      </c>
      <c r="W545">
        <v>60</v>
      </c>
    </row>
    <row r="546" spans="1:23" x14ac:dyDescent="0.2">
      <c r="A546" t="s">
        <v>960</v>
      </c>
      <c r="B546" t="s">
        <v>225</v>
      </c>
      <c r="C546" t="s">
        <v>60</v>
      </c>
      <c r="D546" t="s">
        <v>337</v>
      </c>
      <c r="E546">
        <v>0.2</v>
      </c>
      <c r="F546">
        <v>130</v>
      </c>
      <c r="G546">
        <v>26</v>
      </c>
      <c r="T546" t="s">
        <v>269</v>
      </c>
      <c r="U546" t="s">
        <v>1046</v>
      </c>
      <c r="V546" t="s">
        <v>1051</v>
      </c>
      <c r="W546">
        <v>70</v>
      </c>
    </row>
    <row r="547" spans="1:23" x14ac:dyDescent="0.2">
      <c r="A547" t="s">
        <v>960</v>
      </c>
      <c r="B547" t="s">
        <v>225</v>
      </c>
      <c r="C547" t="s">
        <v>61</v>
      </c>
      <c r="D547" t="s">
        <v>341</v>
      </c>
      <c r="E547">
        <v>0.25</v>
      </c>
      <c r="F547">
        <v>190</v>
      </c>
      <c r="G547">
        <v>47.5</v>
      </c>
      <c r="T547" t="s">
        <v>269</v>
      </c>
      <c r="U547" t="s">
        <v>1047</v>
      </c>
      <c r="V547" t="s">
        <v>1052</v>
      </c>
      <c r="W547">
        <v>70</v>
      </c>
    </row>
    <row r="548" spans="1:23" x14ac:dyDescent="0.2">
      <c r="A548" t="s">
        <v>960</v>
      </c>
      <c r="B548" t="s">
        <v>225</v>
      </c>
      <c r="C548" t="s">
        <v>69</v>
      </c>
      <c r="D548" t="s">
        <v>288</v>
      </c>
      <c r="E548">
        <v>0.19</v>
      </c>
      <c r="F548">
        <v>190</v>
      </c>
      <c r="G548">
        <v>36.1</v>
      </c>
      <c r="T548" t="s">
        <v>269</v>
      </c>
      <c r="U548" t="s">
        <v>1048</v>
      </c>
      <c r="V548" t="s">
        <v>1053</v>
      </c>
      <c r="W548">
        <v>250</v>
      </c>
    </row>
    <row r="549" spans="1:23" x14ac:dyDescent="0.2">
      <c r="A549" t="s">
        <v>960</v>
      </c>
      <c r="B549" t="s">
        <v>225</v>
      </c>
      <c r="C549" t="s">
        <v>78</v>
      </c>
      <c r="D549" t="s">
        <v>389</v>
      </c>
      <c r="E549">
        <v>0.75</v>
      </c>
      <c r="F549">
        <v>145</v>
      </c>
      <c r="G549">
        <v>108.75</v>
      </c>
      <c r="T549" t="s">
        <v>269</v>
      </c>
      <c r="U549" t="s">
        <v>1049</v>
      </c>
      <c r="V549" t="s">
        <v>1054</v>
      </c>
      <c r="W549">
        <v>750</v>
      </c>
    </row>
    <row r="550" spans="1:23" x14ac:dyDescent="0.2">
      <c r="A550" t="s">
        <v>960</v>
      </c>
      <c r="B550" t="s">
        <v>225</v>
      </c>
      <c r="C550" t="s">
        <v>93</v>
      </c>
      <c r="D550" t="s">
        <v>327</v>
      </c>
      <c r="E550">
        <v>0.125</v>
      </c>
      <c r="F550">
        <v>70</v>
      </c>
      <c r="G550">
        <v>8.75</v>
      </c>
      <c r="T550" t="s">
        <v>269</v>
      </c>
      <c r="U550" t="s">
        <v>1050</v>
      </c>
      <c r="V550" t="s">
        <v>1055</v>
      </c>
      <c r="W550">
        <v>0</v>
      </c>
    </row>
    <row r="551" spans="1:23" x14ac:dyDescent="0.2">
      <c r="A551" t="s">
        <v>960</v>
      </c>
      <c r="B551" t="s">
        <v>225</v>
      </c>
      <c r="C551" t="s">
        <v>47</v>
      </c>
      <c r="D551" t="s">
        <v>328</v>
      </c>
      <c r="E551">
        <v>0.08</v>
      </c>
      <c r="F551">
        <v>235</v>
      </c>
      <c r="G551">
        <v>18.8</v>
      </c>
      <c r="T551" t="s">
        <v>268</v>
      </c>
      <c r="U551" t="s">
        <v>1042</v>
      </c>
      <c r="V551" t="s">
        <v>401</v>
      </c>
      <c r="W551">
        <v>50</v>
      </c>
    </row>
    <row r="552" spans="1:23" x14ac:dyDescent="0.2">
      <c r="A552" t="s">
        <v>960</v>
      </c>
      <c r="B552" t="s">
        <v>225</v>
      </c>
      <c r="C552" t="s">
        <v>49</v>
      </c>
      <c r="D552" t="s">
        <v>290</v>
      </c>
      <c r="E552">
        <v>7.4999999999999997E-2</v>
      </c>
      <c r="F552">
        <v>248</v>
      </c>
      <c r="G552">
        <v>18.600000000000001</v>
      </c>
      <c r="T552" t="s">
        <v>268</v>
      </c>
      <c r="U552" t="s">
        <v>1043</v>
      </c>
      <c r="V552" t="s">
        <v>272</v>
      </c>
      <c r="W552">
        <v>885</v>
      </c>
    </row>
    <row r="553" spans="1:23" x14ac:dyDescent="0.2">
      <c r="A553" t="s">
        <v>960</v>
      </c>
      <c r="B553" t="s">
        <v>225</v>
      </c>
      <c r="C553" t="s">
        <v>19</v>
      </c>
      <c r="D553" t="s">
        <v>329</v>
      </c>
      <c r="E553">
        <v>2</v>
      </c>
      <c r="F553">
        <v>2.9</v>
      </c>
      <c r="G553">
        <v>5.8</v>
      </c>
      <c r="T553" t="s">
        <v>268</v>
      </c>
      <c r="U553" t="s">
        <v>1044</v>
      </c>
      <c r="V553" t="s">
        <v>405</v>
      </c>
      <c r="W553">
        <v>100</v>
      </c>
    </row>
    <row r="554" spans="1:23" x14ac:dyDescent="0.2">
      <c r="A554" t="s">
        <v>960</v>
      </c>
      <c r="B554" t="s">
        <v>225</v>
      </c>
      <c r="C554" t="s">
        <v>20</v>
      </c>
      <c r="D554" t="s">
        <v>330</v>
      </c>
      <c r="E554">
        <v>2</v>
      </c>
      <c r="F554">
        <v>2.9</v>
      </c>
      <c r="G554">
        <v>5.8</v>
      </c>
      <c r="T554" t="s">
        <v>268</v>
      </c>
      <c r="U554" t="s">
        <v>1045</v>
      </c>
      <c r="V554" t="s">
        <v>402</v>
      </c>
      <c r="W554">
        <v>60</v>
      </c>
    </row>
    <row r="555" spans="1:23" x14ac:dyDescent="0.2">
      <c r="A555" t="s">
        <v>960</v>
      </c>
      <c r="B555" t="s">
        <v>225</v>
      </c>
      <c r="C555" t="s">
        <v>22</v>
      </c>
      <c r="D555" t="s">
        <v>331</v>
      </c>
      <c r="E555">
        <v>2</v>
      </c>
      <c r="F555">
        <v>2.5</v>
      </c>
      <c r="G555">
        <v>5</v>
      </c>
      <c r="T555" t="s">
        <v>268</v>
      </c>
      <c r="U555" t="s">
        <v>1046</v>
      </c>
      <c r="V555" t="s">
        <v>1051</v>
      </c>
      <c r="W555">
        <v>70</v>
      </c>
    </row>
    <row r="556" spans="1:23" x14ac:dyDescent="0.2">
      <c r="A556" t="s">
        <v>960</v>
      </c>
      <c r="B556" t="s">
        <v>225</v>
      </c>
      <c r="C556" t="s">
        <v>29</v>
      </c>
      <c r="D556" t="s">
        <v>292</v>
      </c>
      <c r="E556">
        <v>1.2</v>
      </c>
      <c r="F556">
        <v>27</v>
      </c>
      <c r="G556">
        <v>32.4</v>
      </c>
      <c r="T556" t="s">
        <v>268</v>
      </c>
      <c r="U556" t="s">
        <v>1047</v>
      </c>
      <c r="V556" t="s">
        <v>1052</v>
      </c>
      <c r="W556">
        <v>70</v>
      </c>
    </row>
    <row r="557" spans="1:23" x14ac:dyDescent="0.2">
      <c r="A557" t="s">
        <v>960</v>
      </c>
      <c r="B557" t="s">
        <v>225</v>
      </c>
      <c r="C557" t="s">
        <v>30</v>
      </c>
      <c r="D557" t="s">
        <v>332</v>
      </c>
      <c r="E557">
        <v>3</v>
      </c>
      <c r="F557">
        <v>6</v>
      </c>
      <c r="G557">
        <v>18</v>
      </c>
      <c r="T557" t="s">
        <v>268</v>
      </c>
      <c r="U557" t="s">
        <v>1048</v>
      </c>
      <c r="V557" t="s">
        <v>1053</v>
      </c>
      <c r="W557">
        <v>250</v>
      </c>
    </row>
    <row r="558" spans="1:23" x14ac:dyDescent="0.2">
      <c r="A558" t="s">
        <v>960</v>
      </c>
      <c r="B558" t="s">
        <v>225</v>
      </c>
      <c r="C558" t="s">
        <v>101</v>
      </c>
      <c r="D558" t="s">
        <v>333</v>
      </c>
      <c r="E558">
        <v>1.4999999999999999E-2</v>
      </c>
      <c r="F558">
        <v>1200</v>
      </c>
      <c r="G558">
        <v>18</v>
      </c>
      <c r="T558" t="s">
        <v>268</v>
      </c>
      <c r="U558" t="s">
        <v>1049</v>
      </c>
      <c r="V558" t="s">
        <v>1054</v>
      </c>
      <c r="W558">
        <v>750</v>
      </c>
    </row>
    <row r="559" spans="1:23" x14ac:dyDescent="0.2">
      <c r="A559" t="s">
        <v>960</v>
      </c>
      <c r="B559" t="s">
        <v>225</v>
      </c>
      <c r="C559" t="s">
        <v>121</v>
      </c>
      <c r="D559" t="s">
        <v>301</v>
      </c>
      <c r="E559">
        <v>1</v>
      </c>
      <c r="F559">
        <v>0.95</v>
      </c>
      <c r="G559">
        <v>0.95</v>
      </c>
      <c r="T559" t="s">
        <v>268</v>
      </c>
      <c r="U559" t="s">
        <v>1050</v>
      </c>
      <c r="V559" t="s">
        <v>1055</v>
      </c>
      <c r="W559">
        <v>0</v>
      </c>
    </row>
    <row r="560" spans="1:23" x14ac:dyDescent="0.2">
      <c r="A560" t="s">
        <v>960</v>
      </c>
      <c r="B560" t="s">
        <v>225</v>
      </c>
      <c r="C560" t="s">
        <v>122</v>
      </c>
      <c r="D560" t="s">
        <v>302</v>
      </c>
      <c r="E560">
        <v>1</v>
      </c>
      <c r="F560">
        <v>4.2</v>
      </c>
      <c r="G560">
        <v>4.2</v>
      </c>
      <c r="T560" t="s">
        <v>213</v>
      </c>
      <c r="U560" t="s">
        <v>1042</v>
      </c>
      <c r="V560" t="s">
        <v>401</v>
      </c>
      <c r="W560">
        <v>50</v>
      </c>
    </row>
    <row r="561" spans="1:23" x14ac:dyDescent="0.2">
      <c r="A561" t="s">
        <v>960</v>
      </c>
      <c r="B561" t="s">
        <v>225</v>
      </c>
      <c r="C561" t="s">
        <v>4</v>
      </c>
      <c r="D561" t="s">
        <v>304</v>
      </c>
      <c r="E561">
        <v>2.4</v>
      </c>
      <c r="F561">
        <v>10.1</v>
      </c>
      <c r="G561">
        <v>24.24</v>
      </c>
      <c r="T561" t="s">
        <v>213</v>
      </c>
      <c r="U561" t="s">
        <v>1043</v>
      </c>
      <c r="V561" t="s">
        <v>272</v>
      </c>
      <c r="W561">
        <v>885</v>
      </c>
    </row>
    <row r="562" spans="1:23" x14ac:dyDescent="0.2">
      <c r="A562" t="s">
        <v>960</v>
      </c>
      <c r="B562" t="s">
        <v>225</v>
      </c>
      <c r="C562" t="s">
        <v>5</v>
      </c>
      <c r="D562" t="s">
        <v>305</v>
      </c>
      <c r="E562">
        <v>0.25</v>
      </c>
      <c r="F562">
        <v>11.5</v>
      </c>
      <c r="G562">
        <v>2.875</v>
      </c>
      <c r="T562" t="s">
        <v>213</v>
      </c>
      <c r="U562" t="s">
        <v>1044</v>
      </c>
      <c r="V562" t="s">
        <v>405</v>
      </c>
      <c r="W562">
        <v>100</v>
      </c>
    </row>
    <row r="563" spans="1:23" x14ac:dyDescent="0.2">
      <c r="A563" t="s">
        <v>960</v>
      </c>
      <c r="B563" t="s">
        <v>225</v>
      </c>
      <c r="C563" t="s">
        <v>105</v>
      </c>
      <c r="D563" t="s">
        <v>313</v>
      </c>
      <c r="E563">
        <v>100</v>
      </c>
      <c r="F563">
        <v>0.1</v>
      </c>
      <c r="G563">
        <v>10</v>
      </c>
      <c r="T563" t="s">
        <v>213</v>
      </c>
      <c r="U563" t="s">
        <v>1045</v>
      </c>
      <c r="V563" t="s">
        <v>402</v>
      </c>
      <c r="W563">
        <v>60</v>
      </c>
    </row>
    <row r="564" spans="1:23" x14ac:dyDescent="0.2">
      <c r="A564" t="s">
        <v>960</v>
      </c>
      <c r="B564" t="s">
        <v>225</v>
      </c>
      <c r="C564" t="s">
        <v>107</v>
      </c>
      <c r="D564" t="s">
        <v>316</v>
      </c>
      <c r="E564">
        <v>50</v>
      </c>
      <c r="F564">
        <v>0.1</v>
      </c>
      <c r="G564">
        <v>5</v>
      </c>
      <c r="T564" t="s">
        <v>213</v>
      </c>
      <c r="U564" t="s">
        <v>1046</v>
      </c>
      <c r="V564" t="s">
        <v>1051</v>
      </c>
      <c r="W564">
        <v>70</v>
      </c>
    </row>
    <row r="565" spans="1:23" x14ac:dyDescent="0.2">
      <c r="A565" t="s">
        <v>960</v>
      </c>
      <c r="B565" t="s">
        <v>225</v>
      </c>
      <c r="C565" t="s">
        <v>118</v>
      </c>
      <c r="D565" t="s">
        <v>356</v>
      </c>
      <c r="E565">
        <v>50</v>
      </c>
      <c r="F565">
        <v>0.1</v>
      </c>
      <c r="G565">
        <v>5</v>
      </c>
      <c r="T565" t="s">
        <v>213</v>
      </c>
      <c r="U565" t="s">
        <v>1047</v>
      </c>
      <c r="V565" t="s">
        <v>1052</v>
      </c>
      <c r="W565">
        <v>70</v>
      </c>
    </row>
    <row r="566" spans="1:23" x14ac:dyDescent="0.2">
      <c r="A566" t="s">
        <v>1032</v>
      </c>
      <c r="B566" t="s">
        <v>1033</v>
      </c>
      <c r="C566" t="s">
        <v>95</v>
      </c>
      <c r="D566" t="s">
        <v>281</v>
      </c>
      <c r="E566">
        <v>2</v>
      </c>
      <c r="F566">
        <v>2</v>
      </c>
      <c r="G566">
        <v>4</v>
      </c>
      <c r="T566" t="s">
        <v>213</v>
      </c>
      <c r="U566" t="s">
        <v>1048</v>
      </c>
      <c r="V566" t="s">
        <v>1053</v>
      </c>
      <c r="W566">
        <v>250</v>
      </c>
    </row>
    <row r="567" spans="1:23" x14ac:dyDescent="0.2">
      <c r="A567" t="s">
        <v>1032</v>
      </c>
      <c r="B567" t="s">
        <v>1033</v>
      </c>
      <c r="C567" t="s">
        <v>44</v>
      </c>
      <c r="D567" t="s">
        <v>324</v>
      </c>
      <c r="E567">
        <v>0</v>
      </c>
      <c r="F567">
        <v>65</v>
      </c>
      <c r="G567">
        <v>0</v>
      </c>
      <c r="T567" t="s">
        <v>213</v>
      </c>
      <c r="U567" t="s">
        <v>1049</v>
      </c>
      <c r="V567" t="s">
        <v>1054</v>
      </c>
      <c r="W567">
        <v>750</v>
      </c>
    </row>
    <row r="568" spans="1:23" x14ac:dyDescent="0.2">
      <c r="A568" t="s">
        <v>1032</v>
      </c>
      <c r="B568" t="s">
        <v>1033</v>
      </c>
      <c r="C568" t="s">
        <v>53</v>
      </c>
      <c r="D568" t="s">
        <v>325</v>
      </c>
      <c r="E568">
        <v>0</v>
      </c>
      <c r="F568">
        <v>120</v>
      </c>
      <c r="G568">
        <v>0</v>
      </c>
      <c r="T568" t="s">
        <v>213</v>
      </c>
      <c r="U568" t="s">
        <v>1050</v>
      </c>
      <c r="V568" t="s">
        <v>1055</v>
      </c>
      <c r="W568">
        <v>0</v>
      </c>
    </row>
    <row r="569" spans="1:23" x14ac:dyDescent="0.2">
      <c r="A569" t="s">
        <v>1032</v>
      </c>
      <c r="B569" t="s">
        <v>1033</v>
      </c>
      <c r="C569" t="s">
        <v>60</v>
      </c>
      <c r="D569" t="s">
        <v>337</v>
      </c>
      <c r="E569">
        <v>0</v>
      </c>
      <c r="F569">
        <v>130</v>
      </c>
      <c r="G569">
        <v>0</v>
      </c>
      <c r="T569" t="s">
        <v>201</v>
      </c>
      <c r="U569" t="s">
        <v>1042</v>
      </c>
      <c r="V569" t="s">
        <v>401</v>
      </c>
      <c r="W569">
        <v>50</v>
      </c>
    </row>
    <row r="570" spans="1:23" x14ac:dyDescent="0.2">
      <c r="A570" t="s">
        <v>1032</v>
      </c>
      <c r="B570" t="s">
        <v>1033</v>
      </c>
      <c r="C570" t="s">
        <v>69</v>
      </c>
      <c r="D570" t="s">
        <v>288</v>
      </c>
      <c r="E570">
        <v>0.19</v>
      </c>
      <c r="F570">
        <v>190</v>
      </c>
      <c r="G570">
        <v>36.1</v>
      </c>
      <c r="T570" t="s">
        <v>201</v>
      </c>
      <c r="U570" t="s">
        <v>1043</v>
      </c>
      <c r="V570" t="s">
        <v>272</v>
      </c>
      <c r="W570">
        <v>885</v>
      </c>
    </row>
    <row r="571" spans="1:23" x14ac:dyDescent="0.2">
      <c r="A571" t="s">
        <v>1032</v>
      </c>
      <c r="B571" t="s">
        <v>1033</v>
      </c>
      <c r="C571" t="s">
        <v>84</v>
      </c>
      <c r="D571" t="s">
        <v>346</v>
      </c>
      <c r="E571">
        <v>0</v>
      </c>
      <c r="F571">
        <v>190</v>
      </c>
      <c r="G571">
        <v>0</v>
      </c>
      <c r="T571" t="s">
        <v>201</v>
      </c>
      <c r="U571" t="s">
        <v>1044</v>
      </c>
      <c r="V571" t="s">
        <v>405</v>
      </c>
      <c r="W571">
        <v>100</v>
      </c>
    </row>
    <row r="572" spans="1:23" x14ac:dyDescent="0.2">
      <c r="A572" t="s">
        <v>1032</v>
      </c>
      <c r="B572" t="s">
        <v>1033</v>
      </c>
      <c r="C572" t="s">
        <v>93</v>
      </c>
      <c r="D572" t="s">
        <v>327</v>
      </c>
      <c r="E572">
        <v>0</v>
      </c>
      <c r="F572">
        <v>70</v>
      </c>
      <c r="G572">
        <v>0</v>
      </c>
      <c r="T572" t="s">
        <v>201</v>
      </c>
      <c r="U572" t="s">
        <v>1045</v>
      </c>
      <c r="V572" t="s">
        <v>402</v>
      </c>
      <c r="W572">
        <v>60</v>
      </c>
    </row>
    <row r="573" spans="1:23" x14ac:dyDescent="0.2">
      <c r="A573" t="s">
        <v>1032</v>
      </c>
      <c r="B573" t="s">
        <v>1033</v>
      </c>
      <c r="C573" t="s">
        <v>47</v>
      </c>
      <c r="D573" t="s">
        <v>328</v>
      </c>
      <c r="E573">
        <v>0</v>
      </c>
      <c r="F573">
        <v>235</v>
      </c>
      <c r="G573">
        <v>0</v>
      </c>
      <c r="T573" t="s">
        <v>201</v>
      </c>
      <c r="U573" t="s">
        <v>1046</v>
      </c>
      <c r="V573" t="s">
        <v>1051</v>
      </c>
      <c r="W573">
        <v>70</v>
      </c>
    </row>
    <row r="574" spans="1:23" x14ac:dyDescent="0.2">
      <c r="A574" t="s">
        <v>1032</v>
      </c>
      <c r="B574" t="s">
        <v>1033</v>
      </c>
      <c r="C574" t="s">
        <v>49</v>
      </c>
      <c r="D574" t="s">
        <v>290</v>
      </c>
      <c r="E574">
        <v>7.4999999999999997E-2</v>
      </c>
      <c r="F574">
        <v>248</v>
      </c>
      <c r="G574">
        <v>18.600000000000001</v>
      </c>
      <c r="T574" t="s">
        <v>201</v>
      </c>
      <c r="U574" t="s">
        <v>1047</v>
      </c>
      <c r="V574" t="s">
        <v>1052</v>
      </c>
      <c r="W574">
        <v>70</v>
      </c>
    </row>
    <row r="575" spans="1:23" x14ac:dyDescent="0.2">
      <c r="A575" t="s">
        <v>1032</v>
      </c>
      <c r="B575" t="s">
        <v>1033</v>
      </c>
      <c r="C575" t="s">
        <v>19</v>
      </c>
      <c r="D575" t="s">
        <v>329</v>
      </c>
      <c r="E575">
        <v>2</v>
      </c>
      <c r="F575">
        <v>2.9</v>
      </c>
      <c r="G575">
        <v>5.8</v>
      </c>
      <c r="T575" t="s">
        <v>201</v>
      </c>
      <c r="U575" t="s">
        <v>1048</v>
      </c>
      <c r="V575" t="s">
        <v>1053</v>
      </c>
      <c r="W575">
        <v>250</v>
      </c>
    </row>
    <row r="576" spans="1:23" x14ac:dyDescent="0.2">
      <c r="A576" t="s">
        <v>1032</v>
      </c>
      <c r="B576" t="s">
        <v>1033</v>
      </c>
      <c r="C576" t="s">
        <v>20</v>
      </c>
      <c r="D576" t="s">
        <v>330</v>
      </c>
      <c r="E576">
        <v>2</v>
      </c>
      <c r="F576">
        <v>2.9</v>
      </c>
      <c r="G576">
        <v>5.8</v>
      </c>
      <c r="T576" t="s">
        <v>201</v>
      </c>
      <c r="U576" t="s">
        <v>1049</v>
      </c>
      <c r="V576" t="s">
        <v>1054</v>
      </c>
      <c r="W576">
        <v>750</v>
      </c>
    </row>
    <row r="577" spans="1:23" x14ac:dyDescent="0.2">
      <c r="A577" t="s">
        <v>1032</v>
      </c>
      <c r="B577" t="s">
        <v>1033</v>
      </c>
      <c r="C577" t="s">
        <v>22</v>
      </c>
      <c r="D577" t="s">
        <v>331</v>
      </c>
      <c r="E577">
        <v>2</v>
      </c>
      <c r="F577">
        <v>2.5</v>
      </c>
      <c r="G577">
        <v>5</v>
      </c>
      <c r="T577" t="s">
        <v>201</v>
      </c>
      <c r="U577" t="s">
        <v>1050</v>
      </c>
      <c r="V577" t="s">
        <v>1055</v>
      </c>
      <c r="W577">
        <v>0</v>
      </c>
    </row>
    <row r="578" spans="1:23" x14ac:dyDescent="0.2">
      <c r="A578" t="s">
        <v>1032</v>
      </c>
      <c r="B578" t="s">
        <v>1033</v>
      </c>
      <c r="C578" t="s">
        <v>29</v>
      </c>
      <c r="D578" t="s">
        <v>292</v>
      </c>
      <c r="E578">
        <v>1.2</v>
      </c>
      <c r="F578">
        <v>27</v>
      </c>
      <c r="G578">
        <v>32.4</v>
      </c>
      <c r="T578" t="s">
        <v>218</v>
      </c>
      <c r="U578" t="s">
        <v>1042</v>
      </c>
      <c r="V578" t="s">
        <v>401</v>
      </c>
      <c r="W578">
        <v>50</v>
      </c>
    </row>
    <row r="579" spans="1:23" x14ac:dyDescent="0.2">
      <c r="A579" t="s">
        <v>1032</v>
      </c>
      <c r="B579" t="s">
        <v>1033</v>
      </c>
      <c r="C579" t="s">
        <v>30</v>
      </c>
      <c r="D579" t="s">
        <v>332</v>
      </c>
      <c r="E579">
        <v>3</v>
      </c>
      <c r="F579">
        <v>6</v>
      </c>
      <c r="G579">
        <v>18</v>
      </c>
      <c r="T579" t="s">
        <v>218</v>
      </c>
      <c r="U579" t="s">
        <v>1043</v>
      </c>
      <c r="V579" t="s">
        <v>272</v>
      </c>
      <c r="W579">
        <v>885</v>
      </c>
    </row>
    <row r="580" spans="1:23" x14ac:dyDescent="0.2">
      <c r="A580" t="s">
        <v>1032</v>
      </c>
      <c r="B580" t="s">
        <v>1033</v>
      </c>
      <c r="C580" t="s">
        <v>101</v>
      </c>
      <c r="D580" t="s">
        <v>333</v>
      </c>
      <c r="E580">
        <v>0</v>
      </c>
      <c r="F580">
        <v>1200</v>
      </c>
      <c r="G580">
        <v>0</v>
      </c>
      <c r="T580" t="s">
        <v>218</v>
      </c>
      <c r="U580" t="s">
        <v>1044</v>
      </c>
      <c r="V580" t="s">
        <v>405</v>
      </c>
      <c r="W580">
        <v>100</v>
      </c>
    </row>
    <row r="581" spans="1:23" x14ac:dyDescent="0.2">
      <c r="A581" t="s">
        <v>1032</v>
      </c>
      <c r="B581" t="s">
        <v>1033</v>
      </c>
      <c r="C581" t="s">
        <v>121</v>
      </c>
      <c r="D581" t="s">
        <v>301</v>
      </c>
      <c r="E581">
        <v>1</v>
      </c>
      <c r="F581">
        <v>0.95</v>
      </c>
      <c r="G581">
        <v>0.95</v>
      </c>
      <c r="T581" t="s">
        <v>218</v>
      </c>
      <c r="U581" t="s">
        <v>1045</v>
      </c>
      <c r="V581" t="s">
        <v>402</v>
      </c>
      <c r="W581">
        <v>60</v>
      </c>
    </row>
    <row r="582" spans="1:23" x14ac:dyDescent="0.2">
      <c r="A582" t="s">
        <v>1032</v>
      </c>
      <c r="B582" t="s">
        <v>1033</v>
      </c>
      <c r="C582" t="s">
        <v>122</v>
      </c>
      <c r="D582" t="s">
        <v>302</v>
      </c>
      <c r="E582">
        <v>1</v>
      </c>
      <c r="F582">
        <v>4.2</v>
      </c>
      <c r="G582">
        <v>4.2</v>
      </c>
      <c r="T582" t="s">
        <v>218</v>
      </c>
      <c r="U582" t="s">
        <v>1046</v>
      </c>
      <c r="V582" t="s">
        <v>1051</v>
      </c>
      <c r="W582">
        <v>70</v>
      </c>
    </row>
    <row r="583" spans="1:23" x14ac:dyDescent="0.2">
      <c r="A583" t="s">
        <v>1032</v>
      </c>
      <c r="B583" t="s">
        <v>1033</v>
      </c>
      <c r="C583" t="s">
        <v>4</v>
      </c>
      <c r="D583" t="s">
        <v>304</v>
      </c>
      <c r="E583">
        <v>2.4</v>
      </c>
      <c r="F583">
        <v>10.1</v>
      </c>
      <c r="G583">
        <v>24.24</v>
      </c>
      <c r="T583" t="s">
        <v>218</v>
      </c>
      <c r="U583" t="s">
        <v>1047</v>
      </c>
      <c r="V583" t="s">
        <v>1052</v>
      </c>
      <c r="W583">
        <v>70</v>
      </c>
    </row>
    <row r="584" spans="1:23" x14ac:dyDescent="0.2">
      <c r="A584" t="s">
        <v>1032</v>
      </c>
      <c r="B584" t="s">
        <v>1033</v>
      </c>
      <c r="C584" t="s">
        <v>105</v>
      </c>
      <c r="D584" t="s">
        <v>313</v>
      </c>
      <c r="E584">
        <v>200</v>
      </c>
      <c r="F584">
        <v>0.1</v>
      </c>
      <c r="G584">
        <v>20</v>
      </c>
      <c r="T584" t="s">
        <v>218</v>
      </c>
      <c r="U584" t="s">
        <v>1048</v>
      </c>
      <c r="V584" t="s">
        <v>1053</v>
      </c>
      <c r="W584">
        <v>250</v>
      </c>
    </row>
    <row r="585" spans="1:23" x14ac:dyDescent="0.2">
      <c r="A585" t="s">
        <v>1032</v>
      </c>
      <c r="B585" t="s">
        <v>1033</v>
      </c>
      <c r="C585" t="s">
        <v>107</v>
      </c>
      <c r="D585" t="s">
        <v>316</v>
      </c>
      <c r="E585">
        <v>50</v>
      </c>
      <c r="F585">
        <v>0.1</v>
      </c>
      <c r="G585">
        <v>5</v>
      </c>
      <c r="T585" t="s">
        <v>218</v>
      </c>
      <c r="U585" t="s">
        <v>1049</v>
      </c>
      <c r="V585" t="s">
        <v>1054</v>
      </c>
      <c r="W585">
        <v>750</v>
      </c>
    </row>
    <row r="586" spans="1:23" x14ac:dyDescent="0.2">
      <c r="A586" t="s">
        <v>954</v>
      </c>
      <c r="B586" t="s">
        <v>955</v>
      </c>
      <c r="C586" t="s">
        <v>95</v>
      </c>
      <c r="D586" t="s">
        <v>281</v>
      </c>
      <c r="E586">
        <v>1</v>
      </c>
      <c r="F586">
        <v>2</v>
      </c>
      <c r="G586">
        <v>2</v>
      </c>
      <c r="T586" t="s">
        <v>218</v>
      </c>
      <c r="U586" t="s">
        <v>1050</v>
      </c>
      <c r="V586" t="s">
        <v>1055</v>
      </c>
      <c r="W586">
        <v>0</v>
      </c>
    </row>
    <row r="587" spans="1:23" x14ac:dyDescent="0.2">
      <c r="A587" t="s">
        <v>954</v>
      </c>
      <c r="B587" t="s">
        <v>955</v>
      </c>
      <c r="C587" t="s">
        <v>69</v>
      </c>
      <c r="D587" t="s">
        <v>288</v>
      </c>
      <c r="E587">
        <v>0</v>
      </c>
      <c r="F587">
        <v>190</v>
      </c>
      <c r="G587">
        <v>0</v>
      </c>
      <c r="T587" t="s">
        <v>266</v>
      </c>
      <c r="U587" t="s">
        <v>1042</v>
      </c>
      <c r="V587" t="s">
        <v>401</v>
      </c>
      <c r="W587">
        <v>50</v>
      </c>
    </row>
    <row r="588" spans="1:23" x14ac:dyDescent="0.2">
      <c r="A588" t="s">
        <v>954</v>
      </c>
      <c r="B588" t="s">
        <v>955</v>
      </c>
      <c r="C588" t="s">
        <v>48</v>
      </c>
      <c r="D588" t="s">
        <v>359</v>
      </c>
      <c r="E588">
        <v>0</v>
      </c>
      <c r="F588">
        <v>412</v>
      </c>
      <c r="G588">
        <v>0</v>
      </c>
      <c r="T588" t="s">
        <v>266</v>
      </c>
      <c r="U588" t="s">
        <v>1043</v>
      </c>
      <c r="V588" t="s">
        <v>272</v>
      </c>
      <c r="W588">
        <v>885</v>
      </c>
    </row>
    <row r="589" spans="1:23" x14ac:dyDescent="0.2">
      <c r="A589" t="s">
        <v>954</v>
      </c>
      <c r="B589" t="s">
        <v>955</v>
      </c>
      <c r="C589" t="s">
        <v>626</v>
      </c>
      <c r="D589" t="s">
        <v>627</v>
      </c>
      <c r="E589">
        <v>1</v>
      </c>
      <c r="F589">
        <v>102.5</v>
      </c>
      <c r="G589">
        <v>102.5</v>
      </c>
      <c r="T589" t="s">
        <v>266</v>
      </c>
      <c r="U589" t="s">
        <v>1044</v>
      </c>
      <c r="V589" t="s">
        <v>405</v>
      </c>
      <c r="W589">
        <v>100</v>
      </c>
    </row>
    <row r="590" spans="1:23" x14ac:dyDescent="0.2">
      <c r="A590" t="s">
        <v>954</v>
      </c>
      <c r="B590" t="s">
        <v>955</v>
      </c>
      <c r="C590" t="s">
        <v>121</v>
      </c>
      <c r="D590" t="s">
        <v>301</v>
      </c>
      <c r="E590">
        <v>1</v>
      </c>
      <c r="F590">
        <v>0.95</v>
      </c>
      <c r="G590">
        <v>0.95</v>
      </c>
      <c r="T590" t="s">
        <v>266</v>
      </c>
      <c r="U590" t="s">
        <v>1045</v>
      </c>
      <c r="V590" t="s">
        <v>402</v>
      </c>
      <c r="W590">
        <v>60</v>
      </c>
    </row>
    <row r="591" spans="1:23" x14ac:dyDescent="0.2">
      <c r="A591" t="s">
        <v>954</v>
      </c>
      <c r="B591" t="s">
        <v>955</v>
      </c>
      <c r="C591" t="s">
        <v>122</v>
      </c>
      <c r="D591" t="s">
        <v>302</v>
      </c>
      <c r="E591">
        <v>1</v>
      </c>
      <c r="F591">
        <v>4.2</v>
      </c>
      <c r="G591">
        <v>4.2</v>
      </c>
      <c r="T591" t="s">
        <v>266</v>
      </c>
      <c r="U591" t="s">
        <v>1046</v>
      </c>
      <c r="V591" t="s">
        <v>1051</v>
      </c>
      <c r="W591">
        <v>70</v>
      </c>
    </row>
    <row r="592" spans="1:23" x14ac:dyDescent="0.2">
      <c r="A592" t="s">
        <v>954</v>
      </c>
      <c r="B592" t="s">
        <v>955</v>
      </c>
      <c r="C592" t="s">
        <v>722</v>
      </c>
      <c r="D592" t="s">
        <v>723</v>
      </c>
      <c r="E592">
        <v>1</v>
      </c>
      <c r="F592">
        <v>16.8</v>
      </c>
      <c r="G592">
        <v>16.8</v>
      </c>
      <c r="T592" t="s">
        <v>266</v>
      </c>
      <c r="U592" t="s">
        <v>1047</v>
      </c>
      <c r="V592" t="s">
        <v>1052</v>
      </c>
      <c r="W592">
        <v>70</v>
      </c>
    </row>
    <row r="593" spans="1:23" x14ac:dyDescent="0.2">
      <c r="A593" t="s">
        <v>954</v>
      </c>
      <c r="B593" t="s">
        <v>955</v>
      </c>
      <c r="C593" t="s">
        <v>724</v>
      </c>
      <c r="D593" t="s">
        <v>725</v>
      </c>
      <c r="E593">
        <v>1.3</v>
      </c>
      <c r="F593">
        <v>2.1</v>
      </c>
      <c r="G593">
        <v>2.73</v>
      </c>
      <c r="T593" t="s">
        <v>266</v>
      </c>
      <c r="U593" t="s">
        <v>1048</v>
      </c>
      <c r="V593" t="s">
        <v>1053</v>
      </c>
      <c r="W593">
        <v>250</v>
      </c>
    </row>
    <row r="594" spans="1:23" x14ac:dyDescent="0.2">
      <c r="A594" t="s">
        <v>954</v>
      </c>
      <c r="B594" t="s">
        <v>955</v>
      </c>
      <c r="C594" t="s">
        <v>726</v>
      </c>
      <c r="D594" t="s">
        <v>727</v>
      </c>
      <c r="E594">
        <v>1</v>
      </c>
      <c r="F594">
        <v>0</v>
      </c>
      <c r="G594">
        <v>0</v>
      </c>
      <c r="T594" t="s">
        <v>266</v>
      </c>
      <c r="U594" t="s">
        <v>1049</v>
      </c>
      <c r="V594" t="s">
        <v>1054</v>
      </c>
      <c r="W594">
        <v>750</v>
      </c>
    </row>
    <row r="595" spans="1:23" x14ac:dyDescent="0.2">
      <c r="A595" t="s">
        <v>954</v>
      </c>
      <c r="B595" t="s">
        <v>955</v>
      </c>
      <c r="C595" t="s">
        <v>728</v>
      </c>
      <c r="D595" t="s">
        <v>729</v>
      </c>
      <c r="E595">
        <v>1</v>
      </c>
      <c r="F595">
        <v>0.26</v>
      </c>
      <c r="G595">
        <v>0.26</v>
      </c>
      <c r="T595" t="s">
        <v>266</v>
      </c>
      <c r="U595" t="s">
        <v>1050</v>
      </c>
      <c r="V595" t="s">
        <v>1055</v>
      </c>
      <c r="W595">
        <v>0</v>
      </c>
    </row>
    <row r="596" spans="1:23" x14ac:dyDescent="0.2">
      <c r="A596" t="s">
        <v>954</v>
      </c>
      <c r="B596" t="s">
        <v>955</v>
      </c>
      <c r="C596" t="s">
        <v>5</v>
      </c>
      <c r="D596" t="s">
        <v>305</v>
      </c>
      <c r="E596">
        <v>0.33</v>
      </c>
      <c r="F596">
        <v>11.5</v>
      </c>
      <c r="G596">
        <v>3.7949999999999999</v>
      </c>
      <c r="T596" t="s">
        <v>267</v>
      </c>
      <c r="U596" t="s">
        <v>1042</v>
      </c>
      <c r="V596" t="s">
        <v>401</v>
      </c>
      <c r="W596">
        <v>50</v>
      </c>
    </row>
    <row r="597" spans="1:23" x14ac:dyDescent="0.2">
      <c r="A597" t="s">
        <v>954</v>
      </c>
      <c r="B597" t="s">
        <v>955</v>
      </c>
      <c r="C597" t="s">
        <v>6</v>
      </c>
      <c r="D597" t="s">
        <v>306</v>
      </c>
      <c r="E597">
        <v>1.56</v>
      </c>
      <c r="F597">
        <v>16.8</v>
      </c>
      <c r="G597">
        <v>26.207999999999998</v>
      </c>
      <c r="T597" t="s">
        <v>267</v>
      </c>
      <c r="U597" t="s">
        <v>1043</v>
      </c>
      <c r="V597" t="s">
        <v>272</v>
      </c>
      <c r="W597">
        <v>885</v>
      </c>
    </row>
    <row r="598" spans="1:23" x14ac:dyDescent="0.2">
      <c r="A598" t="s">
        <v>954</v>
      </c>
      <c r="B598" t="s">
        <v>955</v>
      </c>
      <c r="C598" t="s">
        <v>802</v>
      </c>
      <c r="D598" t="s">
        <v>803</v>
      </c>
      <c r="E598">
        <v>0.11</v>
      </c>
      <c r="F598">
        <v>7</v>
      </c>
      <c r="G598">
        <v>0.77</v>
      </c>
      <c r="T598" t="s">
        <v>267</v>
      </c>
      <c r="U598" t="s">
        <v>1044</v>
      </c>
      <c r="V598" t="s">
        <v>405</v>
      </c>
      <c r="W598">
        <v>100</v>
      </c>
    </row>
    <row r="599" spans="1:23" x14ac:dyDescent="0.2">
      <c r="A599" t="s">
        <v>954</v>
      </c>
      <c r="B599" t="s">
        <v>955</v>
      </c>
      <c r="C599" t="s">
        <v>105</v>
      </c>
      <c r="D599" t="s">
        <v>313</v>
      </c>
      <c r="E599">
        <v>0</v>
      </c>
      <c r="F599">
        <v>0.1</v>
      </c>
      <c r="G599">
        <v>0</v>
      </c>
      <c r="T599" t="s">
        <v>267</v>
      </c>
      <c r="U599" t="s">
        <v>1045</v>
      </c>
      <c r="V599" t="s">
        <v>402</v>
      </c>
      <c r="W599">
        <v>60</v>
      </c>
    </row>
    <row r="600" spans="1:23" x14ac:dyDescent="0.2">
      <c r="A600" t="s">
        <v>952</v>
      </c>
      <c r="B600" t="s">
        <v>953</v>
      </c>
      <c r="C600" t="s">
        <v>95</v>
      </c>
      <c r="D600" t="s">
        <v>281</v>
      </c>
      <c r="E600">
        <v>1</v>
      </c>
      <c r="F600">
        <v>2</v>
      </c>
      <c r="G600">
        <v>2</v>
      </c>
      <c r="T600" t="s">
        <v>267</v>
      </c>
      <c r="U600" t="s">
        <v>1046</v>
      </c>
      <c r="V600" t="s">
        <v>1051</v>
      </c>
      <c r="W600">
        <v>70</v>
      </c>
    </row>
    <row r="601" spans="1:23" x14ac:dyDescent="0.2">
      <c r="A601" t="s">
        <v>952</v>
      </c>
      <c r="B601" t="s">
        <v>953</v>
      </c>
      <c r="C601" t="s">
        <v>69</v>
      </c>
      <c r="D601" t="s">
        <v>288</v>
      </c>
      <c r="E601">
        <v>0</v>
      </c>
      <c r="F601">
        <v>190</v>
      </c>
      <c r="G601">
        <v>0</v>
      </c>
      <c r="T601" t="s">
        <v>267</v>
      </c>
      <c r="U601" t="s">
        <v>1047</v>
      </c>
      <c r="V601" t="s">
        <v>1052</v>
      </c>
      <c r="W601">
        <v>70</v>
      </c>
    </row>
    <row r="602" spans="1:23" x14ac:dyDescent="0.2">
      <c r="A602" t="s">
        <v>952</v>
      </c>
      <c r="B602" t="s">
        <v>953</v>
      </c>
      <c r="C602" t="s">
        <v>48</v>
      </c>
      <c r="D602" t="s">
        <v>359</v>
      </c>
      <c r="E602">
        <v>0</v>
      </c>
      <c r="F602">
        <v>412</v>
      </c>
      <c r="G602">
        <v>0</v>
      </c>
      <c r="T602" t="s">
        <v>267</v>
      </c>
      <c r="U602" t="s">
        <v>1048</v>
      </c>
      <c r="V602" t="s">
        <v>1053</v>
      </c>
      <c r="W602">
        <v>250</v>
      </c>
    </row>
    <row r="603" spans="1:23" x14ac:dyDescent="0.2">
      <c r="A603" t="s">
        <v>952</v>
      </c>
      <c r="B603" t="s">
        <v>953</v>
      </c>
      <c r="C603" t="s">
        <v>626</v>
      </c>
      <c r="D603" t="s">
        <v>627</v>
      </c>
      <c r="E603">
        <v>1</v>
      </c>
      <c r="F603">
        <v>102.5</v>
      </c>
      <c r="G603">
        <v>102.5</v>
      </c>
      <c r="T603" t="s">
        <v>267</v>
      </c>
      <c r="U603" t="s">
        <v>1049</v>
      </c>
      <c r="V603" t="s">
        <v>1054</v>
      </c>
      <c r="W603">
        <v>750</v>
      </c>
    </row>
    <row r="604" spans="1:23" x14ac:dyDescent="0.2">
      <c r="A604" t="s">
        <v>952</v>
      </c>
      <c r="B604" t="s">
        <v>953</v>
      </c>
      <c r="C604" t="s">
        <v>121</v>
      </c>
      <c r="D604" t="s">
        <v>301</v>
      </c>
      <c r="E604">
        <v>1</v>
      </c>
      <c r="F604">
        <v>0.95</v>
      </c>
      <c r="G604">
        <v>0.95</v>
      </c>
      <c r="T604" t="s">
        <v>267</v>
      </c>
      <c r="U604" t="s">
        <v>1050</v>
      </c>
      <c r="V604" t="s">
        <v>1055</v>
      </c>
      <c r="W604">
        <v>0</v>
      </c>
    </row>
    <row r="605" spans="1:23" x14ac:dyDescent="0.2">
      <c r="A605" t="s">
        <v>952</v>
      </c>
      <c r="B605" t="s">
        <v>953</v>
      </c>
      <c r="C605" t="s">
        <v>122</v>
      </c>
      <c r="D605" t="s">
        <v>302</v>
      </c>
      <c r="E605">
        <v>1</v>
      </c>
      <c r="F605">
        <v>4.2</v>
      </c>
      <c r="G605">
        <v>4.2</v>
      </c>
      <c r="T605" t="s">
        <v>217</v>
      </c>
      <c r="U605" t="s">
        <v>1042</v>
      </c>
      <c r="V605" t="s">
        <v>401</v>
      </c>
      <c r="W605">
        <v>50</v>
      </c>
    </row>
    <row r="606" spans="1:23" x14ac:dyDescent="0.2">
      <c r="A606" t="s">
        <v>952</v>
      </c>
      <c r="B606" t="s">
        <v>953</v>
      </c>
      <c r="C606" t="s">
        <v>722</v>
      </c>
      <c r="D606" t="s">
        <v>723</v>
      </c>
      <c r="E606">
        <v>1</v>
      </c>
      <c r="F606">
        <v>16.8</v>
      </c>
      <c r="G606">
        <v>16.8</v>
      </c>
      <c r="T606" t="s">
        <v>217</v>
      </c>
      <c r="U606" t="s">
        <v>1043</v>
      </c>
      <c r="V606" t="s">
        <v>272</v>
      </c>
      <c r="W606">
        <v>390</v>
      </c>
    </row>
    <row r="607" spans="1:23" x14ac:dyDescent="0.2">
      <c r="A607" t="s">
        <v>952</v>
      </c>
      <c r="B607" t="s">
        <v>953</v>
      </c>
      <c r="C607" t="s">
        <v>724</v>
      </c>
      <c r="D607" t="s">
        <v>725</v>
      </c>
      <c r="E607">
        <v>1.3</v>
      </c>
      <c r="F607">
        <v>2.1</v>
      </c>
      <c r="G607">
        <v>2.73</v>
      </c>
      <c r="T607" t="s">
        <v>217</v>
      </c>
      <c r="U607" t="s">
        <v>1044</v>
      </c>
      <c r="V607" t="s">
        <v>405</v>
      </c>
      <c r="W607">
        <v>100</v>
      </c>
    </row>
    <row r="608" spans="1:23" x14ac:dyDescent="0.2">
      <c r="A608" t="s">
        <v>952</v>
      </c>
      <c r="B608" t="s">
        <v>953</v>
      </c>
      <c r="C608" t="s">
        <v>726</v>
      </c>
      <c r="D608" t="s">
        <v>727</v>
      </c>
      <c r="E608">
        <v>1</v>
      </c>
      <c r="F608">
        <v>0</v>
      </c>
      <c r="G608">
        <v>0</v>
      </c>
      <c r="T608" t="s">
        <v>217</v>
      </c>
      <c r="U608" t="s">
        <v>1045</v>
      </c>
      <c r="V608" t="s">
        <v>402</v>
      </c>
      <c r="W608">
        <v>60</v>
      </c>
    </row>
    <row r="609" spans="1:23" x14ac:dyDescent="0.2">
      <c r="A609" t="s">
        <v>952</v>
      </c>
      <c r="B609" t="s">
        <v>953</v>
      </c>
      <c r="C609" t="s">
        <v>728</v>
      </c>
      <c r="D609" t="s">
        <v>729</v>
      </c>
      <c r="E609">
        <v>1</v>
      </c>
      <c r="F609">
        <v>0.26</v>
      </c>
      <c r="G609">
        <v>0.26</v>
      </c>
      <c r="T609" t="s">
        <v>217</v>
      </c>
      <c r="U609" t="s">
        <v>1046</v>
      </c>
      <c r="V609" t="s">
        <v>1051</v>
      </c>
      <c r="W609">
        <v>70</v>
      </c>
    </row>
    <row r="610" spans="1:23" x14ac:dyDescent="0.2">
      <c r="A610" t="s">
        <v>952</v>
      </c>
      <c r="B610" t="s">
        <v>953</v>
      </c>
      <c r="C610" t="s">
        <v>5</v>
      </c>
      <c r="D610" t="s">
        <v>305</v>
      </c>
      <c r="E610">
        <v>0.33</v>
      </c>
      <c r="F610">
        <v>11.5</v>
      </c>
      <c r="G610">
        <v>3.7949999999999999</v>
      </c>
      <c r="T610" t="s">
        <v>217</v>
      </c>
      <c r="U610" t="s">
        <v>1047</v>
      </c>
      <c r="V610" t="s">
        <v>1052</v>
      </c>
      <c r="W610">
        <v>70</v>
      </c>
    </row>
    <row r="611" spans="1:23" x14ac:dyDescent="0.2">
      <c r="A611" t="s">
        <v>952</v>
      </c>
      <c r="B611" t="s">
        <v>953</v>
      </c>
      <c r="C611" t="s">
        <v>6</v>
      </c>
      <c r="D611" t="s">
        <v>306</v>
      </c>
      <c r="E611">
        <v>1.56</v>
      </c>
      <c r="F611">
        <v>16.8</v>
      </c>
      <c r="G611">
        <v>26.207999999999998</v>
      </c>
      <c r="T611" t="s">
        <v>217</v>
      </c>
      <c r="U611" t="s">
        <v>1048</v>
      </c>
      <c r="V611" t="s">
        <v>1053</v>
      </c>
      <c r="W611">
        <v>250</v>
      </c>
    </row>
    <row r="612" spans="1:23" x14ac:dyDescent="0.2">
      <c r="A612" t="s">
        <v>952</v>
      </c>
      <c r="B612" t="s">
        <v>953</v>
      </c>
      <c r="C612" t="s">
        <v>802</v>
      </c>
      <c r="D612" t="s">
        <v>803</v>
      </c>
      <c r="E612">
        <v>0.11</v>
      </c>
      <c r="F612">
        <v>7</v>
      </c>
      <c r="G612">
        <v>0.77</v>
      </c>
      <c r="T612" t="s">
        <v>217</v>
      </c>
      <c r="U612" t="s">
        <v>1049</v>
      </c>
      <c r="V612" t="s">
        <v>1054</v>
      </c>
      <c r="W612">
        <v>750</v>
      </c>
    </row>
    <row r="613" spans="1:23" x14ac:dyDescent="0.2">
      <c r="A613" t="s">
        <v>952</v>
      </c>
      <c r="B613" t="s">
        <v>953</v>
      </c>
      <c r="C613" t="s">
        <v>105</v>
      </c>
      <c r="D613" t="s">
        <v>313</v>
      </c>
      <c r="E613">
        <v>0</v>
      </c>
      <c r="F613">
        <v>0.1</v>
      </c>
      <c r="G613">
        <v>0</v>
      </c>
      <c r="T613" t="s">
        <v>217</v>
      </c>
      <c r="U613" t="s">
        <v>1050</v>
      </c>
      <c r="V613" t="s">
        <v>1055</v>
      </c>
      <c r="W613">
        <v>0</v>
      </c>
    </row>
    <row r="614" spans="1:23" x14ac:dyDescent="0.2">
      <c r="A614" t="s">
        <v>868</v>
      </c>
      <c r="B614" t="s">
        <v>869</v>
      </c>
      <c r="C614" t="s">
        <v>94</v>
      </c>
      <c r="D614" t="s">
        <v>280</v>
      </c>
      <c r="E614">
        <v>1</v>
      </c>
      <c r="F614">
        <v>3.5</v>
      </c>
      <c r="G614">
        <v>3.5</v>
      </c>
      <c r="T614" t="s">
        <v>215</v>
      </c>
      <c r="U614" t="s">
        <v>1042</v>
      </c>
      <c r="V614" t="s">
        <v>401</v>
      </c>
      <c r="W614">
        <v>50</v>
      </c>
    </row>
    <row r="615" spans="1:23" x14ac:dyDescent="0.2">
      <c r="A615" t="s">
        <v>868</v>
      </c>
      <c r="B615" t="s">
        <v>869</v>
      </c>
      <c r="C615" t="s">
        <v>95</v>
      </c>
      <c r="D615" t="s">
        <v>281</v>
      </c>
      <c r="E615">
        <v>1</v>
      </c>
      <c r="F615">
        <v>2</v>
      </c>
      <c r="G615">
        <v>2</v>
      </c>
      <c r="T615" t="s">
        <v>215</v>
      </c>
      <c r="U615" t="s">
        <v>1043</v>
      </c>
      <c r="V615" t="s">
        <v>272</v>
      </c>
      <c r="W615">
        <v>390</v>
      </c>
    </row>
    <row r="616" spans="1:23" x14ac:dyDescent="0.2">
      <c r="A616" t="s">
        <v>868</v>
      </c>
      <c r="B616" t="s">
        <v>869</v>
      </c>
      <c r="C616" t="s">
        <v>568</v>
      </c>
      <c r="D616" t="s">
        <v>569</v>
      </c>
      <c r="E616">
        <v>0</v>
      </c>
      <c r="F616">
        <v>230</v>
      </c>
      <c r="G616">
        <v>0</v>
      </c>
      <c r="T616" t="s">
        <v>215</v>
      </c>
      <c r="U616" t="s">
        <v>1044</v>
      </c>
      <c r="V616" t="s">
        <v>405</v>
      </c>
      <c r="W616">
        <v>100</v>
      </c>
    </row>
    <row r="617" spans="1:23" x14ac:dyDescent="0.2">
      <c r="A617" t="s">
        <v>868</v>
      </c>
      <c r="B617" t="s">
        <v>869</v>
      </c>
      <c r="C617" t="s">
        <v>590</v>
      </c>
      <c r="D617" t="s">
        <v>591</v>
      </c>
      <c r="E617">
        <v>1</v>
      </c>
      <c r="F617">
        <v>2.8</v>
      </c>
      <c r="G617">
        <v>2.8</v>
      </c>
      <c r="T617" t="s">
        <v>215</v>
      </c>
      <c r="U617" t="s">
        <v>1045</v>
      </c>
      <c r="V617" t="s">
        <v>402</v>
      </c>
      <c r="W617">
        <v>60</v>
      </c>
    </row>
    <row r="618" spans="1:23" x14ac:dyDescent="0.2">
      <c r="A618" t="s">
        <v>868</v>
      </c>
      <c r="B618" t="s">
        <v>869</v>
      </c>
      <c r="C618" t="s">
        <v>710</v>
      </c>
      <c r="D618" t="s">
        <v>711</v>
      </c>
      <c r="E618">
        <v>8</v>
      </c>
      <c r="F618">
        <v>1</v>
      </c>
      <c r="G618">
        <v>8</v>
      </c>
      <c r="T618" t="s">
        <v>215</v>
      </c>
      <c r="U618" t="s">
        <v>1046</v>
      </c>
      <c r="V618" t="s">
        <v>1051</v>
      </c>
      <c r="W618">
        <v>70</v>
      </c>
    </row>
    <row r="619" spans="1:23" x14ac:dyDescent="0.2">
      <c r="A619" t="s">
        <v>868</v>
      </c>
      <c r="B619" t="s">
        <v>869</v>
      </c>
      <c r="C619" t="s">
        <v>121</v>
      </c>
      <c r="D619" t="s">
        <v>301</v>
      </c>
      <c r="E619">
        <v>1</v>
      </c>
      <c r="F619">
        <v>0.95</v>
      </c>
      <c r="G619">
        <v>0.95</v>
      </c>
      <c r="T619" t="s">
        <v>215</v>
      </c>
      <c r="U619" t="s">
        <v>1047</v>
      </c>
      <c r="V619" t="s">
        <v>1052</v>
      </c>
      <c r="W619">
        <v>70</v>
      </c>
    </row>
    <row r="620" spans="1:23" x14ac:dyDescent="0.2">
      <c r="A620" t="s">
        <v>868</v>
      </c>
      <c r="B620" t="s">
        <v>869</v>
      </c>
      <c r="C620" t="s">
        <v>122</v>
      </c>
      <c r="D620" t="s">
        <v>302</v>
      </c>
      <c r="E620">
        <v>1</v>
      </c>
      <c r="F620">
        <v>4.2</v>
      </c>
      <c r="G620">
        <v>4.2</v>
      </c>
      <c r="T620" t="s">
        <v>215</v>
      </c>
      <c r="U620" t="s">
        <v>1048</v>
      </c>
      <c r="V620" t="s">
        <v>1053</v>
      </c>
      <c r="W620">
        <v>250</v>
      </c>
    </row>
    <row r="621" spans="1:23" x14ac:dyDescent="0.2">
      <c r="A621" t="s">
        <v>868</v>
      </c>
      <c r="B621" t="s">
        <v>869</v>
      </c>
      <c r="C621" t="s">
        <v>7</v>
      </c>
      <c r="D621" t="s">
        <v>307</v>
      </c>
      <c r="E621">
        <v>0.45</v>
      </c>
      <c r="F621">
        <v>6.7</v>
      </c>
      <c r="G621">
        <v>3.0150000000000001</v>
      </c>
      <c r="T621" t="s">
        <v>215</v>
      </c>
      <c r="U621" t="s">
        <v>1049</v>
      </c>
      <c r="V621" t="s">
        <v>1054</v>
      </c>
      <c r="W621">
        <v>750</v>
      </c>
    </row>
    <row r="622" spans="1:23" x14ac:dyDescent="0.2">
      <c r="A622" t="s">
        <v>868</v>
      </c>
      <c r="B622" t="s">
        <v>869</v>
      </c>
      <c r="C622" t="s">
        <v>9</v>
      </c>
      <c r="D622" t="s">
        <v>347</v>
      </c>
      <c r="E622">
        <v>2.2000000000000002</v>
      </c>
      <c r="F622">
        <v>16.5</v>
      </c>
      <c r="G622">
        <v>36.299999999999997</v>
      </c>
      <c r="T622" t="s">
        <v>215</v>
      </c>
      <c r="U622" t="s">
        <v>1050</v>
      </c>
      <c r="V622" t="s">
        <v>1055</v>
      </c>
      <c r="W622">
        <v>0</v>
      </c>
    </row>
    <row r="623" spans="1:23" x14ac:dyDescent="0.2">
      <c r="A623" t="s">
        <v>868</v>
      </c>
      <c r="B623" t="s">
        <v>869</v>
      </c>
      <c r="C623" t="s">
        <v>105</v>
      </c>
      <c r="D623" t="s">
        <v>313</v>
      </c>
      <c r="E623">
        <v>0</v>
      </c>
      <c r="F623">
        <v>0.1</v>
      </c>
      <c r="G623">
        <v>0</v>
      </c>
      <c r="T623" t="s">
        <v>216</v>
      </c>
      <c r="U623" t="s">
        <v>1042</v>
      </c>
      <c r="V623" t="s">
        <v>401</v>
      </c>
      <c r="W623">
        <v>50</v>
      </c>
    </row>
    <row r="624" spans="1:23" x14ac:dyDescent="0.2">
      <c r="A624" t="s">
        <v>870</v>
      </c>
      <c r="B624" t="s">
        <v>871</v>
      </c>
      <c r="C624" t="s">
        <v>94</v>
      </c>
      <c r="D624" t="s">
        <v>280</v>
      </c>
      <c r="E624">
        <v>1</v>
      </c>
      <c r="F624">
        <v>3.5</v>
      </c>
      <c r="G624">
        <v>3.5</v>
      </c>
      <c r="T624" t="s">
        <v>216</v>
      </c>
      <c r="U624" t="s">
        <v>1043</v>
      </c>
      <c r="V624" t="s">
        <v>272</v>
      </c>
      <c r="W624">
        <v>390</v>
      </c>
    </row>
    <row r="625" spans="1:23" x14ac:dyDescent="0.2">
      <c r="A625" t="s">
        <v>870</v>
      </c>
      <c r="B625" t="s">
        <v>871</v>
      </c>
      <c r="C625" t="s">
        <v>95</v>
      </c>
      <c r="D625" t="s">
        <v>281</v>
      </c>
      <c r="E625">
        <v>1</v>
      </c>
      <c r="F625">
        <v>2</v>
      </c>
      <c r="G625">
        <v>2</v>
      </c>
      <c r="T625" t="s">
        <v>216</v>
      </c>
      <c r="U625" t="s">
        <v>1044</v>
      </c>
      <c r="V625" t="s">
        <v>405</v>
      </c>
      <c r="W625">
        <v>100</v>
      </c>
    </row>
    <row r="626" spans="1:23" x14ac:dyDescent="0.2">
      <c r="A626" t="s">
        <v>870</v>
      </c>
      <c r="B626" t="s">
        <v>871</v>
      </c>
      <c r="C626" t="s">
        <v>87</v>
      </c>
      <c r="D626" t="s">
        <v>348</v>
      </c>
      <c r="E626">
        <v>0</v>
      </c>
      <c r="F626">
        <v>190</v>
      </c>
      <c r="G626">
        <v>0</v>
      </c>
      <c r="T626" t="s">
        <v>216</v>
      </c>
      <c r="U626" t="s">
        <v>1045</v>
      </c>
      <c r="V626" t="s">
        <v>402</v>
      </c>
      <c r="W626">
        <v>60</v>
      </c>
    </row>
    <row r="627" spans="1:23" x14ac:dyDescent="0.2">
      <c r="A627" t="s">
        <v>870</v>
      </c>
      <c r="B627" t="s">
        <v>871</v>
      </c>
      <c r="C627" t="s">
        <v>590</v>
      </c>
      <c r="D627" t="s">
        <v>591</v>
      </c>
      <c r="E627">
        <v>1</v>
      </c>
      <c r="F627">
        <v>2.8</v>
      </c>
      <c r="G627">
        <v>2.8</v>
      </c>
      <c r="T627" t="s">
        <v>216</v>
      </c>
      <c r="U627" t="s">
        <v>1046</v>
      </c>
      <c r="V627" t="s">
        <v>1051</v>
      </c>
      <c r="W627">
        <v>70</v>
      </c>
    </row>
    <row r="628" spans="1:23" x14ac:dyDescent="0.2">
      <c r="A628" t="s">
        <v>870</v>
      </c>
      <c r="B628" t="s">
        <v>871</v>
      </c>
      <c r="C628" t="s">
        <v>710</v>
      </c>
      <c r="D628" t="s">
        <v>711</v>
      </c>
      <c r="E628">
        <v>8</v>
      </c>
      <c r="F628">
        <v>1</v>
      </c>
      <c r="G628">
        <v>8</v>
      </c>
      <c r="T628" t="s">
        <v>216</v>
      </c>
      <c r="U628" t="s">
        <v>1047</v>
      </c>
      <c r="V628" t="s">
        <v>1052</v>
      </c>
      <c r="W628">
        <v>70</v>
      </c>
    </row>
    <row r="629" spans="1:23" x14ac:dyDescent="0.2">
      <c r="A629" t="s">
        <v>870</v>
      </c>
      <c r="B629" t="s">
        <v>871</v>
      </c>
      <c r="C629" t="s">
        <v>121</v>
      </c>
      <c r="D629" t="s">
        <v>301</v>
      </c>
      <c r="E629">
        <v>1</v>
      </c>
      <c r="F629">
        <v>0.95</v>
      </c>
      <c r="G629">
        <v>0.95</v>
      </c>
      <c r="T629" t="s">
        <v>216</v>
      </c>
      <c r="U629" t="s">
        <v>1048</v>
      </c>
      <c r="V629" t="s">
        <v>1053</v>
      </c>
      <c r="W629">
        <v>250</v>
      </c>
    </row>
    <row r="630" spans="1:23" x14ac:dyDescent="0.2">
      <c r="A630" t="s">
        <v>870</v>
      </c>
      <c r="B630" t="s">
        <v>871</v>
      </c>
      <c r="C630" t="s">
        <v>122</v>
      </c>
      <c r="D630" t="s">
        <v>302</v>
      </c>
      <c r="E630">
        <v>1</v>
      </c>
      <c r="F630">
        <v>4.2</v>
      </c>
      <c r="G630">
        <v>4.2</v>
      </c>
      <c r="T630" t="s">
        <v>216</v>
      </c>
      <c r="U630" t="s">
        <v>1049</v>
      </c>
      <c r="V630" t="s">
        <v>1054</v>
      </c>
      <c r="W630">
        <v>750</v>
      </c>
    </row>
    <row r="631" spans="1:23" x14ac:dyDescent="0.2">
      <c r="A631" t="s">
        <v>870</v>
      </c>
      <c r="B631" t="s">
        <v>871</v>
      </c>
      <c r="C631" t="s">
        <v>9</v>
      </c>
      <c r="D631" t="s">
        <v>347</v>
      </c>
      <c r="E631">
        <v>2.2000000000000002</v>
      </c>
      <c r="F631">
        <v>16.5</v>
      </c>
      <c r="G631">
        <v>36.299999999999997</v>
      </c>
      <c r="T631" t="s">
        <v>216</v>
      </c>
      <c r="U631" t="s">
        <v>1050</v>
      </c>
      <c r="V631" t="s">
        <v>1055</v>
      </c>
      <c r="W631">
        <v>0</v>
      </c>
    </row>
    <row r="632" spans="1:23" x14ac:dyDescent="0.2">
      <c r="A632" t="s">
        <v>870</v>
      </c>
      <c r="B632" t="s">
        <v>871</v>
      </c>
      <c r="C632" t="s">
        <v>114</v>
      </c>
      <c r="D632" t="s">
        <v>350</v>
      </c>
      <c r="E632">
        <v>0</v>
      </c>
      <c r="F632">
        <v>0.1</v>
      </c>
      <c r="G632">
        <v>0</v>
      </c>
      <c r="T632" t="s">
        <v>214</v>
      </c>
      <c r="U632" t="s">
        <v>1042</v>
      </c>
      <c r="V632" t="s">
        <v>401</v>
      </c>
      <c r="W632">
        <v>50</v>
      </c>
    </row>
    <row r="633" spans="1:23" x14ac:dyDescent="0.2">
      <c r="A633" t="s">
        <v>938</v>
      </c>
      <c r="B633" t="s">
        <v>939</v>
      </c>
      <c r="C633" t="s">
        <v>94</v>
      </c>
      <c r="D633" t="s">
        <v>280</v>
      </c>
      <c r="E633">
        <v>1</v>
      </c>
      <c r="F633">
        <v>3.5</v>
      </c>
      <c r="G633">
        <v>3.5</v>
      </c>
      <c r="T633" t="s">
        <v>214</v>
      </c>
      <c r="U633" t="s">
        <v>1043</v>
      </c>
      <c r="V633" t="s">
        <v>272</v>
      </c>
      <c r="W633">
        <v>390</v>
      </c>
    </row>
    <row r="634" spans="1:23" x14ac:dyDescent="0.2">
      <c r="A634" t="s">
        <v>938</v>
      </c>
      <c r="B634" t="s">
        <v>939</v>
      </c>
      <c r="C634" t="s">
        <v>95</v>
      </c>
      <c r="D634" t="s">
        <v>281</v>
      </c>
      <c r="E634">
        <v>1</v>
      </c>
      <c r="F634">
        <v>2</v>
      </c>
      <c r="G634">
        <v>2</v>
      </c>
      <c r="T634" t="s">
        <v>214</v>
      </c>
      <c r="U634" t="s">
        <v>1044</v>
      </c>
      <c r="V634" t="s">
        <v>405</v>
      </c>
      <c r="W634">
        <v>100</v>
      </c>
    </row>
    <row r="635" spans="1:23" x14ac:dyDescent="0.2">
      <c r="A635" t="s">
        <v>938</v>
      </c>
      <c r="B635" t="s">
        <v>939</v>
      </c>
      <c r="C635" t="s">
        <v>56</v>
      </c>
      <c r="D635" t="s">
        <v>287</v>
      </c>
      <c r="E635">
        <v>0</v>
      </c>
      <c r="F635">
        <v>90</v>
      </c>
      <c r="G635">
        <v>0</v>
      </c>
      <c r="T635" t="s">
        <v>214</v>
      </c>
      <c r="U635" t="s">
        <v>1045</v>
      </c>
      <c r="V635" t="s">
        <v>402</v>
      </c>
      <c r="W635">
        <v>60</v>
      </c>
    </row>
    <row r="636" spans="1:23" x14ac:dyDescent="0.2">
      <c r="A636" t="s">
        <v>938</v>
      </c>
      <c r="B636" t="s">
        <v>939</v>
      </c>
      <c r="C636" t="s">
        <v>60</v>
      </c>
      <c r="D636" t="s">
        <v>337</v>
      </c>
      <c r="E636">
        <v>0</v>
      </c>
      <c r="F636">
        <v>130</v>
      </c>
      <c r="G636">
        <v>0</v>
      </c>
      <c r="T636" t="s">
        <v>214</v>
      </c>
      <c r="U636" t="s">
        <v>1046</v>
      </c>
      <c r="V636" t="s">
        <v>1051</v>
      </c>
      <c r="W636">
        <v>70</v>
      </c>
    </row>
    <row r="637" spans="1:23" x14ac:dyDescent="0.2">
      <c r="A637" t="s">
        <v>938</v>
      </c>
      <c r="B637" t="s">
        <v>939</v>
      </c>
      <c r="C637" t="s">
        <v>500</v>
      </c>
      <c r="D637" t="s">
        <v>501</v>
      </c>
      <c r="E637">
        <v>0</v>
      </c>
      <c r="F637">
        <v>190</v>
      </c>
      <c r="G637">
        <v>0</v>
      </c>
      <c r="T637" t="s">
        <v>214</v>
      </c>
      <c r="U637" t="s">
        <v>1047</v>
      </c>
      <c r="V637" t="s">
        <v>1052</v>
      </c>
      <c r="W637">
        <v>70</v>
      </c>
    </row>
    <row r="638" spans="1:23" x14ac:dyDescent="0.2">
      <c r="A638" t="s">
        <v>938</v>
      </c>
      <c r="B638" t="s">
        <v>939</v>
      </c>
      <c r="C638" t="s">
        <v>590</v>
      </c>
      <c r="D638" t="s">
        <v>591</v>
      </c>
      <c r="E638">
        <v>1</v>
      </c>
      <c r="F638">
        <v>2.8</v>
      </c>
      <c r="G638">
        <v>2.8</v>
      </c>
      <c r="T638" t="s">
        <v>214</v>
      </c>
      <c r="U638" t="s">
        <v>1048</v>
      </c>
      <c r="V638" t="s">
        <v>1053</v>
      </c>
      <c r="W638">
        <v>250</v>
      </c>
    </row>
    <row r="639" spans="1:23" x14ac:dyDescent="0.2">
      <c r="A639" t="s">
        <v>938</v>
      </c>
      <c r="B639" t="s">
        <v>939</v>
      </c>
      <c r="C639" t="s">
        <v>704</v>
      </c>
      <c r="D639" t="s">
        <v>705</v>
      </c>
      <c r="E639">
        <v>1</v>
      </c>
      <c r="F639">
        <v>1</v>
      </c>
      <c r="G639">
        <v>1</v>
      </c>
      <c r="T639" t="s">
        <v>214</v>
      </c>
      <c r="U639" t="s">
        <v>1049</v>
      </c>
      <c r="V639" t="s">
        <v>1054</v>
      </c>
      <c r="W639">
        <v>750</v>
      </c>
    </row>
    <row r="640" spans="1:23" x14ac:dyDescent="0.2">
      <c r="A640" t="s">
        <v>938</v>
      </c>
      <c r="B640" t="s">
        <v>939</v>
      </c>
      <c r="C640" t="s">
        <v>42</v>
      </c>
      <c r="D640" t="s">
        <v>299</v>
      </c>
      <c r="E640">
        <v>1</v>
      </c>
      <c r="F640">
        <v>2.5</v>
      </c>
      <c r="G640">
        <v>2.5</v>
      </c>
      <c r="T640" t="s">
        <v>214</v>
      </c>
      <c r="U640" t="s">
        <v>1050</v>
      </c>
      <c r="V640" t="s">
        <v>1055</v>
      </c>
      <c r="W640">
        <v>0</v>
      </c>
    </row>
    <row r="641" spans="1:23" x14ac:dyDescent="0.2">
      <c r="A641" t="s">
        <v>938</v>
      </c>
      <c r="B641" t="s">
        <v>939</v>
      </c>
      <c r="C641" t="s">
        <v>104</v>
      </c>
      <c r="D641" t="s">
        <v>343</v>
      </c>
      <c r="E641">
        <v>0</v>
      </c>
      <c r="F641">
        <v>890</v>
      </c>
      <c r="G641">
        <v>0</v>
      </c>
      <c r="T641" t="s">
        <v>202</v>
      </c>
      <c r="U641" t="s">
        <v>1042</v>
      </c>
      <c r="V641" t="s">
        <v>401</v>
      </c>
      <c r="W641">
        <v>50</v>
      </c>
    </row>
    <row r="642" spans="1:23" x14ac:dyDescent="0.2">
      <c r="A642" t="s">
        <v>938</v>
      </c>
      <c r="B642" t="s">
        <v>939</v>
      </c>
      <c r="C642" t="s">
        <v>121</v>
      </c>
      <c r="D642" t="s">
        <v>301</v>
      </c>
      <c r="E642">
        <v>1</v>
      </c>
      <c r="F642">
        <v>0.95</v>
      </c>
      <c r="G642">
        <v>0.95</v>
      </c>
      <c r="T642" t="s">
        <v>202</v>
      </c>
      <c r="U642" t="s">
        <v>1043</v>
      </c>
      <c r="V642" t="s">
        <v>272</v>
      </c>
      <c r="W642">
        <v>555</v>
      </c>
    </row>
    <row r="643" spans="1:23" x14ac:dyDescent="0.2">
      <c r="A643" t="s">
        <v>938</v>
      </c>
      <c r="B643" t="s">
        <v>939</v>
      </c>
      <c r="C643" t="s">
        <v>122</v>
      </c>
      <c r="D643" t="s">
        <v>302</v>
      </c>
      <c r="E643">
        <v>1</v>
      </c>
      <c r="F643">
        <v>4.2</v>
      </c>
      <c r="G643">
        <v>4.2</v>
      </c>
      <c r="T643" t="s">
        <v>202</v>
      </c>
      <c r="U643" t="s">
        <v>1044</v>
      </c>
      <c r="V643" t="s">
        <v>405</v>
      </c>
      <c r="W643">
        <v>100</v>
      </c>
    </row>
    <row r="644" spans="1:23" x14ac:dyDescent="0.2">
      <c r="A644" t="s">
        <v>938</v>
      </c>
      <c r="B644" t="s">
        <v>939</v>
      </c>
      <c r="C644" t="s">
        <v>6</v>
      </c>
      <c r="D644" t="s">
        <v>306</v>
      </c>
      <c r="E644">
        <v>3.5</v>
      </c>
      <c r="F644">
        <v>16.8</v>
      </c>
      <c r="G644">
        <v>58.8</v>
      </c>
      <c r="T644" t="s">
        <v>202</v>
      </c>
      <c r="U644" t="s">
        <v>1045</v>
      </c>
      <c r="V644" t="s">
        <v>402</v>
      </c>
      <c r="W644">
        <v>60</v>
      </c>
    </row>
    <row r="645" spans="1:23" x14ac:dyDescent="0.2">
      <c r="A645" t="s">
        <v>938</v>
      </c>
      <c r="B645" t="s">
        <v>939</v>
      </c>
      <c r="C645" t="s">
        <v>13</v>
      </c>
      <c r="D645" t="s">
        <v>309</v>
      </c>
      <c r="E645">
        <v>2</v>
      </c>
      <c r="F645">
        <v>7</v>
      </c>
      <c r="G645">
        <v>14</v>
      </c>
      <c r="T645" t="s">
        <v>202</v>
      </c>
      <c r="U645" t="s">
        <v>1046</v>
      </c>
      <c r="V645" t="s">
        <v>1051</v>
      </c>
      <c r="W645">
        <v>70</v>
      </c>
    </row>
    <row r="646" spans="1:23" x14ac:dyDescent="0.2">
      <c r="A646" t="s">
        <v>938</v>
      </c>
      <c r="B646" t="s">
        <v>939</v>
      </c>
      <c r="C646" t="s">
        <v>105</v>
      </c>
      <c r="D646" t="s">
        <v>313</v>
      </c>
      <c r="E646">
        <v>0</v>
      </c>
      <c r="F646">
        <v>0.1</v>
      </c>
      <c r="G646">
        <v>0</v>
      </c>
      <c r="T646" t="s">
        <v>202</v>
      </c>
      <c r="U646" t="s">
        <v>1047</v>
      </c>
      <c r="V646" t="s">
        <v>1052</v>
      </c>
      <c r="W646">
        <v>70</v>
      </c>
    </row>
    <row r="647" spans="1:23" x14ac:dyDescent="0.2">
      <c r="A647" t="s">
        <v>938</v>
      </c>
      <c r="B647" t="s">
        <v>939</v>
      </c>
      <c r="C647" t="s">
        <v>110</v>
      </c>
      <c r="D647" t="s">
        <v>314</v>
      </c>
      <c r="E647">
        <v>0</v>
      </c>
      <c r="F647">
        <v>0.1</v>
      </c>
      <c r="G647">
        <v>0</v>
      </c>
      <c r="T647" t="s">
        <v>202</v>
      </c>
      <c r="U647" t="s">
        <v>1048</v>
      </c>
      <c r="V647" t="s">
        <v>1053</v>
      </c>
      <c r="W647">
        <v>250</v>
      </c>
    </row>
    <row r="648" spans="1:23" x14ac:dyDescent="0.2">
      <c r="A648" t="s">
        <v>940</v>
      </c>
      <c r="B648" t="s">
        <v>941</v>
      </c>
      <c r="C648" t="s">
        <v>94</v>
      </c>
      <c r="D648" t="s">
        <v>280</v>
      </c>
      <c r="E648">
        <v>1</v>
      </c>
      <c r="F648">
        <v>3.5</v>
      </c>
      <c r="G648">
        <v>3.5</v>
      </c>
      <c r="T648" t="s">
        <v>202</v>
      </c>
      <c r="U648" t="s">
        <v>1049</v>
      </c>
      <c r="V648" t="s">
        <v>1054</v>
      </c>
      <c r="W648">
        <v>750</v>
      </c>
    </row>
    <row r="649" spans="1:23" x14ac:dyDescent="0.2">
      <c r="A649" t="s">
        <v>940</v>
      </c>
      <c r="B649" t="s">
        <v>941</v>
      </c>
      <c r="C649" t="s">
        <v>95</v>
      </c>
      <c r="D649" t="s">
        <v>281</v>
      </c>
      <c r="E649">
        <v>1</v>
      </c>
      <c r="F649">
        <v>2</v>
      </c>
      <c r="G649">
        <v>2</v>
      </c>
      <c r="T649" t="s">
        <v>202</v>
      </c>
      <c r="U649" t="s">
        <v>1050</v>
      </c>
      <c r="V649" t="s">
        <v>1055</v>
      </c>
      <c r="W649">
        <v>0</v>
      </c>
    </row>
    <row r="650" spans="1:23" x14ac:dyDescent="0.2">
      <c r="A650" t="s">
        <v>940</v>
      </c>
      <c r="B650" t="s">
        <v>941</v>
      </c>
      <c r="C650" t="s">
        <v>56</v>
      </c>
      <c r="D650" t="s">
        <v>287</v>
      </c>
      <c r="E650">
        <v>0</v>
      </c>
      <c r="F650">
        <v>90</v>
      </c>
      <c r="G650">
        <v>0</v>
      </c>
      <c r="T650" t="s">
        <v>203</v>
      </c>
      <c r="U650" t="s">
        <v>1042</v>
      </c>
      <c r="V650" t="s">
        <v>401</v>
      </c>
      <c r="W650">
        <v>50</v>
      </c>
    </row>
    <row r="651" spans="1:23" x14ac:dyDescent="0.2">
      <c r="A651" t="s">
        <v>940</v>
      </c>
      <c r="B651" t="s">
        <v>941</v>
      </c>
      <c r="C651" t="s">
        <v>60</v>
      </c>
      <c r="D651" t="s">
        <v>337</v>
      </c>
      <c r="E651">
        <v>0</v>
      </c>
      <c r="F651">
        <v>130</v>
      </c>
      <c r="G651">
        <v>0</v>
      </c>
      <c r="T651" t="s">
        <v>203</v>
      </c>
      <c r="U651" t="s">
        <v>1043</v>
      </c>
      <c r="V651" t="s">
        <v>272</v>
      </c>
      <c r="W651">
        <v>555</v>
      </c>
    </row>
    <row r="652" spans="1:23" x14ac:dyDescent="0.2">
      <c r="A652" t="s">
        <v>940</v>
      </c>
      <c r="B652" t="s">
        <v>941</v>
      </c>
      <c r="C652" t="s">
        <v>502</v>
      </c>
      <c r="D652" t="s">
        <v>503</v>
      </c>
      <c r="E652">
        <v>0</v>
      </c>
      <c r="F652">
        <v>190</v>
      </c>
      <c r="G652">
        <v>0</v>
      </c>
      <c r="T652" t="s">
        <v>203</v>
      </c>
      <c r="U652" t="s">
        <v>1044</v>
      </c>
      <c r="V652" t="s">
        <v>405</v>
      </c>
      <c r="W652">
        <v>100</v>
      </c>
    </row>
    <row r="653" spans="1:23" x14ac:dyDescent="0.2">
      <c r="A653" t="s">
        <v>940</v>
      </c>
      <c r="B653" t="s">
        <v>941</v>
      </c>
      <c r="C653" t="s">
        <v>590</v>
      </c>
      <c r="D653" t="s">
        <v>591</v>
      </c>
      <c r="E653">
        <v>1</v>
      </c>
      <c r="F653">
        <v>2.8</v>
      </c>
      <c r="G653">
        <v>2.8</v>
      </c>
      <c r="T653" t="s">
        <v>203</v>
      </c>
      <c r="U653" t="s">
        <v>1045</v>
      </c>
      <c r="V653" t="s">
        <v>402</v>
      </c>
      <c r="W653">
        <v>60</v>
      </c>
    </row>
    <row r="654" spans="1:23" x14ac:dyDescent="0.2">
      <c r="A654" t="s">
        <v>940</v>
      </c>
      <c r="B654" t="s">
        <v>941</v>
      </c>
      <c r="C654" t="s">
        <v>704</v>
      </c>
      <c r="D654" t="s">
        <v>705</v>
      </c>
      <c r="E654">
        <v>1</v>
      </c>
      <c r="F654">
        <v>1</v>
      </c>
      <c r="G654">
        <v>1</v>
      </c>
      <c r="T654" t="s">
        <v>203</v>
      </c>
      <c r="U654" t="s">
        <v>1046</v>
      </c>
      <c r="V654" t="s">
        <v>1051</v>
      </c>
      <c r="W654">
        <v>70</v>
      </c>
    </row>
    <row r="655" spans="1:23" x14ac:dyDescent="0.2">
      <c r="A655" t="s">
        <v>940</v>
      </c>
      <c r="B655" t="s">
        <v>941</v>
      </c>
      <c r="C655" t="s">
        <v>42</v>
      </c>
      <c r="D655" t="s">
        <v>299</v>
      </c>
      <c r="E655">
        <v>1</v>
      </c>
      <c r="F655">
        <v>2.5</v>
      </c>
      <c r="G655">
        <v>2.5</v>
      </c>
      <c r="T655" t="s">
        <v>203</v>
      </c>
      <c r="U655" t="s">
        <v>1047</v>
      </c>
      <c r="V655" t="s">
        <v>1052</v>
      </c>
      <c r="W655">
        <v>70</v>
      </c>
    </row>
    <row r="656" spans="1:23" x14ac:dyDescent="0.2">
      <c r="A656" t="s">
        <v>940</v>
      </c>
      <c r="B656" t="s">
        <v>941</v>
      </c>
      <c r="C656" t="s">
        <v>104</v>
      </c>
      <c r="D656" t="s">
        <v>343</v>
      </c>
      <c r="E656">
        <v>0</v>
      </c>
      <c r="F656">
        <v>890</v>
      </c>
      <c r="G656">
        <v>0</v>
      </c>
      <c r="T656" t="s">
        <v>203</v>
      </c>
      <c r="U656" t="s">
        <v>1048</v>
      </c>
      <c r="V656" t="s">
        <v>1053</v>
      </c>
      <c r="W656">
        <v>250</v>
      </c>
    </row>
    <row r="657" spans="1:23" x14ac:dyDescent="0.2">
      <c r="A657" t="s">
        <v>940</v>
      </c>
      <c r="B657" t="s">
        <v>941</v>
      </c>
      <c r="C657" t="s">
        <v>121</v>
      </c>
      <c r="D657" t="s">
        <v>301</v>
      </c>
      <c r="E657">
        <v>1</v>
      </c>
      <c r="F657">
        <v>0.95</v>
      </c>
      <c r="G657">
        <v>0.95</v>
      </c>
      <c r="T657" t="s">
        <v>203</v>
      </c>
      <c r="U657" t="s">
        <v>1049</v>
      </c>
      <c r="V657" t="s">
        <v>1054</v>
      </c>
      <c r="W657">
        <v>750</v>
      </c>
    </row>
    <row r="658" spans="1:23" x14ac:dyDescent="0.2">
      <c r="A658" t="s">
        <v>940</v>
      </c>
      <c r="B658" t="s">
        <v>941</v>
      </c>
      <c r="C658" t="s">
        <v>122</v>
      </c>
      <c r="D658" t="s">
        <v>302</v>
      </c>
      <c r="E658">
        <v>1</v>
      </c>
      <c r="F658">
        <v>4.2</v>
      </c>
      <c r="G658">
        <v>4.2</v>
      </c>
      <c r="T658" t="s">
        <v>203</v>
      </c>
      <c r="U658" t="s">
        <v>1050</v>
      </c>
      <c r="V658" t="s">
        <v>1055</v>
      </c>
      <c r="W658">
        <v>0</v>
      </c>
    </row>
    <row r="659" spans="1:23" x14ac:dyDescent="0.2">
      <c r="A659" t="s">
        <v>940</v>
      </c>
      <c r="B659" t="s">
        <v>941</v>
      </c>
      <c r="C659" t="s">
        <v>6</v>
      </c>
      <c r="D659" t="s">
        <v>306</v>
      </c>
      <c r="E659">
        <v>3.5</v>
      </c>
      <c r="F659">
        <v>16.8</v>
      </c>
      <c r="G659">
        <v>58.8</v>
      </c>
      <c r="T659" t="s">
        <v>204</v>
      </c>
      <c r="U659" t="s">
        <v>1042</v>
      </c>
      <c r="V659" t="s">
        <v>401</v>
      </c>
      <c r="W659">
        <v>50</v>
      </c>
    </row>
    <row r="660" spans="1:23" x14ac:dyDescent="0.2">
      <c r="A660" t="s">
        <v>940</v>
      </c>
      <c r="B660" t="s">
        <v>941</v>
      </c>
      <c r="C660" t="s">
        <v>13</v>
      </c>
      <c r="D660" t="s">
        <v>309</v>
      </c>
      <c r="E660">
        <v>2</v>
      </c>
      <c r="F660">
        <v>7</v>
      </c>
      <c r="G660">
        <v>14</v>
      </c>
      <c r="T660" t="s">
        <v>204</v>
      </c>
      <c r="U660" t="s">
        <v>1043</v>
      </c>
      <c r="V660" t="s">
        <v>272</v>
      </c>
      <c r="W660">
        <v>555</v>
      </c>
    </row>
    <row r="661" spans="1:23" x14ac:dyDescent="0.2">
      <c r="A661" t="s">
        <v>940</v>
      </c>
      <c r="B661" t="s">
        <v>941</v>
      </c>
      <c r="C661" t="s">
        <v>105</v>
      </c>
      <c r="D661" t="s">
        <v>313</v>
      </c>
      <c r="E661">
        <v>0</v>
      </c>
      <c r="F661">
        <v>0.1</v>
      </c>
      <c r="G661">
        <v>0</v>
      </c>
      <c r="T661" t="s">
        <v>204</v>
      </c>
      <c r="U661" t="s">
        <v>1044</v>
      </c>
      <c r="V661" t="s">
        <v>405</v>
      </c>
      <c r="W661">
        <v>100</v>
      </c>
    </row>
    <row r="662" spans="1:23" x14ac:dyDescent="0.2">
      <c r="A662" t="s">
        <v>940</v>
      </c>
      <c r="B662" t="s">
        <v>941</v>
      </c>
      <c r="C662" t="s">
        <v>110</v>
      </c>
      <c r="D662" t="s">
        <v>314</v>
      </c>
      <c r="E662">
        <v>0</v>
      </c>
      <c r="F662">
        <v>0.1</v>
      </c>
      <c r="G662">
        <v>0</v>
      </c>
      <c r="T662" t="s">
        <v>204</v>
      </c>
      <c r="U662" t="s">
        <v>1045</v>
      </c>
      <c r="V662" t="s">
        <v>402</v>
      </c>
      <c r="W662">
        <v>60</v>
      </c>
    </row>
    <row r="663" spans="1:23" x14ac:dyDescent="0.2">
      <c r="A663" t="s">
        <v>940</v>
      </c>
      <c r="B663" t="s">
        <v>941</v>
      </c>
      <c r="C663" t="s">
        <v>120</v>
      </c>
      <c r="D663" t="s">
        <v>340</v>
      </c>
      <c r="E663">
        <v>1</v>
      </c>
      <c r="F663">
        <v>0.1</v>
      </c>
      <c r="G663">
        <v>0.1</v>
      </c>
      <c r="T663" t="s">
        <v>204</v>
      </c>
      <c r="U663" t="s">
        <v>1046</v>
      </c>
      <c r="V663" t="s">
        <v>1051</v>
      </c>
      <c r="W663">
        <v>70</v>
      </c>
    </row>
    <row r="664" spans="1:23" x14ac:dyDescent="0.2">
      <c r="A664" t="s">
        <v>872</v>
      </c>
      <c r="B664" t="s">
        <v>873</v>
      </c>
      <c r="C664" t="s">
        <v>56</v>
      </c>
      <c r="D664" t="s">
        <v>287</v>
      </c>
      <c r="E664">
        <v>0</v>
      </c>
      <c r="F664">
        <v>90</v>
      </c>
      <c r="G664">
        <v>0</v>
      </c>
      <c r="T664" t="s">
        <v>204</v>
      </c>
      <c r="U664" t="s">
        <v>1047</v>
      </c>
      <c r="V664" t="s">
        <v>1052</v>
      </c>
      <c r="W664">
        <v>70</v>
      </c>
    </row>
    <row r="665" spans="1:23" x14ac:dyDescent="0.2">
      <c r="A665" t="s">
        <v>872</v>
      </c>
      <c r="B665" t="s">
        <v>873</v>
      </c>
      <c r="C665" t="s">
        <v>500</v>
      </c>
      <c r="D665" t="s">
        <v>501</v>
      </c>
      <c r="E665">
        <v>0</v>
      </c>
      <c r="F665">
        <v>190</v>
      </c>
      <c r="G665">
        <v>0</v>
      </c>
      <c r="T665" t="s">
        <v>204</v>
      </c>
      <c r="U665" t="s">
        <v>1048</v>
      </c>
      <c r="V665" t="s">
        <v>1053</v>
      </c>
      <c r="W665">
        <v>250</v>
      </c>
    </row>
    <row r="666" spans="1:23" x14ac:dyDescent="0.2">
      <c r="A666" t="s">
        <v>872</v>
      </c>
      <c r="B666" t="s">
        <v>873</v>
      </c>
      <c r="C666" t="s">
        <v>29</v>
      </c>
      <c r="D666" t="s">
        <v>292</v>
      </c>
      <c r="E666">
        <v>0.4</v>
      </c>
      <c r="F666">
        <v>27</v>
      </c>
      <c r="G666">
        <v>10.8</v>
      </c>
      <c r="T666" t="s">
        <v>204</v>
      </c>
      <c r="U666" t="s">
        <v>1049</v>
      </c>
      <c r="V666" t="s">
        <v>1054</v>
      </c>
      <c r="W666">
        <v>750</v>
      </c>
    </row>
    <row r="667" spans="1:23" x14ac:dyDescent="0.2">
      <c r="A667" t="s">
        <v>872</v>
      </c>
      <c r="B667" t="s">
        <v>873</v>
      </c>
      <c r="C667" t="s">
        <v>30</v>
      </c>
      <c r="D667" t="s">
        <v>332</v>
      </c>
      <c r="E667">
        <v>1</v>
      </c>
      <c r="F667">
        <v>6</v>
      </c>
      <c r="G667">
        <v>6</v>
      </c>
      <c r="T667" t="s">
        <v>204</v>
      </c>
      <c r="U667" t="s">
        <v>1050</v>
      </c>
      <c r="V667" t="s">
        <v>1055</v>
      </c>
      <c r="W667">
        <v>0</v>
      </c>
    </row>
    <row r="668" spans="1:23" x14ac:dyDescent="0.2">
      <c r="A668" t="s">
        <v>872</v>
      </c>
      <c r="B668" t="s">
        <v>873</v>
      </c>
      <c r="C668" t="s">
        <v>104</v>
      </c>
      <c r="D668" t="s">
        <v>343</v>
      </c>
      <c r="E668">
        <v>0</v>
      </c>
      <c r="F668">
        <v>890</v>
      </c>
      <c r="G668">
        <v>0</v>
      </c>
      <c r="T668" t="s">
        <v>229</v>
      </c>
      <c r="U668" t="s">
        <v>1042</v>
      </c>
      <c r="V668" t="s">
        <v>401</v>
      </c>
      <c r="W668">
        <v>50</v>
      </c>
    </row>
    <row r="669" spans="1:23" x14ac:dyDescent="0.2">
      <c r="A669" t="s">
        <v>872</v>
      </c>
      <c r="B669" t="s">
        <v>873</v>
      </c>
      <c r="C669" t="s">
        <v>121</v>
      </c>
      <c r="D669" t="s">
        <v>301</v>
      </c>
      <c r="E669">
        <v>0</v>
      </c>
      <c r="F669">
        <v>0.95</v>
      </c>
      <c r="G669">
        <v>0</v>
      </c>
      <c r="T669" t="s">
        <v>229</v>
      </c>
      <c r="U669" t="s">
        <v>1043</v>
      </c>
      <c r="V669" t="s">
        <v>272</v>
      </c>
      <c r="W669">
        <v>555</v>
      </c>
    </row>
    <row r="670" spans="1:23" x14ac:dyDescent="0.2">
      <c r="A670" t="s">
        <v>872</v>
      </c>
      <c r="B670" t="s">
        <v>873</v>
      </c>
      <c r="C670" t="s">
        <v>122</v>
      </c>
      <c r="D670" t="s">
        <v>302</v>
      </c>
      <c r="E670">
        <v>1</v>
      </c>
      <c r="F670">
        <v>4.2</v>
      </c>
      <c r="G670">
        <v>4.2</v>
      </c>
      <c r="T670" t="s">
        <v>229</v>
      </c>
      <c r="U670" t="s">
        <v>1044</v>
      </c>
      <c r="V670" t="s">
        <v>405</v>
      </c>
      <c r="W670">
        <v>100</v>
      </c>
    </row>
    <row r="671" spans="1:23" x14ac:dyDescent="0.2">
      <c r="A671" t="s">
        <v>872</v>
      </c>
      <c r="B671" t="s">
        <v>873</v>
      </c>
      <c r="C671" t="s">
        <v>5</v>
      </c>
      <c r="D671" t="s">
        <v>305</v>
      </c>
      <c r="E671">
        <v>0.3</v>
      </c>
      <c r="F671">
        <v>11.5</v>
      </c>
      <c r="G671">
        <v>3.45</v>
      </c>
      <c r="T671" t="s">
        <v>229</v>
      </c>
      <c r="U671" t="s">
        <v>1045</v>
      </c>
      <c r="V671" t="s">
        <v>402</v>
      </c>
      <c r="W671">
        <v>60</v>
      </c>
    </row>
    <row r="672" spans="1:23" x14ac:dyDescent="0.2">
      <c r="A672" t="s">
        <v>872</v>
      </c>
      <c r="B672" t="s">
        <v>873</v>
      </c>
      <c r="C672" t="s">
        <v>7</v>
      </c>
      <c r="D672" t="s">
        <v>307</v>
      </c>
      <c r="E672">
        <v>0.8</v>
      </c>
      <c r="F672">
        <v>6.7</v>
      </c>
      <c r="G672">
        <v>5.36</v>
      </c>
      <c r="T672" t="s">
        <v>229</v>
      </c>
      <c r="U672" t="s">
        <v>1046</v>
      </c>
      <c r="V672" t="s">
        <v>1051</v>
      </c>
      <c r="W672">
        <v>70</v>
      </c>
    </row>
    <row r="673" spans="1:23" x14ac:dyDescent="0.2">
      <c r="A673" t="s">
        <v>872</v>
      </c>
      <c r="B673" t="s">
        <v>873</v>
      </c>
      <c r="C673" t="s">
        <v>13</v>
      </c>
      <c r="D673" t="s">
        <v>309</v>
      </c>
      <c r="E673">
        <v>0.25</v>
      </c>
      <c r="F673">
        <v>7</v>
      </c>
      <c r="G673">
        <v>1.75</v>
      </c>
      <c r="T673" t="s">
        <v>229</v>
      </c>
      <c r="U673" t="s">
        <v>1047</v>
      </c>
      <c r="V673" t="s">
        <v>1052</v>
      </c>
      <c r="W673">
        <v>70</v>
      </c>
    </row>
    <row r="674" spans="1:23" x14ac:dyDescent="0.2">
      <c r="A674" t="s">
        <v>872</v>
      </c>
      <c r="B674" t="s">
        <v>873</v>
      </c>
      <c r="C674" t="s">
        <v>105</v>
      </c>
      <c r="D674" t="s">
        <v>313</v>
      </c>
      <c r="E674">
        <v>0</v>
      </c>
      <c r="F674">
        <v>0.1</v>
      </c>
      <c r="G674">
        <v>0</v>
      </c>
      <c r="T674" t="s">
        <v>229</v>
      </c>
      <c r="U674" t="s">
        <v>1048</v>
      </c>
      <c r="V674" t="s">
        <v>1053</v>
      </c>
      <c r="W674">
        <v>250</v>
      </c>
    </row>
    <row r="675" spans="1:23" x14ac:dyDescent="0.2">
      <c r="A675" t="s">
        <v>872</v>
      </c>
      <c r="B675" t="s">
        <v>873</v>
      </c>
      <c r="C675" t="s">
        <v>110</v>
      </c>
      <c r="D675" t="s">
        <v>314</v>
      </c>
      <c r="E675">
        <v>0</v>
      </c>
      <c r="F675">
        <v>0.1</v>
      </c>
      <c r="G675">
        <v>0</v>
      </c>
      <c r="T675" t="s">
        <v>229</v>
      </c>
      <c r="U675" t="s">
        <v>1049</v>
      </c>
      <c r="V675" t="s">
        <v>1054</v>
      </c>
      <c r="W675">
        <v>750</v>
      </c>
    </row>
    <row r="676" spans="1:23" x14ac:dyDescent="0.2">
      <c r="A676" t="s">
        <v>874</v>
      </c>
      <c r="B676" t="s">
        <v>875</v>
      </c>
      <c r="C676" t="s">
        <v>56</v>
      </c>
      <c r="D676" t="s">
        <v>287</v>
      </c>
      <c r="E676">
        <v>0</v>
      </c>
      <c r="F676">
        <v>90</v>
      </c>
      <c r="G676">
        <v>0</v>
      </c>
      <c r="T676" t="s">
        <v>229</v>
      </c>
      <c r="U676" t="s">
        <v>1050</v>
      </c>
      <c r="V676" t="s">
        <v>1055</v>
      </c>
      <c r="W676">
        <v>0</v>
      </c>
    </row>
    <row r="677" spans="1:23" x14ac:dyDescent="0.2">
      <c r="A677" t="s">
        <v>874</v>
      </c>
      <c r="B677" t="s">
        <v>875</v>
      </c>
      <c r="C677" t="s">
        <v>502</v>
      </c>
      <c r="D677" t="s">
        <v>503</v>
      </c>
      <c r="E677">
        <v>0</v>
      </c>
      <c r="F677">
        <v>190</v>
      </c>
      <c r="G677">
        <v>0</v>
      </c>
      <c r="T677" t="s">
        <v>230</v>
      </c>
      <c r="U677" t="s">
        <v>1042</v>
      </c>
      <c r="V677" t="s">
        <v>401</v>
      </c>
      <c r="W677">
        <v>50</v>
      </c>
    </row>
    <row r="678" spans="1:23" x14ac:dyDescent="0.2">
      <c r="A678" t="s">
        <v>874</v>
      </c>
      <c r="B678" t="s">
        <v>875</v>
      </c>
      <c r="C678" t="s">
        <v>29</v>
      </c>
      <c r="D678" t="s">
        <v>292</v>
      </c>
      <c r="E678">
        <v>0.4</v>
      </c>
      <c r="F678">
        <v>27</v>
      </c>
      <c r="G678">
        <v>10.8</v>
      </c>
      <c r="T678" t="s">
        <v>230</v>
      </c>
      <c r="U678" t="s">
        <v>1043</v>
      </c>
      <c r="V678" t="s">
        <v>272</v>
      </c>
      <c r="W678">
        <v>555</v>
      </c>
    </row>
    <row r="679" spans="1:23" x14ac:dyDescent="0.2">
      <c r="A679" t="s">
        <v>874</v>
      </c>
      <c r="B679" t="s">
        <v>875</v>
      </c>
      <c r="C679" t="s">
        <v>30</v>
      </c>
      <c r="D679" t="s">
        <v>332</v>
      </c>
      <c r="E679">
        <v>1</v>
      </c>
      <c r="F679">
        <v>6</v>
      </c>
      <c r="G679">
        <v>6</v>
      </c>
      <c r="T679" t="s">
        <v>230</v>
      </c>
      <c r="U679" t="s">
        <v>1044</v>
      </c>
      <c r="V679" t="s">
        <v>405</v>
      </c>
      <c r="W679">
        <v>100</v>
      </c>
    </row>
    <row r="680" spans="1:23" x14ac:dyDescent="0.2">
      <c r="A680" t="s">
        <v>874</v>
      </c>
      <c r="B680" t="s">
        <v>875</v>
      </c>
      <c r="C680" t="s">
        <v>104</v>
      </c>
      <c r="D680" t="s">
        <v>343</v>
      </c>
      <c r="E680">
        <v>0</v>
      </c>
      <c r="F680">
        <v>890</v>
      </c>
      <c r="G680">
        <v>0</v>
      </c>
      <c r="T680" t="s">
        <v>230</v>
      </c>
      <c r="U680" t="s">
        <v>1045</v>
      </c>
      <c r="V680" t="s">
        <v>402</v>
      </c>
      <c r="W680">
        <v>60</v>
      </c>
    </row>
    <row r="681" spans="1:23" x14ac:dyDescent="0.2">
      <c r="A681" t="s">
        <v>874</v>
      </c>
      <c r="B681" t="s">
        <v>875</v>
      </c>
      <c r="C681" t="s">
        <v>121</v>
      </c>
      <c r="D681" t="s">
        <v>301</v>
      </c>
      <c r="E681">
        <v>0</v>
      </c>
      <c r="F681">
        <v>0.95</v>
      </c>
      <c r="G681">
        <v>0</v>
      </c>
      <c r="T681" t="s">
        <v>230</v>
      </c>
      <c r="U681" t="s">
        <v>1046</v>
      </c>
      <c r="V681" t="s">
        <v>1051</v>
      </c>
      <c r="W681">
        <v>70</v>
      </c>
    </row>
    <row r="682" spans="1:23" x14ac:dyDescent="0.2">
      <c r="A682" t="s">
        <v>874</v>
      </c>
      <c r="B682" t="s">
        <v>875</v>
      </c>
      <c r="C682" t="s">
        <v>122</v>
      </c>
      <c r="D682" t="s">
        <v>302</v>
      </c>
      <c r="E682">
        <v>1</v>
      </c>
      <c r="F682">
        <v>4.2</v>
      </c>
      <c r="G682">
        <v>4.2</v>
      </c>
      <c r="T682" t="s">
        <v>230</v>
      </c>
      <c r="U682" t="s">
        <v>1047</v>
      </c>
      <c r="V682" t="s">
        <v>1052</v>
      </c>
      <c r="W682">
        <v>70</v>
      </c>
    </row>
    <row r="683" spans="1:23" x14ac:dyDescent="0.2">
      <c r="A683" t="s">
        <v>874</v>
      </c>
      <c r="B683" t="s">
        <v>875</v>
      </c>
      <c r="C683" t="s">
        <v>5</v>
      </c>
      <c r="D683" t="s">
        <v>305</v>
      </c>
      <c r="E683">
        <v>0.3</v>
      </c>
      <c r="F683">
        <v>11.5</v>
      </c>
      <c r="G683">
        <v>3.45</v>
      </c>
      <c r="T683" t="s">
        <v>230</v>
      </c>
      <c r="U683" t="s">
        <v>1048</v>
      </c>
      <c r="V683" t="s">
        <v>1053</v>
      </c>
      <c r="W683">
        <v>250</v>
      </c>
    </row>
    <row r="684" spans="1:23" x14ac:dyDescent="0.2">
      <c r="A684" t="s">
        <v>874</v>
      </c>
      <c r="B684" t="s">
        <v>875</v>
      </c>
      <c r="C684" t="s">
        <v>7</v>
      </c>
      <c r="D684" t="s">
        <v>307</v>
      </c>
      <c r="E684">
        <v>0.8</v>
      </c>
      <c r="F684">
        <v>6.7</v>
      </c>
      <c r="G684">
        <v>5.36</v>
      </c>
      <c r="T684" t="s">
        <v>230</v>
      </c>
      <c r="U684" t="s">
        <v>1049</v>
      </c>
      <c r="V684" t="s">
        <v>1054</v>
      </c>
      <c r="W684">
        <v>750</v>
      </c>
    </row>
    <row r="685" spans="1:23" x14ac:dyDescent="0.2">
      <c r="A685" t="s">
        <v>874</v>
      </c>
      <c r="B685" t="s">
        <v>875</v>
      </c>
      <c r="C685" t="s">
        <v>13</v>
      </c>
      <c r="D685" t="s">
        <v>309</v>
      </c>
      <c r="E685">
        <v>0.25</v>
      </c>
      <c r="F685">
        <v>7</v>
      </c>
      <c r="G685">
        <v>1.75</v>
      </c>
      <c r="T685" t="s">
        <v>230</v>
      </c>
      <c r="U685" t="s">
        <v>1050</v>
      </c>
      <c r="V685" t="s">
        <v>1055</v>
      </c>
      <c r="W685">
        <v>0</v>
      </c>
    </row>
    <row r="686" spans="1:23" x14ac:dyDescent="0.2">
      <c r="A686" t="s">
        <v>874</v>
      </c>
      <c r="B686" t="s">
        <v>875</v>
      </c>
      <c r="C686" t="s">
        <v>105</v>
      </c>
      <c r="D686" t="s">
        <v>313</v>
      </c>
      <c r="E686">
        <v>0</v>
      </c>
      <c r="F686">
        <v>0.1</v>
      </c>
      <c r="G686">
        <v>0</v>
      </c>
      <c r="T686" t="s">
        <v>240</v>
      </c>
      <c r="U686" t="s">
        <v>1042</v>
      </c>
      <c r="V686" t="s">
        <v>401</v>
      </c>
      <c r="W686">
        <v>50</v>
      </c>
    </row>
    <row r="687" spans="1:23" x14ac:dyDescent="0.2">
      <c r="A687" t="s">
        <v>874</v>
      </c>
      <c r="B687" t="s">
        <v>875</v>
      </c>
      <c r="C687" t="s">
        <v>110</v>
      </c>
      <c r="D687" t="s">
        <v>314</v>
      </c>
      <c r="E687">
        <v>0</v>
      </c>
      <c r="F687">
        <v>0.1</v>
      </c>
      <c r="G687">
        <v>0</v>
      </c>
      <c r="T687" t="s">
        <v>240</v>
      </c>
      <c r="U687" t="s">
        <v>1043</v>
      </c>
      <c r="V687" t="s">
        <v>272</v>
      </c>
      <c r="W687">
        <v>555</v>
      </c>
    </row>
    <row r="688" spans="1:23" x14ac:dyDescent="0.2">
      <c r="A688" t="s">
        <v>874</v>
      </c>
      <c r="B688" t="s">
        <v>875</v>
      </c>
      <c r="C688" t="s">
        <v>120</v>
      </c>
      <c r="D688" t="s">
        <v>340</v>
      </c>
      <c r="E688">
        <v>0</v>
      </c>
      <c r="F688">
        <v>0.1</v>
      </c>
      <c r="G688">
        <v>0</v>
      </c>
      <c r="T688" t="s">
        <v>240</v>
      </c>
      <c r="U688" t="s">
        <v>1044</v>
      </c>
      <c r="V688" t="s">
        <v>405</v>
      </c>
      <c r="W688">
        <v>100</v>
      </c>
    </row>
    <row r="689" spans="1:23" x14ac:dyDescent="0.2">
      <c r="A689" t="s">
        <v>876</v>
      </c>
      <c r="B689" t="s">
        <v>877</v>
      </c>
      <c r="C689" t="s">
        <v>94</v>
      </c>
      <c r="D689" t="s">
        <v>280</v>
      </c>
      <c r="E689">
        <v>1</v>
      </c>
      <c r="F689">
        <v>3.5</v>
      </c>
      <c r="G689">
        <v>3.5</v>
      </c>
      <c r="T689" t="s">
        <v>240</v>
      </c>
      <c r="U689" t="s">
        <v>1045</v>
      </c>
      <c r="V689" t="s">
        <v>402</v>
      </c>
      <c r="W689">
        <v>60</v>
      </c>
    </row>
    <row r="690" spans="1:23" x14ac:dyDescent="0.2">
      <c r="A690" t="s">
        <v>876</v>
      </c>
      <c r="B690" t="s">
        <v>877</v>
      </c>
      <c r="C690" t="s">
        <v>54</v>
      </c>
      <c r="D690" t="s">
        <v>358</v>
      </c>
      <c r="E690">
        <v>0</v>
      </c>
      <c r="F690">
        <v>120</v>
      </c>
      <c r="G690">
        <v>0</v>
      </c>
      <c r="T690" t="s">
        <v>240</v>
      </c>
      <c r="U690" t="s">
        <v>1046</v>
      </c>
      <c r="V690" t="s">
        <v>1051</v>
      </c>
      <c r="W690">
        <v>70</v>
      </c>
    </row>
    <row r="691" spans="1:23" x14ac:dyDescent="0.2">
      <c r="A691" t="s">
        <v>876</v>
      </c>
      <c r="B691" t="s">
        <v>877</v>
      </c>
      <c r="C691" t="s">
        <v>69</v>
      </c>
      <c r="D691" t="s">
        <v>288</v>
      </c>
      <c r="E691">
        <v>0</v>
      </c>
      <c r="F691">
        <v>190</v>
      </c>
      <c r="G691">
        <v>0</v>
      </c>
      <c r="T691" t="s">
        <v>240</v>
      </c>
      <c r="U691" t="s">
        <v>1047</v>
      </c>
      <c r="V691" t="s">
        <v>1052</v>
      </c>
      <c r="W691">
        <v>70</v>
      </c>
    </row>
    <row r="692" spans="1:23" x14ac:dyDescent="0.2">
      <c r="A692" t="s">
        <v>876</v>
      </c>
      <c r="B692" t="s">
        <v>877</v>
      </c>
      <c r="C692" t="s">
        <v>29</v>
      </c>
      <c r="D692" t="s">
        <v>292</v>
      </c>
      <c r="E692">
        <v>0.8</v>
      </c>
      <c r="F692">
        <v>27</v>
      </c>
      <c r="G692">
        <v>21.6</v>
      </c>
      <c r="T692" t="s">
        <v>240</v>
      </c>
      <c r="U692" t="s">
        <v>1048</v>
      </c>
      <c r="V692" t="s">
        <v>1053</v>
      </c>
      <c r="W692">
        <v>250</v>
      </c>
    </row>
    <row r="693" spans="1:23" x14ac:dyDescent="0.2">
      <c r="A693" t="s">
        <v>876</v>
      </c>
      <c r="B693" t="s">
        <v>877</v>
      </c>
      <c r="C693" t="s">
        <v>30</v>
      </c>
      <c r="D693" t="s">
        <v>332</v>
      </c>
      <c r="E693">
        <v>2</v>
      </c>
      <c r="F693">
        <v>6</v>
      </c>
      <c r="G693">
        <v>12</v>
      </c>
      <c r="T693" t="s">
        <v>240</v>
      </c>
      <c r="U693" t="s">
        <v>1049</v>
      </c>
      <c r="V693" t="s">
        <v>1054</v>
      </c>
      <c r="W693">
        <v>750</v>
      </c>
    </row>
    <row r="694" spans="1:23" x14ac:dyDescent="0.2">
      <c r="A694" t="s">
        <v>876</v>
      </c>
      <c r="B694" t="s">
        <v>877</v>
      </c>
      <c r="C694" t="s">
        <v>590</v>
      </c>
      <c r="D694" t="s">
        <v>591</v>
      </c>
      <c r="E694">
        <v>1</v>
      </c>
      <c r="F694">
        <v>2.8</v>
      </c>
      <c r="G694">
        <v>2.8</v>
      </c>
      <c r="T694" t="s">
        <v>240</v>
      </c>
      <c r="U694" t="s">
        <v>1050</v>
      </c>
      <c r="V694" t="s">
        <v>1055</v>
      </c>
      <c r="W694">
        <v>0</v>
      </c>
    </row>
    <row r="695" spans="1:23" x14ac:dyDescent="0.2">
      <c r="A695" t="s">
        <v>876</v>
      </c>
      <c r="B695" t="s">
        <v>877</v>
      </c>
      <c r="C695" t="s">
        <v>606</v>
      </c>
      <c r="D695" t="s">
        <v>607</v>
      </c>
      <c r="E695">
        <v>1</v>
      </c>
      <c r="F695">
        <v>13</v>
      </c>
      <c r="G695">
        <v>13</v>
      </c>
      <c r="T695" t="s">
        <v>192</v>
      </c>
      <c r="U695" t="s">
        <v>1042</v>
      </c>
      <c r="V695" t="s">
        <v>401</v>
      </c>
      <c r="W695">
        <v>50</v>
      </c>
    </row>
    <row r="696" spans="1:23" x14ac:dyDescent="0.2">
      <c r="A696" t="s">
        <v>876</v>
      </c>
      <c r="B696" t="s">
        <v>877</v>
      </c>
      <c r="C696" t="s">
        <v>121</v>
      </c>
      <c r="D696" t="s">
        <v>301</v>
      </c>
      <c r="E696">
        <v>1</v>
      </c>
      <c r="F696">
        <v>0.95</v>
      </c>
      <c r="G696">
        <v>0.95</v>
      </c>
      <c r="T696" t="s">
        <v>192</v>
      </c>
      <c r="U696" t="s">
        <v>1043</v>
      </c>
      <c r="V696" t="s">
        <v>272</v>
      </c>
      <c r="W696">
        <v>555</v>
      </c>
    </row>
    <row r="697" spans="1:23" x14ac:dyDescent="0.2">
      <c r="A697" t="s">
        <v>876</v>
      </c>
      <c r="B697" t="s">
        <v>877</v>
      </c>
      <c r="C697" t="s">
        <v>122</v>
      </c>
      <c r="D697" t="s">
        <v>302</v>
      </c>
      <c r="E697">
        <v>1</v>
      </c>
      <c r="F697">
        <v>4.2</v>
      </c>
      <c r="G697">
        <v>4.2</v>
      </c>
      <c r="T697" t="s">
        <v>192</v>
      </c>
      <c r="U697" t="s">
        <v>1044</v>
      </c>
      <c r="V697" t="s">
        <v>405</v>
      </c>
      <c r="W697">
        <v>100</v>
      </c>
    </row>
    <row r="698" spans="1:23" x14ac:dyDescent="0.2">
      <c r="A698" t="s">
        <v>876</v>
      </c>
      <c r="B698" t="s">
        <v>877</v>
      </c>
      <c r="C698" t="s">
        <v>3</v>
      </c>
      <c r="D698" t="s">
        <v>370</v>
      </c>
      <c r="E698">
        <v>0.18</v>
      </c>
      <c r="F698">
        <v>5</v>
      </c>
      <c r="G698">
        <v>0.9</v>
      </c>
      <c r="T698" t="s">
        <v>192</v>
      </c>
      <c r="U698" t="s">
        <v>1045</v>
      </c>
      <c r="V698" t="s">
        <v>402</v>
      </c>
      <c r="W698">
        <v>60</v>
      </c>
    </row>
    <row r="699" spans="1:23" x14ac:dyDescent="0.2">
      <c r="A699" t="s">
        <v>876</v>
      </c>
      <c r="B699" t="s">
        <v>877</v>
      </c>
      <c r="C699" t="s">
        <v>6</v>
      </c>
      <c r="D699" t="s">
        <v>306</v>
      </c>
      <c r="E699">
        <v>1.3</v>
      </c>
      <c r="F699">
        <v>16.8</v>
      </c>
      <c r="G699">
        <v>21.84</v>
      </c>
      <c r="T699" t="s">
        <v>192</v>
      </c>
      <c r="U699" t="s">
        <v>1046</v>
      </c>
      <c r="V699" t="s">
        <v>1051</v>
      </c>
      <c r="W699">
        <v>70</v>
      </c>
    </row>
    <row r="700" spans="1:23" x14ac:dyDescent="0.2">
      <c r="A700" t="s">
        <v>876</v>
      </c>
      <c r="B700" t="s">
        <v>877</v>
      </c>
      <c r="C700" t="s">
        <v>734</v>
      </c>
      <c r="D700" t="s">
        <v>735</v>
      </c>
      <c r="E700">
        <v>0.13</v>
      </c>
      <c r="F700">
        <v>10.5</v>
      </c>
      <c r="G700">
        <v>1.365</v>
      </c>
      <c r="T700" t="s">
        <v>192</v>
      </c>
      <c r="U700" t="s">
        <v>1047</v>
      </c>
      <c r="V700" t="s">
        <v>1052</v>
      </c>
      <c r="W700">
        <v>70</v>
      </c>
    </row>
    <row r="701" spans="1:23" x14ac:dyDescent="0.2">
      <c r="A701" t="s">
        <v>876</v>
      </c>
      <c r="B701" t="s">
        <v>877</v>
      </c>
      <c r="C701" t="s">
        <v>12</v>
      </c>
      <c r="D701" t="s">
        <v>308</v>
      </c>
      <c r="E701">
        <v>0.25</v>
      </c>
      <c r="F701">
        <v>7</v>
      </c>
      <c r="G701">
        <v>1.75</v>
      </c>
      <c r="T701" t="s">
        <v>192</v>
      </c>
      <c r="U701" t="s">
        <v>1048</v>
      </c>
      <c r="V701" t="s">
        <v>1053</v>
      </c>
      <c r="W701">
        <v>250</v>
      </c>
    </row>
    <row r="702" spans="1:23" x14ac:dyDescent="0.2">
      <c r="A702" t="s">
        <v>876</v>
      </c>
      <c r="B702" t="s">
        <v>877</v>
      </c>
      <c r="C702" t="s">
        <v>105</v>
      </c>
      <c r="D702" t="s">
        <v>313</v>
      </c>
      <c r="E702">
        <v>0</v>
      </c>
      <c r="F702">
        <v>0.1</v>
      </c>
      <c r="G702">
        <v>0</v>
      </c>
      <c r="T702" t="s">
        <v>192</v>
      </c>
      <c r="U702" t="s">
        <v>1049</v>
      </c>
      <c r="V702" t="s">
        <v>1054</v>
      </c>
      <c r="W702">
        <v>750</v>
      </c>
    </row>
    <row r="703" spans="1:23" x14ac:dyDescent="0.2">
      <c r="A703" t="s">
        <v>876</v>
      </c>
      <c r="B703" t="s">
        <v>877</v>
      </c>
      <c r="C703" t="s">
        <v>112</v>
      </c>
      <c r="D703" t="s">
        <v>362</v>
      </c>
      <c r="E703">
        <v>0</v>
      </c>
      <c r="F703">
        <v>0.1</v>
      </c>
      <c r="G703">
        <v>0</v>
      </c>
      <c r="T703" t="s">
        <v>192</v>
      </c>
      <c r="U703" t="s">
        <v>1050</v>
      </c>
      <c r="V703" t="s">
        <v>1055</v>
      </c>
      <c r="W703">
        <v>0</v>
      </c>
    </row>
    <row r="704" spans="1:23" x14ac:dyDescent="0.2">
      <c r="A704" t="s">
        <v>878</v>
      </c>
      <c r="B704" t="s">
        <v>879</v>
      </c>
      <c r="C704" t="s">
        <v>94</v>
      </c>
      <c r="D704" t="s">
        <v>280</v>
      </c>
      <c r="E704">
        <v>1</v>
      </c>
      <c r="F704">
        <v>3.5</v>
      </c>
      <c r="G704">
        <v>3.5</v>
      </c>
      <c r="T704" t="s">
        <v>241</v>
      </c>
      <c r="U704" t="s">
        <v>1042</v>
      </c>
      <c r="V704" t="s">
        <v>401</v>
      </c>
      <c r="W704">
        <v>50</v>
      </c>
    </row>
    <row r="705" spans="1:23" x14ac:dyDescent="0.2">
      <c r="A705" t="s">
        <v>878</v>
      </c>
      <c r="B705" t="s">
        <v>879</v>
      </c>
      <c r="C705" t="s">
        <v>54</v>
      </c>
      <c r="D705" t="s">
        <v>358</v>
      </c>
      <c r="E705">
        <v>0</v>
      </c>
      <c r="F705">
        <v>120</v>
      </c>
      <c r="G705">
        <v>0</v>
      </c>
      <c r="T705" t="s">
        <v>241</v>
      </c>
      <c r="U705" t="s">
        <v>1043</v>
      </c>
      <c r="V705" t="s">
        <v>272</v>
      </c>
      <c r="W705">
        <v>555</v>
      </c>
    </row>
    <row r="706" spans="1:23" x14ac:dyDescent="0.2">
      <c r="A706" t="s">
        <v>878</v>
      </c>
      <c r="B706" t="s">
        <v>879</v>
      </c>
      <c r="C706" t="s">
        <v>29</v>
      </c>
      <c r="D706" t="s">
        <v>292</v>
      </c>
      <c r="E706">
        <v>0.8</v>
      </c>
      <c r="F706">
        <v>27</v>
      </c>
      <c r="G706">
        <v>21.6</v>
      </c>
      <c r="T706" t="s">
        <v>241</v>
      </c>
      <c r="U706" t="s">
        <v>1044</v>
      </c>
      <c r="V706" t="s">
        <v>405</v>
      </c>
      <c r="W706">
        <v>100</v>
      </c>
    </row>
    <row r="707" spans="1:23" x14ac:dyDescent="0.2">
      <c r="A707" t="s">
        <v>878</v>
      </c>
      <c r="B707" t="s">
        <v>879</v>
      </c>
      <c r="C707" t="s">
        <v>30</v>
      </c>
      <c r="D707" t="s">
        <v>332</v>
      </c>
      <c r="E707">
        <v>2</v>
      </c>
      <c r="F707">
        <v>6</v>
      </c>
      <c r="G707">
        <v>12</v>
      </c>
      <c r="T707" t="s">
        <v>241</v>
      </c>
      <c r="U707" t="s">
        <v>1045</v>
      </c>
      <c r="V707" t="s">
        <v>402</v>
      </c>
      <c r="W707">
        <v>60</v>
      </c>
    </row>
    <row r="708" spans="1:23" x14ac:dyDescent="0.2">
      <c r="A708" t="s">
        <v>878</v>
      </c>
      <c r="B708" t="s">
        <v>879</v>
      </c>
      <c r="C708" t="s">
        <v>590</v>
      </c>
      <c r="D708" t="s">
        <v>591</v>
      </c>
      <c r="E708">
        <v>1</v>
      </c>
      <c r="F708">
        <v>2.8</v>
      </c>
      <c r="G708">
        <v>2.8</v>
      </c>
      <c r="T708" t="s">
        <v>241</v>
      </c>
      <c r="U708" t="s">
        <v>1046</v>
      </c>
      <c r="V708" t="s">
        <v>1051</v>
      </c>
      <c r="W708">
        <v>70</v>
      </c>
    </row>
    <row r="709" spans="1:23" x14ac:dyDescent="0.2">
      <c r="A709" t="s">
        <v>878</v>
      </c>
      <c r="B709" t="s">
        <v>879</v>
      </c>
      <c r="C709" t="s">
        <v>606</v>
      </c>
      <c r="D709" t="s">
        <v>607</v>
      </c>
      <c r="E709">
        <v>1</v>
      </c>
      <c r="F709">
        <v>13</v>
      </c>
      <c r="G709">
        <v>13</v>
      </c>
      <c r="T709" t="s">
        <v>241</v>
      </c>
      <c r="U709" t="s">
        <v>1047</v>
      </c>
      <c r="V709" t="s">
        <v>1052</v>
      </c>
      <c r="W709">
        <v>70</v>
      </c>
    </row>
    <row r="710" spans="1:23" x14ac:dyDescent="0.2">
      <c r="A710" t="s">
        <v>878</v>
      </c>
      <c r="B710" t="s">
        <v>879</v>
      </c>
      <c r="C710" t="s">
        <v>121</v>
      </c>
      <c r="D710" t="s">
        <v>301</v>
      </c>
      <c r="E710">
        <v>1</v>
      </c>
      <c r="F710">
        <v>0.95</v>
      </c>
      <c r="G710">
        <v>0.95</v>
      </c>
      <c r="T710" t="s">
        <v>241</v>
      </c>
      <c r="U710" t="s">
        <v>1048</v>
      </c>
      <c r="V710" t="s">
        <v>1053</v>
      </c>
      <c r="W710">
        <v>250</v>
      </c>
    </row>
    <row r="711" spans="1:23" x14ac:dyDescent="0.2">
      <c r="A711" t="s">
        <v>878</v>
      </c>
      <c r="B711" t="s">
        <v>879</v>
      </c>
      <c r="C711" t="s">
        <v>122</v>
      </c>
      <c r="D711" t="s">
        <v>302</v>
      </c>
      <c r="E711">
        <v>1</v>
      </c>
      <c r="F711">
        <v>4.2</v>
      </c>
      <c r="G711">
        <v>4.2</v>
      </c>
      <c r="T711" t="s">
        <v>241</v>
      </c>
      <c r="U711" t="s">
        <v>1049</v>
      </c>
      <c r="V711" t="s">
        <v>1054</v>
      </c>
      <c r="W711">
        <v>750</v>
      </c>
    </row>
    <row r="712" spans="1:23" x14ac:dyDescent="0.2">
      <c r="A712" t="s">
        <v>878</v>
      </c>
      <c r="B712" t="s">
        <v>879</v>
      </c>
      <c r="C712" t="s">
        <v>3</v>
      </c>
      <c r="D712" t="s">
        <v>370</v>
      </c>
      <c r="E712">
        <v>0.18</v>
      </c>
      <c r="F712">
        <v>5</v>
      </c>
      <c r="G712">
        <v>0.9</v>
      </c>
      <c r="T712" t="s">
        <v>241</v>
      </c>
      <c r="U712" t="s">
        <v>1050</v>
      </c>
      <c r="V712" t="s">
        <v>1055</v>
      </c>
      <c r="W712">
        <v>0</v>
      </c>
    </row>
    <row r="713" spans="1:23" x14ac:dyDescent="0.2">
      <c r="A713" t="s">
        <v>878</v>
      </c>
      <c r="B713" t="s">
        <v>879</v>
      </c>
      <c r="C713" t="s">
        <v>6</v>
      </c>
      <c r="D713" t="s">
        <v>306</v>
      </c>
      <c r="E713">
        <v>1.3</v>
      </c>
      <c r="F713">
        <v>16.8</v>
      </c>
      <c r="G713">
        <v>21.84</v>
      </c>
      <c r="T713" t="s">
        <v>242</v>
      </c>
      <c r="U713" t="s">
        <v>1042</v>
      </c>
      <c r="V713" t="s">
        <v>401</v>
      </c>
      <c r="W713">
        <v>50</v>
      </c>
    </row>
    <row r="714" spans="1:23" x14ac:dyDescent="0.2">
      <c r="A714" t="s">
        <v>878</v>
      </c>
      <c r="B714" t="s">
        <v>879</v>
      </c>
      <c r="C714" t="s">
        <v>734</v>
      </c>
      <c r="D714" t="s">
        <v>735</v>
      </c>
      <c r="E714">
        <v>0.13</v>
      </c>
      <c r="F714">
        <v>10.5</v>
      </c>
      <c r="G714">
        <v>1.365</v>
      </c>
      <c r="T714" t="s">
        <v>242</v>
      </c>
      <c r="U714" t="s">
        <v>1043</v>
      </c>
      <c r="V714" t="s">
        <v>272</v>
      </c>
      <c r="W714">
        <v>555</v>
      </c>
    </row>
    <row r="715" spans="1:23" x14ac:dyDescent="0.2">
      <c r="A715" t="s">
        <v>878</v>
      </c>
      <c r="B715" t="s">
        <v>879</v>
      </c>
      <c r="C715" t="s">
        <v>12</v>
      </c>
      <c r="D715" t="s">
        <v>308</v>
      </c>
      <c r="E715">
        <v>0.25</v>
      </c>
      <c r="F715">
        <v>7</v>
      </c>
      <c r="G715">
        <v>1.75</v>
      </c>
      <c r="T715" t="s">
        <v>242</v>
      </c>
      <c r="U715" t="s">
        <v>1044</v>
      </c>
      <c r="V715" t="s">
        <v>405</v>
      </c>
      <c r="W715">
        <v>100</v>
      </c>
    </row>
    <row r="716" spans="1:23" x14ac:dyDescent="0.2">
      <c r="A716" t="s">
        <v>878</v>
      </c>
      <c r="B716" t="s">
        <v>879</v>
      </c>
      <c r="C716" t="s">
        <v>112</v>
      </c>
      <c r="D716" t="s">
        <v>362</v>
      </c>
      <c r="E716">
        <v>0</v>
      </c>
      <c r="F716">
        <v>0.1</v>
      </c>
      <c r="G716">
        <v>0</v>
      </c>
      <c r="T716" t="s">
        <v>242</v>
      </c>
      <c r="U716" t="s">
        <v>1045</v>
      </c>
      <c r="V716" t="s">
        <v>402</v>
      </c>
      <c r="W716">
        <v>60</v>
      </c>
    </row>
    <row r="717" spans="1:23" x14ac:dyDescent="0.2">
      <c r="A717" t="s">
        <v>878</v>
      </c>
      <c r="B717" t="s">
        <v>879</v>
      </c>
      <c r="C717" t="s">
        <v>117</v>
      </c>
      <c r="D717" t="s">
        <v>352</v>
      </c>
      <c r="E717">
        <v>0</v>
      </c>
      <c r="F717">
        <v>0.1</v>
      </c>
      <c r="G717">
        <v>0</v>
      </c>
      <c r="T717" t="s">
        <v>242</v>
      </c>
      <c r="U717" t="s">
        <v>1046</v>
      </c>
      <c r="V717" t="s">
        <v>1051</v>
      </c>
      <c r="W717">
        <v>70</v>
      </c>
    </row>
    <row r="718" spans="1:23" x14ac:dyDescent="0.2">
      <c r="A718" t="s">
        <v>886</v>
      </c>
      <c r="B718" t="s">
        <v>887</v>
      </c>
      <c r="C718" t="s">
        <v>94</v>
      </c>
      <c r="D718" t="s">
        <v>280</v>
      </c>
      <c r="E718">
        <v>1</v>
      </c>
      <c r="F718">
        <v>3.5</v>
      </c>
      <c r="G718">
        <v>3.5</v>
      </c>
      <c r="T718" t="s">
        <v>242</v>
      </c>
      <c r="U718" t="s">
        <v>1047</v>
      </c>
      <c r="V718" t="s">
        <v>1052</v>
      </c>
      <c r="W718">
        <v>70</v>
      </c>
    </row>
    <row r="719" spans="1:23" x14ac:dyDescent="0.2">
      <c r="A719" t="s">
        <v>886</v>
      </c>
      <c r="B719" t="s">
        <v>887</v>
      </c>
      <c r="C719" t="s">
        <v>456</v>
      </c>
      <c r="D719" t="s">
        <v>457</v>
      </c>
      <c r="E719">
        <v>0</v>
      </c>
      <c r="F719">
        <v>90</v>
      </c>
      <c r="G719">
        <v>0</v>
      </c>
      <c r="T719" t="s">
        <v>242</v>
      </c>
      <c r="U719" t="s">
        <v>1048</v>
      </c>
      <c r="V719" t="s">
        <v>1053</v>
      </c>
      <c r="W719">
        <v>250</v>
      </c>
    </row>
    <row r="720" spans="1:23" x14ac:dyDescent="0.2">
      <c r="A720" t="s">
        <v>886</v>
      </c>
      <c r="B720" t="s">
        <v>887</v>
      </c>
      <c r="C720" t="s">
        <v>544</v>
      </c>
      <c r="D720" t="s">
        <v>545</v>
      </c>
      <c r="E720">
        <v>0</v>
      </c>
      <c r="F720">
        <v>145</v>
      </c>
      <c r="G720">
        <v>0</v>
      </c>
      <c r="T720" t="s">
        <v>242</v>
      </c>
      <c r="U720" t="s">
        <v>1049</v>
      </c>
      <c r="V720" t="s">
        <v>1054</v>
      </c>
      <c r="W720">
        <v>750</v>
      </c>
    </row>
    <row r="721" spans="1:23" x14ac:dyDescent="0.2">
      <c r="A721" t="s">
        <v>886</v>
      </c>
      <c r="B721" t="s">
        <v>887</v>
      </c>
      <c r="C721" t="s">
        <v>29</v>
      </c>
      <c r="D721" t="s">
        <v>292</v>
      </c>
      <c r="E721">
        <v>0.8</v>
      </c>
      <c r="F721">
        <v>27</v>
      </c>
      <c r="G721">
        <v>21.6</v>
      </c>
      <c r="T721" t="s">
        <v>242</v>
      </c>
      <c r="U721" t="s">
        <v>1050</v>
      </c>
      <c r="V721" t="s">
        <v>1055</v>
      </c>
      <c r="W721">
        <v>0</v>
      </c>
    </row>
    <row r="722" spans="1:23" x14ac:dyDescent="0.2">
      <c r="A722" t="s">
        <v>886</v>
      </c>
      <c r="B722" t="s">
        <v>887</v>
      </c>
      <c r="C722" t="s">
        <v>30</v>
      </c>
      <c r="D722" t="s">
        <v>332</v>
      </c>
      <c r="E722">
        <v>2</v>
      </c>
      <c r="F722">
        <v>6</v>
      </c>
      <c r="G722">
        <v>12</v>
      </c>
      <c r="T722" t="s">
        <v>205</v>
      </c>
      <c r="U722" t="s">
        <v>1042</v>
      </c>
      <c r="V722" t="s">
        <v>401</v>
      </c>
      <c r="W722">
        <v>50</v>
      </c>
    </row>
    <row r="723" spans="1:23" x14ac:dyDescent="0.2">
      <c r="A723" t="s">
        <v>886</v>
      </c>
      <c r="B723" t="s">
        <v>887</v>
      </c>
      <c r="C723" t="s">
        <v>590</v>
      </c>
      <c r="D723" t="s">
        <v>591</v>
      </c>
      <c r="E723">
        <v>1</v>
      </c>
      <c r="F723">
        <v>2.8</v>
      </c>
      <c r="G723">
        <v>2.8</v>
      </c>
      <c r="T723" t="s">
        <v>205</v>
      </c>
      <c r="U723" t="s">
        <v>1043</v>
      </c>
      <c r="V723" t="s">
        <v>272</v>
      </c>
      <c r="W723">
        <v>555</v>
      </c>
    </row>
    <row r="724" spans="1:23" x14ac:dyDescent="0.2">
      <c r="A724" t="s">
        <v>886</v>
      </c>
      <c r="B724" t="s">
        <v>887</v>
      </c>
      <c r="C724" t="s">
        <v>606</v>
      </c>
      <c r="D724" t="s">
        <v>607</v>
      </c>
      <c r="E724">
        <v>1</v>
      </c>
      <c r="F724">
        <v>13</v>
      </c>
      <c r="G724">
        <v>13</v>
      </c>
      <c r="T724" t="s">
        <v>205</v>
      </c>
      <c r="U724" t="s">
        <v>1044</v>
      </c>
      <c r="V724" t="s">
        <v>405</v>
      </c>
      <c r="W724">
        <v>100</v>
      </c>
    </row>
    <row r="725" spans="1:23" x14ac:dyDescent="0.2">
      <c r="A725" t="s">
        <v>886</v>
      </c>
      <c r="B725" t="s">
        <v>887</v>
      </c>
      <c r="C725" t="s">
        <v>121</v>
      </c>
      <c r="D725" t="s">
        <v>301</v>
      </c>
      <c r="E725">
        <v>1</v>
      </c>
      <c r="F725">
        <v>0.95</v>
      </c>
      <c r="G725">
        <v>0.95</v>
      </c>
      <c r="T725" t="s">
        <v>205</v>
      </c>
      <c r="U725" t="s">
        <v>1045</v>
      </c>
      <c r="V725" t="s">
        <v>402</v>
      </c>
      <c r="W725">
        <v>60</v>
      </c>
    </row>
    <row r="726" spans="1:23" x14ac:dyDescent="0.2">
      <c r="A726" t="s">
        <v>886</v>
      </c>
      <c r="B726" t="s">
        <v>887</v>
      </c>
      <c r="C726" t="s">
        <v>122</v>
      </c>
      <c r="D726" t="s">
        <v>302</v>
      </c>
      <c r="E726">
        <v>1</v>
      </c>
      <c r="F726">
        <v>4.2</v>
      </c>
      <c r="G726">
        <v>4.2</v>
      </c>
      <c r="T726" t="s">
        <v>205</v>
      </c>
      <c r="U726" t="s">
        <v>1046</v>
      </c>
      <c r="V726" t="s">
        <v>1051</v>
      </c>
      <c r="W726">
        <v>70</v>
      </c>
    </row>
    <row r="727" spans="1:23" x14ac:dyDescent="0.2">
      <c r="A727" t="s">
        <v>886</v>
      </c>
      <c r="B727" t="s">
        <v>887</v>
      </c>
      <c r="C727" t="s">
        <v>3</v>
      </c>
      <c r="D727" t="s">
        <v>370</v>
      </c>
      <c r="E727">
        <v>0.18</v>
      </c>
      <c r="F727">
        <v>5</v>
      </c>
      <c r="G727">
        <v>0.9</v>
      </c>
      <c r="T727" t="s">
        <v>205</v>
      </c>
      <c r="U727" t="s">
        <v>1047</v>
      </c>
      <c r="V727" t="s">
        <v>1052</v>
      </c>
      <c r="W727">
        <v>70</v>
      </c>
    </row>
    <row r="728" spans="1:23" x14ac:dyDescent="0.2">
      <c r="A728" t="s">
        <v>886</v>
      </c>
      <c r="B728" t="s">
        <v>887</v>
      </c>
      <c r="C728" t="s">
        <v>6</v>
      </c>
      <c r="D728" t="s">
        <v>306</v>
      </c>
      <c r="E728">
        <v>1.3</v>
      </c>
      <c r="F728">
        <v>16.8</v>
      </c>
      <c r="G728">
        <v>21.84</v>
      </c>
      <c r="T728" t="s">
        <v>205</v>
      </c>
      <c r="U728" t="s">
        <v>1048</v>
      </c>
      <c r="V728" t="s">
        <v>1053</v>
      </c>
      <c r="W728">
        <v>250</v>
      </c>
    </row>
    <row r="729" spans="1:23" x14ac:dyDescent="0.2">
      <c r="A729" t="s">
        <v>886</v>
      </c>
      <c r="B729" t="s">
        <v>887</v>
      </c>
      <c r="C729" t="s">
        <v>734</v>
      </c>
      <c r="D729" t="s">
        <v>735</v>
      </c>
      <c r="E729">
        <v>0.13</v>
      </c>
      <c r="F729">
        <v>10.5</v>
      </c>
      <c r="G729">
        <v>1.365</v>
      </c>
      <c r="T729" t="s">
        <v>205</v>
      </c>
      <c r="U729" t="s">
        <v>1049</v>
      </c>
      <c r="V729" t="s">
        <v>1054</v>
      </c>
      <c r="W729">
        <v>750</v>
      </c>
    </row>
    <row r="730" spans="1:23" x14ac:dyDescent="0.2">
      <c r="A730" t="s">
        <v>886</v>
      </c>
      <c r="B730" t="s">
        <v>887</v>
      </c>
      <c r="C730" t="s">
        <v>12</v>
      </c>
      <c r="D730" t="s">
        <v>308</v>
      </c>
      <c r="E730">
        <v>0.25</v>
      </c>
      <c r="F730">
        <v>7</v>
      </c>
      <c r="G730">
        <v>1.75</v>
      </c>
      <c r="T730" t="s">
        <v>205</v>
      </c>
      <c r="U730" t="s">
        <v>1050</v>
      </c>
      <c r="V730" t="s">
        <v>1055</v>
      </c>
      <c r="W730">
        <v>0</v>
      </c>
    </row>
    <row r="731" spans="1:23" x14ac:dyDescent="0.2">
      <c r="A731" t="s">
        <v>886</v>
      </c>
      <c r="B731" t="s">
        <v>887</v>
      </c>
      <c r="C731" t="s">
        <v>107</v>
      </c>
      <c r="D731" t="s">
        <v>316</v>
      </c>
      <c r="E731">
        <v>0</v>
      </c>
      <c r="F731">
        <v>0.1</v>
      </c>
      <c r="G731">
        <v>0</v>
      </c>
      <c r="T731" t="s">
        <v>206</v>
      </c>
      <c r="U731" t="s">
        <v>1042</v>
      </c>
      <c r="V731" t="s">
        <v>401</v>
      </c>
      <c r="W731">
        <v>50</v>
      </c>
    </row>
    <row r="732" spans="1:23" x14ac:dyDescent="0.2">
      <c r="A732" t="s">
        <v>886</v>
      </c>
      <c r="B732" t="s">
        <v>887</v>
      </c>
      <c r="C732" t="s">
        <v>830</v>
      </c>
      <c r="D732" t="s">
        <v>831</v>
      </c>
      <c r="E732">
        <v>0</v>
      </c>
      <c r="F732">
        <v>0.1</v>
      </c>
      <c r="G732">
        <v>0</v>
      </c>
      <c r="T732" t="s">
        <v>206</v>
      </c>
      <c r="U732" t="s">
        <v>1043</v>
      </c>
      <c r="V732" t="s">
        <v>272</v>
      </c>
      <c r="W732">
        <v>555</v>
      </c>
    </row>
    <row r="733" spans="1:23" x14ac:dyDescent="0.2">
      <c r="A733" t="s">
        <v>882</v>
      </c>
      <c r="B733" t="s">
        <v>883</v>
      </c>
      <c r="C733" t="s">
        <v>94</v>
      </c>
      <c r="D733" t="s">
        <v>280</v>
      </c>
      <c r="E733">
        <v>1</v>
      </c>
      <c r="F733">
        <v>3.5</v>
      </c>
      <c r="G733">
        <v>3.5</v>
      </c>
      <c r="T733" t="s">
        <v>206</v>
      </c>
      <c r="U733" t="s">
        <v>1044</v>
      </c>
      <c r="V733" t="s">
        <v>405</v>
      </c>
      <c r="W733">
        <v>100</v>
      </c>
    </row>
    <row r="734" spans="1:23" x14ac:dyDescent="0.2">
      <c r="A734" t="s">
        <v>882</v>
      </c>
      <c r="B734" t="s">
        <v>883</v>
      </c>
      <c r="C734" t="s">
        <v>53</v>
      </c>
      <c r="D734" t="s">
        <v>325</v>
      </c>
      <c r="E734">
        <v>0</v>
      </c>
      <c r="F734">
        <v>120</v>
      </c>
      <c r="G734">
        <v>0</v>
      </c>
      <c r="T734" t="s">
        <v>206</v>
      </c>
      <c r="U734" t="s">
        <v>1045</v>
      </c>
      <c r="V734" t="s">
        <v>402</v>
      </c>
      <c r="W734">
        <v>60</v>
      </c>
    </row>
    <row r="735" spans="1:23" x14ac:dyDescent="0.2">
      <c r="A735" t="s">
        <v>882</v>
      </c>
      <c r="B735" t="s">
        <v>883</v>
      </c>
      <c r="C735" t="s">
        <v>546</v>
      </c>
      <c r="D735" t="s">
        <v>547</v>
      </c>
      <c r="E735">
        <v>0</v>
      </c>
      <c r="F735">
        <v>145</v>
      </c>
      <c r="G735">
        <v>0</v>
      </c>
      <c r="T735" t="s">
        <v>206</v>
      </c>
      <c r="U735" t="s">
        <v>1046</v>
      </c>
      <c r="V735" t="s">
        <v>1051</v>
      </c>
      <c r="W735">
        <v>70</v>
      </c>
    </row>
    <row r="736" spans="1:23" x14ac:dyDescent="0.2">
      <c r="A736" t="s">
        <v>882</v>
      </c>
      <c r="B736" t="s">
        <v>883</v>
      </c>
      <c r="C736" t="s">
        <v>29</v>
      </c>
      <c r="D736" t="s">
        <v>292</v>
      </c>
      <c r="E736">
        <v>0.8</v>
      </c>
      <c r="F736">
        <v>27</v>
      </c>
      <c r="G736">
        <v>21.6</v>
      </c>
      <c r="T736" t="s">
        <v>206</v>
      </c>
      <c r="U736" t="s">
        <v>1047</v>
      </c>
      <c r="V736" t="s">
        <v>1052</v>
      </c>
      <c r="W736">
        <v>70</v>
      </c>
    </row>
    <row r="737" spans="1:23" x14ac:dyDescent="0.2">
      <c r="A737" t="s">
        <v>882</v>
      </c>
      <c r="B737" t="s">
        <v>883</v>
      </c>
      <c r="C737" t="s">
        <v>30</v>
      </c>
      <c r="D737" t="s">
        <v>332</v>
      </c>
      <c r="E737">
        <v>2</v>
      </c>
      <c r="F737">
        <v>6</v>
      </c>
      <c r="G737">
        <v>12</v>
      </c>
      <c r="T737" t="s">
        <v>206</v>
      </c>
      <c r="U737" t="s">
        <v>1048</v>
      </c>
      <c r="V737" t="s">
        <v>1053</v>
      </c>
      <c r="W737">
        <v>250</v>
      </c>
    </row>
    <row r="738" spans="1:23" x14ac:dyDescent="0.2">
      <c r="A738" t="s">
        <v>882</v>
      </c>
      <c r="B738" t="s">
        <v>883</v>
      </c>
      <c r="C738" t="s">
        <v>590</v>
      </c>
      <c r="D738" t="s">
        <v>591</v>
      </c>
      <c r="E738">
        <v>1</v>
      </c>
      <c r="F738">
        <v>2.8</v>
      </c>
      <c r="G738">
        <v>2.8</v>
      </c>
      <c r="T738" t="s">
        <v>206</v>
      </c>
      <c r="U738" t="s">
        <v>1049</v>
      </c>
      <c r="V738" t="s">
        <v>1054</v>
      </c>
      <c r="W738">
        <v>750</v>
      </c>
    </row>
    <row r="739" spans="1:23" x14ac:dyDescent="0.2">
      <c r="A739" t="s">
        <v>882</v>
      </c>
      <c r="B739" t="s">
        <v>883</v>
      </c>
      <c r="C739" t="s">
        <v>606</v>
      </c>
      <c r="D739" t="s">
        <v>607</v>
      </c>
      <c r="E739">
        <v>1</v>
      </c>
      <c r="F739">
        <v>13</v>
      </c>
      <c r="G739">
        <v>13</v>
      </c>
      <c r="T739" t="s">
        <v>206</v>
      </c>
      <c r="U739" t="s">
        <v>1050</v>
      </c>
      <c r="V739" t="s">
        <v>1055</v>
      </c>
      <c r="W739">
        <v>0</v>
      </c>
    </row>
    <row r="740" spans="1:23" x14ac:dyDescent="0.2">
      <c r="A740" t="s">
        <v>882</v>
      </c>
      <c r="B740" t="s">
        <v>883</v>
      </c>
      <c r="C740" t="s">
        <v>121</v>
      </c>
      <c r="D740" t="s">
        <v>301</v>
      </c>
      <c r="E740">
        <v>1</v>
      </c>
      <c r="F740">
        <v>0.95</v>
      </c>
      <c r="G740">
        <v>0.95</v>
      </c>
      <c r="T740" t="s">
        <v>208</v>
      </c>
      <c r="U740" t="s">
        <v>1042</v>
      </c>
      <c r="V740" t="s">
        <v>401</v>
      </c>
      <c r="W740">
        <v>50</v>
      </c>
    </row>
    <row r="741" spans="1:23" x14ac:dyDescent="0.2">
      <c r="A741" t="s">
        <v>882</v>
      </c>
      <c r="B741" t="s">
        <v>883</v>
      </c>
      <c r="C741" t="s">
        <v>122</v>
      </c>
      <c r="D741" t="s">
        <v>302</v>
      </c>
      <c r="E741">
        <v>1</v>
      </c>
      <c r="F741">
        <v>4.2</v>
      </c>
      <c r="G741">
        <v>4.2</v>
      </c>
      <c r="T741" t="s">
        <v>208</v>
      </c>
      <c r="U741" t="s">
        <v>1043</v>
      </c>
      <c r="V741" t="s">
        <v>272</v>
      </c>
      <c r="W741">
        <v>555</v>
      </c>
    </row>
    <row r="742" spans="1:23" x14ac:dyDescent="0.2">
      <c r="A742" t="s">
        <v>882</v>
      </c>
      <c r="B742" t="s">
        <v>883</v>
      </c>
      <c r="C742" t="s">
        <v>3</v>
      </c>
      <c r="D742" t="s">
        <v>370</v>
      </c>
      <c r="E742">
        <v>0.18</v>
      </c>
      <c r="F742">
        <v>5</v>
      </c>
      <c r="G742">
        <v>0.9</v>
      </c>
      <c r="T742" t="s">
        <v>208</v>
      </c>
      <c r="U742" t="s">
        <v>1044</v>
      </c>
      <c r="V742" t="s">
        <v>405</v>
      </c>
      <c r="W742">
        <v>100</v>
      </c>
    </row>
    <row r="743" spans="1:23" x14ac:dyDescent="0.2">
      <c r="A743" t="s">
        <v>882</v>
      </c>
      <c r="B743" t="s">
        <v>883</v>
      </c>
      <c r="C743" t="s">
        <v>6</v>
      </c>
      <c r="D743" t="s">
        <v>306</v>
      </c>
      <c r="E743">
        <v>1.3</v>
      </c>
      <c r="F743">
        <v>16.8</v>
      </c>
      <c r="G743">
        <v>21.84</v>
      </c>
      <c r="T743" t="s">
        <v>208</v>
      </c>
      <c r="U743" t="s">
        <v>1045</v>
      </c>
      <c r="V743" t="s">
        <v>402</v>
      </c>
      <c r="W743">
        <v>60</v>
      </c>
    </row>
    <row r="744" spans="1:23" x14ac:dyDescent="0.2">
      <c r="A744" t="s">
        <v>882</v>
      </c>
      <c r="B744" t="s">
        <v>883</v>
      </c>
      <c r="C744" t="s">
        <v>734</v>
      </c>
      <c r="D744" t="s">
        <v>735</v>
      </c>
      <c r="E744">
        <v>0.13</v>
      </c>
      <c r="F744">
        <v>10.5</v>
      </c>
      <c r="G744">
        <v>1.365</v>
      </c>
      <c r="T744" t="s">
        <v>208</v>
      </c>
      <c r="U744" t="s">
        <v>1046</v>
      </c>
      <c r="V744" t="s">
        <v>1051</v>
      </c>
      <c r="W744">
        <v>70</v>
      </c>
    </row>
    <row r="745" spans="1:23" x14ac:dyDescent="0.2">
      <c r="A745" t="s">
        <v>882</v>
      </c>
      <c r="B745" t="s">
        <v>883</v>
      </c>
      <c r="C745" t="s">
        <v>12</v>
      </c>
      <c r="D745" t="s">
        <v>308</v>
      </c>
      <c r="E745">
        <v>0.25</v>
      </c>
      <c r="F745">
        <v>7</v>
      </c>
      <c r="G745">
        <v>1.75</v>
      </c>
      <c r="T745" t="s">
        <v>208</v>
      </c>
      <c r="U745" t="s">
        <v>1047</v>
      </c>
      <c r="V745" t="s">
        <v>1052</v>
      </c>
      <c r="W745">
        <v>70</v>
      </c>
    </row>
    <row r="746" spans="1:23" x14ac:dyDescent="0.2">
      <c r="A746" t="s">
        <v>882</v>
      </c>
      <c r="B746" t="s">
        <v>883</v>
      </c>
      <c r="C746" t="s">
        <v>107</v>
      </c>
      <c r="D746" t="s">
        <v>316</v>
      </c>
      <c r="E746">
        <v>0</v>
      </c>
      <c r="F746">
        <v>0.1</v>
      </c>
      <c r="G746">
        <v>0</v>
      </c>
      <c r="T746" t="s">
        <v>208</v>
      </c>
      <c r="U746" t="s">
        <v>1048</v>
      </c>
      <c r="V746" t="s">
        <v>1053</v>
      </c>
      <c r="W746">
        <v>250</v>
      </c>
    </row>
    <row r="747" spans="1:23" x14ac:dyDescent="0.2">
      <c r="A747" t="s">
        <v>882</v>
      </c>
      <c r="B747" t="s">
        <v>883</v>
      </c>
      <c r="C747" t="s">
        <v>120</v>
      </c>
      <c r="D747" t="s">
        <v>340</v>
      </c>
      <c r="E747">
        <v>0</v>
      </c>
      <c r="F747">
        <v>0.1</v>
      </c>
      <c r="G747">
        <v>0</v>
      </c>
      <c r="T747" t="s">
        <v>208</v>
      </c>
      <c r="U747" t="s">
        <v>1049</v>
      </c>
      <c r="V747" t="s">
        <v>1054</v>
      </c>
      <c r="W747">
        <v>750</v>
      </c>
    </row>
    <row r="748" spans="1:23" x14ac:dyDescent="0.2">
      <c r="A748" t="s">
        <v>880</v>
      </c>
      <c r="B748" t="s">
        <v>881</v>
      </c>
      <c r="C748" t="s">
        <v>94</v>
      </c>
      <c r="D748" t="s">
        <v>280</v>
      </c>
      <c r="E748">
        <v>1</v>
      </c>
      <c r="F748">
        <v>3.5</v>
      </c>
      <c r="G748">
        <v>3.5</v>
      </c>
      <c r="T748" t="s">
        <v>208</v>
      </c>
      <c r="U748" t="s">
        <v>1050</v>
      </c>
      <c r="V748" t="s">
        <v>1055</v>
      </c>
      <c r="W748">
        <v>0</v>
      </c>
    </row>
    <row r="749" spans="1:23" x14ac:dyDescent="0.2">
      <c r="A749" t="s">
        <v>880</v>
      </c>
      <c r="B749" t="s">
        <v>881</v>
      </c>
      <c r="C749" t="s">
        <v>54</v>
      </c>
      <c r="D749" t="s">
        <v>358</v>
      </c>
      <c r="E749">
        <v>0</v>
      </c>
      <c r="F749">
        <v>120</v>
      </c>
      <c r="G749">
        <v>0</v>
      </c>
      <c r="T749" t="s">
        <v>207</v>
      </c>
      <c r="U749" t="s">
        <v>1042</v>
      </c>
      <c r="V749" t="s">
        <v>401</v>
      </c>
      <c r="W749">
        <v>50</v>
      </c>
    </row>
    <row r="750" spans="1:23" x14ac:dyDescent="0.2">
      <c r="A750" t="s">
        <v>880</v>
      </c>
      <c r="B750" t="s">
        <v>881</v>
      </c>
      <c r="C750" t="s">
        <v>71</v>
      </c>
      <c r="D750" t="s">
        <v>385</v>
      </c>
      <c r="E750">
        <v>0</v>
      </c>
      <c r="F750">
        <v>145</v>
      </c>
      <c r="G750">
        <v>0</v>
      </c>
      <c r="T750" t="s">
        <v>207</v>
      </c>
      <c r="U750" t="s">
        <v>1043</v>
      </c>
      <c r="V750" t="s">
        <v>272</v>
      </c>
      <c r="W750">
        <v>700</v>
      </c>
    </row>
    <row r="751" spans="1:23" x14ac:dyDescent="0.2">
      <c r="A751" t="s">
        <v>880</v>
      </c>
      <c r="B751" t="s">
        <v>881</v>
      </c>
      <c r="C751" t="s">
        <v>29</v>
      </c>
      <c r="D751" t="s">
        <v>292</v>
      </c>
      <c r="E751">
        <v>0.8</v>
      </c>
      <c r="F751">
        <v>27</v>
      </c>
      <c r="G751">
        <v>21.6</v>
      </c>
      <c r="T751" t="s">
        <v>207</v>
      </c>
      <c r="U751" t="s">
        <v>1044</v>
      </c>
      <c r="V751" t="s">
        <v>405</v>
      </c>
      <c r="W751">
        <v>100</v>
      </c>
    </row>
    <row r="752" spans="1:23" x14ac:dyDescent="0.2">
      <c r="A752" t="s">
        <v>880</v>
      </c>
      <c r="B752" t="s">
        <v>881</v>
      </c>
      <c r="C752" t="s">
        <v>30</v>
      </c>
      <c r="D752" t="s">
        <v>332</v>
      </c>
      <c r="E752">
        <v>2</v>
      </c>
      <c r="F752">
        <v>6</v>
      </c>
      <c r="G752">
        <v>12</v>
      </c>
      <c r="T752" t="s">
        <v>207</v>
      </c>
      <c r="U752" t="s">
        <v>1045</v>
      </c>
      <c r="V752" t="s">
        <v>402</v>
      </c>
      <c r="W752">
        <v>60</v>
      </c>
    </row>
    <row r="753" spans="1:23" x14ac:dyDescent="0.2">
      <c r="A753" t="s">
        <v>880</v>
      </c>
      <c r="B753" t="s">
        <v>881</v>
      </c>
      <c r="C753" t="s">
        <v>590</v>
      </c>
      <c r="D753" t="s">
        <v>591</v>
      </c>
      <c r="E753">
        <v>1</v>
      </c>
      <c r="F753">
        <v>2.8</v>
      </c>
      <c r="G753">
        <v>2.8</v>
      </c>
      <c r="T753" t="s">
        <v>207</v>
      </c>
      <c r="U753" t="s">
        <v>1046</v>
      </c>
      <c r="V753" t="s">
        <v>1051</v>
      </c>
      <c r="W753">
        <v>70</v>
      </c>
    </row>
    <row r="754" spans="1:23" x14ac:dyDescent="0.2">
      <c r="A754" t="s">
        <v>880</v>
      </c>
      <c r="B754" t="s">
        <v>881</v>
      </c>
      <c r="C754" t="s">
        <v>606</v>
      </c>
      <c r="D754" t="s">
        <v>607</v>
      </c>
      <c r="E754">
        <v>1</v>
      </c>
      <c r="F754">
        <v>13</v>
      </c>
      <c r="G754">
        <v>13</v>
      </c>
      <c r="T754" t="s">
        <v>207</v>
      </c>
      <c r="U754" t="s">
        <v>1047</v>
      </c>
      <c r="V754" t="s">
        <v>1052</v>
      </c>
      <c r="W754">
        <v>70</v>
      </c>
    </row>
    <row r="755" spans="1:23" x14ac:dyDescent="0.2">
      <c r="A755" t="s">
        <v>880</v>
      </c>
      <c r="B755" t="s">
        <v>881</v>
      </c>
      <c r="C755" t="s">
        <v>121</v>
      </c>
      <c r="D755" t="s">
        <v>301</v>
      </c>
      <c r="E755">
        <v>1</v>
      </c>
      <c r="F755">
        <v>0.95</v>
      </c>
      <c r="G755">
        <v>0.95</v>
      </c>
      <c r="T755" t="s">
        <v>207</v>
      </c>
      <c r="U755" t="s">
        <v>1048</v>
      </c>
      <c r="V755" t="s">
        <v>1053</v>
      </c>
      <c r="W755">
        <v>250</v>
      </c>
    </row>
    <row r="756" spans="1:23" x14ac:dyDescent="0.2">
      <c r="A756" t="s">
        <v>880</v>
      </c>
      <c r="B756" t="s">
        <v>881</v>
      </c>
      <c r="C756" t="s">
        <v>122</v>
      </c>
      <c r="D756" t="s">
        <v>302</v>
      </c>
      <c r="E756">
        <v>1</v>
      </c>
      <c r="F756">
        <v>4.2</v>
      </c>
      <c r="G756">
        <v>4.2</v>
      </c>
      <c r="T756" t="s">
        <v>207</v>
      </c>
      <c r="U756" t="s">
        <v>1049</v>
      </c>
      <c r="V756" t="s">
        <v>1054</v>
      </c>
      <c r="W756">
        <v>750</v>
      </c>
    </row>
    <row r="757" spans="1:23" x14ac:dyDescent="0.2">
      <c r="A757" t="s">
        <v>880</v>
      </c>
      <c r="B757" t="s">
        <v>881</v>
      </c>
      <c r="C757" t="s">
        <v>3</v>
      </c>
      <c r="D757" t="s">
        <v>370</v>
      </c>
      <c r="E757">
        <v>0.18</v>
      </c>
      <c r="F757">
        <v>5</v>
      </c>
      <c r="G757">
        <v>0.9</v>
      </c>
      <c r="T757" t="s">
        <v>207</v>
      </c>
      <c r="U757" t="s">
        <v>1050</v>
      </c>
      <c r="V757" t="s">
        <v>1055</v>
      </c>
      <c r="W757">
        <v>0</v>
      </c>
    </row>
    <row r="758" spans="1:23" x14ac:dyDescent="0.2">
      <c r="A758" t="s">
        <v>880</v>
      </c>
      <c r="B758" t="s">
        <v>881</v>
      </c>
      <c r="C758" t="s">
        <v>6</v>
      </c>
      <c r="D758" t="s">
        <v>306</v>
      </c>
      <c r="E758">
        <v>1.3</v>
      </c>
      <c r="F758">
        <v>16.8</v>
      </c>
      <c r="G758">
        <v>21.84</v>
      </c>
      <c r="T758" t="s">
        <v>256</v>
      </c>
      <c r="U758" t="s">
        <v>1042</v>
      </c>
      <c r="V758" t="s">
        <v>401</v>
      </c>
      <c r="W758">
        <v>50</v>
      </c>
    </row>
    <row r="759" spans="1:23" x14ac:dyDescent="0.2">
      <c r="A759" t="s">
        <v>880</v>
      </c>
      <c r="B759" t="s">
        <v>881</v>
      </c>
      <c r="C759" t="s">
        <v>734</v>
      </c>
      <c r="D759" t="s">
        <v>735</v>
      </c>
      <c r="E759">
        <v>0.13</v>
      </c>
      <c r="F759">
        <v>10.5</v>
      </c>
      <c r="G759">
        <v>1.365</v>
      </c>
      <c r="T759" t="s">
        <v>256</v>
      </c>
      <c r="U759" t="s">
        <v>1043</v>
      </c>
      <c r="V759" t="s">
        <v>272</v>
      </c>
      <c r="W759">
        <v>580</v>
      </c>
    </row>
    <row r="760" spans="1:23" x14ac:dyDescent="0.2">
      <c r="A760" t="s">
        <v>880</v>
      </c>
      <c r="B760" t="s">
        <v>881</v>
      </c>
      <c r="C760" t="s">
        <v>12</v>
      </c>
      <c r="D760" t="s">
        <v>308</v>
      </c>
      <c r="E760">
        <v>0.25</v>
      </c>
      <c r="F760">
        <v>7</v>
      </c>
      <c r="G760">
        <v>1.75</v>
      </c>
      <c r="T760" t="s">
        <v>256</v>
      </c>
      <c r="U760" t="s">
        <v>1044</v>
      </c>
      <c r="V760" t="s">
        <v>405</v>
      </c>
      <c r="W760">
        <v>100</v>
      </c>
    </row>
    <row r="761" spans="1:23" x14ac:dyDescent="0.2">
      <c r="A761" t="s">
        <v>880</v>
      </c>
      <c r="B761" t="s">
        <v>881</v>
      </c>
      <c r="C761" t="s">
        <v>106</v>
      </c>
      <c r="D761" t="s">
        <v>364</v>
      </c>
      <c r="E761">
        <v>0</v>
      </c>
      <c r="F761">
        <v>0.1</v>
      </c>
      <c r="G761">
        <v>0</v>
      </c>
      <c r="T761" t="s">
        <v>256</v>
      </c>
      <c r="U761" t="s">
        <v>1045</v>
      </c>
      <c r="V761" t="s">
        <v>402</v>
      </c>
      <c r="W761">
        <v>60</v>
      </c>
    </row>
    <row r="762" spans="1:23" x14ac:dyDescent="0.2">
      <c r="A762" t="s">
        <v>880</v>
      </c>
      <c r="B762" t="s">
        <v>881</v>
      </c>
      <c r="C762" t="s">
        <v>112</v>
      </c>
      <c r="D762" t="s">
        <v>362</v>
      </c>
      <c r="E762">
        <v>0</v>
      </c>
      <c r="F762">
        <v>0.1</v>
      </c>
      <c r="G762">
        <v>0</v>
      </c>
      <c r="T762" t="s">
        <v>256</v>
      </c>
      <c r="U762" t="s">
        <v>1046</v>
      </c>
      <c r="V762" t="s">
        <v>1051</v>
      </c>
      <c r="W762">
        <v>70</v>
      </c>
    </row>
    <row r="763" spans="1:23" x14ac:dyDescent="0.2">
      <c r="A763" t="s">
        <v>888</v>
      </c>
      <c r="B763" t="s">
        <v>889</v>
      </c>
      <c r="C763" t="s">
        <v>94</v>
      </c>
      <c r="D763" t="s">
        <v>280</v>
      </c>
      <c r="E763">
        <v>1</v>
      </c>
      <c r="F763">
        <v>3.5</v>
      </c>
      <c r="G763">
        <v>3.5</v>
      </c>
      <c r="T763" t="s">
        <v>256</v>
      </c>
      <c r="U763" t="s">
        <v>1047</v>
      </c>
      <c r="V763" t="s">
        <v>1052</v>
      </c>
      <c r="W763">
        <v>70</v>
      </c>
    </row>
    <row r="764" spans="1:23" x14ac:dyDescent="0.2">
      <c r="A764" t="s">
        <v>888</v>
      </c>
      <c r="B764" t="s">
        <v>889</v>
      </c>
      <c r="C764" t="s">
        <v>53</v>
      </c>
      <c r="D764" t="s">
        <v>325</v>
      </c>
      <c r="E764">
        <v>0</v>
      </c>
      <c r="F764">
        <v>120</v>
      </c>
      <c r="G764">
        <v>0</v>
      </c>
      <c r="T764" t="s">
        <v>256</v>
      </c>
      <c r="U764" t="s">
        <v>1048</v>
      </c>
      <c r="V764" t="s">
        <v>1053</v>
      </c>
      <c r="W764">
        <v>250</v>
      </c>
    </row>
    <row r="765" spans="1:23" x14ac:dyDescent="0.2">
      <c r="A765" t="s">
        <v>888</v>
      </c>
      <c r="B765" t="s">
        <v>889</v>
      </c>
      <c r="C765" t="s">
        <v>78</v>
      </c>
      <c r="D765" t="s">
        <v>389</v>
      </c>
      <c r="E765">
        <v>0</v>
      </c>
      <c r="F765">
        <v>145</v>
      </c>
      <c r="G765">
        <v>0</v>
      </c>
      <c r="T765" t="s">
        <v>256</v>
      </c>
      <c r="U765" t="s">
        <v>1049</v>
      </c>
      <c r="V765" t="s">
        <v>1054</v>
      </c>
      <c r="W765">
        <v>750</v>
      </c>
    </row>
    <row r="766" spans="1:23" x14ac:dyDescent="0.2">
      <c r="A766" t="s">
        <v>888</v>
      </c>
      <c r="B766" t="s">
        <v>889</v>
      </c>
      <c r="C766" t="s">
        <v>29</v>
      </c>
      <c r="D766" t="s">
        <v>292</v>
      </c>
      <c r="E766">
        <v>0.8</v>
      </c>
      <c r="F766">
        <v>27</v>
      </c>
      <c r="G766">
        <v>21.6</v>
      </c>
      <c r="T766" t="s">
        <v>256</v>
      </c>
      <c r="U766" t="s">
        <v>1050</v>
      </c>
      <c r="V766" t="s">
        <v>1055</v>
      </c>
      <c r="W766">
        <v>0</v>
      </c>
    </row>
    <row r="767" spans="1:23" x14ac:dyDescent="0.2">
      <c r="A767" t="s">
        <v>888</v>
      </c>
      <c r="B767" t="s">
        <v>889</v>
      </c>
      <c r="C767" t="s">
        <v>30</v>
      </c>
      <c r="D767" t="s">
        <v>332</v>
      </c>
      <c r="E767">
        <v>2</v>
      </c>
      <c r="F767">
        <v>6</v>
      </c>
      <c r="G767">
        <v>12</v>
      </c>
      <c r="T767" t="s">
        <v>262</v>
      </c>
      <c r="U767" t="s">
        <v>1042</v>
      </c>
      <c r="V767" t="s">
        <v>401</v>
      </c>
      <c r="W767">
        <v>50</v>
      </c>
    </row>
    <row r="768" spans="1:23" x14ac:dyDescent="0.2">
      <c r="A768" t="s">
        <v>888</v>
      </c>
      <c r="B768" t="s">
        <v>889</v>
      </c>
      <c r="C768" t="s">
        <v>590</v>
      </c>
      <c r="D768" t="s">
        <v>591</v>
      </c>
      <c r="E768">
        <v>1</v>
      </c>
      <c r="F768">
        <v>2.8</v>
      </c>
      <c r="G768">
        <v>2.8</v>
      </c>
      <c r="T768" t="s">
        <v>262</v>
      </c>
      <c r="U768" t="s">
        <v>1043</v>
      </c>
      <c r="V768" t="s">
        <v>272</v>
      </c>
      <c r="W768">
        <v>580</v>
      </c>
    </row>
    <row r="769" spans="1:23" x14ac:dyDescent="0.2">
      <c r="A769" t="s">
        <v>888</v>
      </c>
      <c r="B769" t="s">
        <v>889</v>
      </c>
      <c r="C769" t="s">
        <v>606</v>
      </c>
      <c r="D769" t="s">
        <v>607</v>
      </c>
      <c r="E769">
        <v>1</v>
      </c>
      <c r="F769">
        <v>13</v>
      </c>
      <c r="G769">
        <v>13</v>
      </c>
      <c r="T769" t="s">
        <v>262</v>
      </c>
      <c r="U769" t="s">
        <v>1044</v>
      </c>
      <c r="V769" t="s">
        <v>405</v>
      </c>
      <c r="W769">
        <v>100</v>
      </c>
    </row>
    <row r="770" spans="1:23" x14ac:dyDescent="0.2">
      <c r="A770" t="s">
        <v>888</v>
      </c>
      <c r="B770" t="s">
        <v>889</v>
      </c>
      <c r="C770" t="s">
        <v>121</v>
      </c>
      <c r="D770" t="s">
        <v>301</v>
      </c>
      <c r="E770">
        <v>1</v>
      </c>
      <c r="F770">
        <v>0.95</v>
      </c>
      <c r="G770">
        <v>0.95</v>
      </c>
      <c r="T770" t="s">
        <v>262</v>
      </c>
      <c r="U770" t="s">
        <v>1045</v>
      </c>
      <c r="V770" t="s">
        <v>402</v>
      </c>
      <c r="W770">
        <v>60</v>
      </c>
    </row>
    <row r="771" spans="1:23" x14ac:dyDescent="0.2">
      <c r="A771" t="s">
        <v>888</v>
      </c>
      <c r="B771" t="s">
        <v>889</v>
      </c>
      <c r="C771" t="s">
        <v>122</v>
      </c>
      <c r="D771" t="s">
        <v>302</v>
      </c>
      <c r="E771">
        <v>1</v>
      </c>
      <c r="F771">
        <v>4.2</v>
      </c>
      <c r="G771">
        <v>4.2</v>
      </c>
      <c r="T771" t="s">
        <v>262</v>
      </c>
      <c r="U771" t="s">
        <v>1046</v>
      </c>
      <c r="V771" t="s">
        <v>1051</v>
      </c>
      <c r="W771">
        <v>70</v>
      </c>
    </row>
    <row r="772" spans="1:23" x14ac:dyDescent="0.2">
      <c r="A772" t="s">
        <v>888</v>
      </c>
      <c r="B772" t="s">
        <v>889</v>
      </c>
      <c r="C772" t="s">
        <v>3</v>
      </c>
      <c r="D772" t="s">
        <v>370</v>
      </c>
      <c r="E772">
        <v>0.18</v>
      </c>
      <c r="F772">
        <v>5</v>
      </c>
      <c r="G772">
        <v>0.9</v>
      </c>
      <c r="T772" t="s">
        <v>262</v>
      </c>
      <c r="U772" t="s">
        <v>1047</v>
      </c>
      <c r="V772" t="s">
        <v>1052</v>
      </c>
      <c r="W772">
        <v>70</v>
      </c>
    </row>
    <row r="773" spans="1:23" x14ac:dyDescent="0.2">
      <c r="A773" t="s">
        <v>888</v>
      </c>
      <c r="B773" t="s">
        <v>889</v>
      </c>
      <c r="C773" t="s">
        <v>6</v>
      </c>
      <c r="D773" t="s">
        <v>306</v>
      </c>
      <c r="E773">
        <v>1.3</v>
      </c>
      <c r="F773">
        <v>16.8</v>
      </c>
      <c r="G773">
        <v>21.84</v>
      </c>
      <c r="T773" t="s">
        <v>262</v>
      </c>
      <c r="U773" t="s">
        <v>1048</v>
      </c>
      <c r="V773" t="s">
        <v>1053</v>
      </c>
      <c r="W773">
        <v>250</v>
      </c>
    </row>
    <row r="774" spans="1:23" x14ac:dyDescent="0.2">
      <c r="A774" t="s">
        <v>888</v>
      </c>
      <c r="B774" t="s">
        <v>889</v>
      </c>
      <c r="C774" t="s">
        <v>734</v>
      </c>
      <c r="D774" t="s">
        <v>735</v>
      </c>
      <c r="E774">
        <v>0.13</v>
      </c>
      <c r="F774">
        <v>10.5</v>
      </c>
      <c r="G774">
        <v>1.365</v>
      </c>
      <c r="T774" t="s">
        <v>262</v>
      </c>
      <c r="U774" t="s">
        <v>1049</v>
      </c>
      <c r="V774" t="s">
        <v>1054</v>
      </c>
      <c r="W774">
        <v>750</v>
      </c>
    </row>
    <row r="775" spans="1:23" x14ac:dyDescent="0.2">
      <c r="A775" t="s">
        <v>888</v>
      </c>
      <c r="B775" t="s">
        <v>889</v>
      </c>
      <c r="C775" t="s">
        <v>12</v>
      </c>
      <c r="D775" t="s">
        <v>308</v>
      </c>
      <c r="E775">
        <v>0.25</v>
      </c>
      <c r="F775">
        <v>7</v>
      </c>
      <c r="G775">
        <v>1.75</v>
      </c>
      <c r="T775" t="s">
        <v>262</v>
      </c>
      <c r="U775" t="s">
        <v>1050</v>
      </c>
      <c r="V775" t="s">
        <v>1055</v>
      </c>
      <c r="W775">
        <v>0</v>
      </c>
    </row>
    <row r="776" spans="1:23" x14ac:dyDescent="0.2">
      <c r="A776" t="s">
        <v>888</v>
      </c>
      <c r="B776" t="s">
        <v>889</v>
      </c>
      <c r="C776" t="s">
        <v>107</v>
      </c>
      <c r="D776" t="s">
        <v>316</v>
      </c>
      <c r="E776">
        <v>0</v>
      </c>
      <c r="F776">
        <v>0.1</v>
      </c>
      <c r="G776">
        <v>0</v>
      </c>
      <c r="T776" t="s">
        <v>260</v>
      </c>
      <c r="U776" t="s">
        <v>1042</v>
      </c>
      <c r="V776" t="s">
        <v>401</v>
      </c>
      <c r="W776">
        <v>50</v>
      </c>
    </row>
    <row r="777" spans="1:23" x14ac:dyDescent="0.2">
      <c r="A777" t="s">
        <v>888</v>
      </c>
      <c r="B777" t="s">
        <v>889</v>
      </c>
      <c r="C777" t="s">
        <v>118</v>
      </c>
      <c r="D777" t="s">
        <v>356</v>
      </c>
      <c r="E777">
        <v>0</v>
      </c>
      <c r="F777">
        <v>0.1</v>
      </c>
      <c r="G777">
        <v>0</v>
      </c>
      <c r="T777" t="s">
        <v>260</v>
      </c>
      <c r="U777" t="s">
        <v>1043</v>
      </c>
      <c r="V777" t="s">
        <v>272</v>
      </c>
      <c r="W777">
        <v>580</v>
      </c>
    </row>
    <row r="778" spans="1:23" x14ac:dyDescent="0.2">
      <c r="A778" t="s">
        <v>944</v>
      </c>
      <c r="B778" t="s">
        <v>945</v>
      </c>
      <c r="C778" t="s">
        <v>94</v>
      </c>
      <c r="D778" t="s">
        <v>280</v>
      </c>
      <c r="E778">
        <v>1</v>
      </c>
      <c r="F778">
        <v>3.5</v>
      </c>
      <c r="G778">
        <v>3.5</v>
      </c>
      <c r="T778" t="s">
        <v>260</v>
      </c>
      <c r="U778" t="s">
        <v>1044</v>
      </c>
      <c r="V778" t="s">
        <v>405</v>
      </c>
      <c r="W778">
        <v>100</v>
      </c>
    </row>
    <row r="779" spans="1:23" x14ac:dyDescent="0.2">
      <c r="A779" t="s">
        <v>944</v>
      </c>
      <c r="B779" t="s">
        <v>945</v>
      </c>
      <c r="C779" t="s">
        <v>52</v>
      </c>
      <c r="D779" t="s">
        <v>321</v>
      </c>
      <c r="E779">
        <v>0</v>
      </c>
      <c r="F779">
        <v>120</v>
      </c>
      <c r="G779">
        <v>0</v>
      </c>
      <c r="T779" t="s">
        <v>260</v>
      </c>
      <c r="U779" t="s">
        <v>1045</v>
      </c>
      <c r="V779" t="s">
        <v>402</v>
      </c>
      <c r="W779">
        <v>60</v>
      </c>
    </row>
    <row r="780" spans="1:23" x14ac:dyDescent="0.2">
      <c r="A780" t="s">
        <v>944</v>
      </c>
      <c r="B780" t="s">
        <v>945</v>
      </c>
      <c r="C780" t="s">
        <v>79</v>
      </c>
      <c r="D780" t="s">
        <v>289</v>
      </c>
      <c r="E780">
        <v>0</v>
      </c>
      <c r="F780">
        <v>380</v>
      </c>
      <c r="G780">
        <v>0</v>
      </c>
      <c r="T780" t="s">
        <v>260</v>
      </c>
      <c r="U780" t="s">
        <v>1046</v>
      </c>
      <c r="V780" t="s">
        <v>1051</v>
      </c>
      <c r="W780">
        <v>70</v>
      </c>
    </row>
    <row r="781" spans="1:23" x14ac:dyDescent="0.2">
      <c r="A781" t="s">
        <v>944</v>
      </c>
      <c r="B781" t="s">
        <v>945</v>
      </c>
      <c r="C781" t="s">
        <v>29</v>
      </c>
      <c r="D781" t="s">
        <v>292</v>
      </c>
      <c r="E781">
        <v>0.8</v>
      </c>
      <c r="F781">
        <v>27</v>
      </c>
      <c r="G781">
        <v>21.6</v>
      </c>
      <c r="T781" t="s">
        <v>260</v>
      </c>
      <c r="U781" t="s">
        <v>1047</v>
      </c>
      <c r="V781" t="s">
        <v>1052</v>
      </c>
      <c r="W781">
        <v>70</v>
      </c>
    </row>
    <row r="782" spans="1:23" x14ac:dyDescent="0.2">
      <c r="A782" t="s">
        <v>944</v>
      </c>
      <c r="B782" t="s">
        <v>945</v>
      </c>
      <c r="C782" t="s">
        <v>30</v>
      </c>
      <c r="D782" t="s">
        <v>332</v>
      </c>
      <c r="E782">
        <v>2</v>
      </c>
      <c r="F782">
        <v>6</v>
      </c>
      <c r="G782">
        <v>12</v>
      </c>
      <c r="T782" t="s">
        <v>260</v>
      </c>
      <c r="U782" t="s">
        <v>1048</v>
      </c>
      <c r="V782" t="s">
        <v>1053</v>
      </c>
      <c r="W782">
        <v>250</v>
      </c>
    </row>
    <row r="783" spans="1:23" x14ac:dyDescent="0.2">
      <c r="A783" t="s">
        <v>944</v>
      </c>
      <c r="B783" t="s">
        <v>945</v>
      </c>
      <c r="C783" t="s">
        <v>590</v>
      </c>
      <c r="D783" t="s">
        <v>591</v>
      </c>
      <c r="E783">
        <v>1</v>
      </c>
      <c r="F783">
        <v>2.8</v>
      </c>
      <c r="G783">
        <v>2.8</v>
      </c>
      <c r="T783" t="s">
        <v>260</v>
      </c>
      <c r="U783" t="s">
        <v>1049</v>
      </c>
      <c r="V783" t="s">
        <v>1054</v>
      </c>
      <c r="W783">
        <v>750</v>
      </c>
    </row>
    <row r="784" spans="1:23" x14ac:dyDescent="0.2">
      <c r="A784" t="s">
        <v>944</v>
      </c>
      <c r="B784" t="s">
        <v>945</v>
      </c>
      <c r="C784" t="s">
        <v>606</v>
      </c>
      <c r="D784" t="s">
        <v>607</v>
      </c>
      <c r="E784">
        <v>1</v>
      </c>
      <c r="F784">
        <v>13</v>
      </c>
      <c r="G784">
        <v>13</v>
      </c>
      <c r="T784" t="s">
        <v>260</v>
      </c>
      <c r="U784" t="s">
        <v>1050</v>
      </c>
      <c r="V784" t="s">
        <v>1055</v>
      </c>
      <c r="W784">
        <v>0</v>
      </c>
    </row>
    <row r="785" spans="1:23" x14ac:dyDescent="0.2">
      <c r="A785" t="s">
        <v>944</v>
      </c>
      <c r="B785" t="s">
        <v>945</v>
      </c>
      <c r="C785" t="s">
        <v>121</v>
      </c>
      <c r="D785" t="s">
        <v>301</v>
      </c>
      <c r="E785">
        <v>0</v>
      </c>
      <c r="F785">
        <v>0.95</v>
      </c>
      <c r="G785">
        <v>0</v>
      </c>
      <c r="T785" t="s">
        <v>257</v>
      </c>
      <c r="U785" t="s">
        <v>1042</v>
      </c>
      <c r="V785" t="s">
        <v>401</v>
      </c>
      <c r="W785">
        <v>50</v>
      </c>
    </row>
    <row r="786" spans="1:23" x14ac:dyDescent="0.2">
      <c r="A786" t="s">
        <v>944</v>
      </c>
      <c r="B786" t="s">
        <v>945</v>
      </c>
      <c r="C786" t="s">
        <v>122</v>
      </c>
      <c r="D786" t="s">
        <v>302</v>
      </c>
      <c r="E786">
        <v>1</v>
      </c>
      <c r="F786">
        <v>4.2</v>
      </c>
      <c r="G786">
        <v>4.2</v>
      </c>
      <c r="T786" t="s">
        <v>257</v>
      </c>
      <c r="U786" t="s">
        <v>1043</v>
      </c>
      <c r="V786" t="s">
        <v>272</v>
      </c>
      <c r="W786">
        <v>580</v>
      </c>
    </row>
    <row r="787" spans="1:23" x14ac:dyDescent="0.2">
      <c r="A787" t="s">
        <v>944</v>
      </c>
      <c r="B787" t="s">
        <v>945</v>
      </c>
      <c r="C787" t="s">
        <v>3</v>
      </c>
      <c r="D787" t="s">
        <v>370</v>
      </c>
      <c r="E787">
        <v>0.16</v>
      </c>
      <c r="F787">
        <v>5</v>
      </c>
      <c r="G787">
        <v>0.8</v>
      </c>
      <c r="T787" t="s">
        <v>257</v>
      </c>
      <c r="U787" t="s">
        <v>1044</v>
      </c>
      <c r="V787" t="s">
        <v>405</v>
      </c>
      <c r="W787">
        <v>100</v>
      </c>
    </row>
    <row r="788" spans="1:23" x14ac:dyDescent="0.2">
      <c r="A788" t="s">
        <v>944</v>
      </c>
      <c r="B788" t="s">
        <v>945</v>
      </c>
      <c r="C788" t="s">
        <v>6</v>
      </c>
      <c r="D788" t="s">
        <v>306</v>
      </c>
      <c r="E788">
        <v>1.2</v>
      </c>
      <c r="F788">
        <v>16.8</v>
      </c>
      <c r="G788">
        <v>20.16</v>
      </c>
      <c r="T788" t="s">
        <v>257</v>
      </c>
      <c r="U788" t="s">
        <v>1045</v>
      </c>
      <c r="V788" t="s">
        <v>402</v>
      </c>
      <c r="W788">
        <v>60</v>
      </c>
    </row>
    <row r="789" spans="1:23" x14ac:dyDescent="0.2">
      <c r="A789" t="s">
        <v>944</v>
      </c>
      <c r="B789" t="s">
        <v>945</v>
      </c>
      <c r="C789" t="s">
        <v>7</v>
      </c>
      <c r="D789" t="s">
        <v>307</v>
      </c>
      <c r="E789">
        <v>0.45</v>
      </c>
      <c r="F789">
        <v>6.7</v>
      </c>
      <c r="G789">
        <v>3.0150000000000001</v>
      </c>
      <c r="T789" t="s">
        <v>257</v>
      </c>
      <c r="U789" t="s">
        <v>1046</v>
      </c>
      <c r="V789" t="s">
        <v>1051</v>
      </c>
      <c r="W789">
        <v>70</v>
      </c>
    </row>
    <row r="790" spans="1:23" x14ac:dyDescent="0.2">
      <c r="A790" t="s">
        <v>944</v>
      </c>
      <c r="B790" t="s">
        <v>945</v>
      </c>
      <c r="C790" t="s">
        <v>732</v>
      </c>
      <c r="D790" t="s">
        <v>733</v>
      </c>
      <c r="E790">
        <v>0.13</v>
      </c>
      <c r="F790">
        <v>13.9</v>
      </c>
      <c r="G790">
        <v>1.8069999999999999</v>
      </c>
      <c r="T790" t="s">
        <v>257</v>
      </c>
      <c r="U790" t="s">
        <v>1047</v>
      </c>
      <c r="V790" t="s">
        <v>1052</v>
      </c>
      <c r="W790">
        <v>70</v>
      </c>
    </row>
    <row r="791" spans="1:23" x14ac:dyDescent="0.2">
      <c r="A791" t="s">
        <v>944</v>
      </c>
      <c r="B791" t="s">
        <v>945</v>
      </c>
      <c r="C791" t="s">
        <v>12</v>
      </c>
      <c r="D791" t="s">
        <v>308</v>
      </c>
      <c r="E791">
        <v>0.25</v>
      </c>
      <c r="F791">
        <v>7</v>
      </c>
      <c r="G791">
        <v>1.75</v>
      </c>
      <c r="T791" t="s">
        <v>257</v>
      </c>
      <c r="U791" t="s">
        <v>1048</v>
      </c>
      <c r="V791" t="s">
        <v>1053</v>
      </c>
      <c r="W791">
        <v>250</v>
      </c>
    </row>
    <row r="792" spans="1:23" x14ac:dyDescent="0.2">
      <c r="A792" t="s">
        <v>944</v>
      </c>
      <c r="B792" t="s">
        <v>945</v>
      </c>
      <c r="C792" t="s">
        <v>105</v>
      </c>
      <c r="D792" t="s">
        <v>313</v>
      </c>
      <c r="E792">
        <v>0</v>
      </c>
      <c r="F792">
        <v>0.1</v>
      </c>
      <c r="G792">
        <v>0</v>
      </c>
      <c r="T792" t="s">
        <v>257</v>
      </c>
      <c r="U792" t="s">
        <v>1049</v>
      </c>
      <c r="V792" t="s">
        <v>1054</v>
      </c>
      <c r="W792">
        <v>750</v>
      </c>
    </row>
    <row r="793" spans="1:23" x14ac:dyDescent="0.2">
      <c r="A793" t="s">
        <v>944</v>
      </c>
      <c r="B793" t="s">
        <v>945</v>
      </c>
      <c r="C793" t="s">
        <v>112</v>
      </c>
      <c r="D793" t="s">
        <v>362</v>
      </c>
      <c r="E793">
        <v>0</v>
      </c>
      <c r="F793">
        <v>0.1</v>
      </c>
      <c r="G793">
        <v>0</v>
      </c>
      <c r="T793" t="s">
        <v>257</v>
      </c>
      <c r="U793" t="s">
        <v>1050</v>
      </c>
      <c r="V793" t="s">
        <v>1055</v>
      </c>
      <c r="W793">
        <v>0</v>
      </c>
    </row>
    <row r="794" spans="1:23" x14ac:dyDescent="0.2">
      <c r="A794" t="s">
        <v>948</v>
      </c>
      <c r="B794" t="s">
        <v>949</v>
      </c>
      <c r="C794" t="s">
        <v>94</v>
      </c>
      <c r="D794" t="s">
        <v>280</v>
      </c>
      <c r="E794">
        <v>1</v>
      </c>
      <c r="F794">
        <v>3.5</v>
      </c>
      <c r="G794">
        <v>3.5</v>
      </c>
      <c r="T794" t="s">
        <v>258</v>
      </c>
      <c r="U794" t="s">
        <v>1042</v>
      </c>
      <c r="V794" t="s">
        <v>401</v>
      </c>
      <c r="W794">
        <v>50</v>
      </c>
    </row>
    <row r="795" spans="1:23" x14ac:dyDescent="0.2">
      <c r="A795" t="s">
        <v>948</v>
      </c>
      <c r="B795" t="s">
        <v>949</v>
      </c>
      <c r="C795" t="s">
        <v>56</v>
      </c>
      <c r="D795" t="s">
        <v>287</v>
      </c>
      <c r="E795">
        <v>0</v>
      </c>
      <c r="F795">
        <v>90</v>
      </c>
      <c r="G795">
        <v>0</v>
      </c>
      <c r="T795" t="s">
        <v>258</v>
      </c>
      <c r="U795" t="s">
        <v>1043</v>
      </c>
      <c r="V795" t="s">
        <v>272</v>
      </c>
      <c r="W795">
        <v>580</v>
      </c>
    </row>
    <row r="796" spans="1:23" x14ac:dyDescent="0.2">
      <c r="A796" t="s">
        <v>948</v>
      </c>
      <c r="B796" t="s">
        <v>949</v>
      </c>
      <c r="C796" t="s">
        <v>80</v>
      </c>
      <c r="D796" t="s">
        <v>317</v>
      </c>
      <c r="E796">
        <v>0</v>
      </c>
      <c r="F796">
        <v>380</v>
      </c>
      <c r="G796">
        <v>0</v>
      </c>
      <c r="T796" t="s">
        <v>258</v>
      </c>
      <c r="U796" t="s">
        <v>1044</v>
      </c>
      <c r="V796" t="s">
        <v>405</v>
      </c>
      <c r="W796">
        <v>100</v>
      </c>
    </row>
    <row r="797" spans="1:23" x14ac:dyDescent="0.2">
      <c r="A797" t="s">
        <v>948</v>
      </c>
      <c r="B797" t="s">
        <v>949</v>
      </c>
      <c r="C797" t="s">
        <v>29</v>
      </c>
      <c r="D797" t="s">
        <v>292</v>
      </c>
      <c r="E797">
        <v>0.8</v>
      </c>
      <c r="F797">
        <v>27</v>
      </c>
      <c r="G797">
        <v>21.6</v>
      </c>
      <c r="T797" t="s">
        <v>258</v>
      </c>
      <c r="U797" t="s">
        <v>1045</v>
      </c>
      <c r="V797" t="s">
        <v>402</v>
      </c>
      <c r="W797">
        <v>60</v>
      </c>
    </row>
    <row r="798" spans="1:23" x14ac:dyDescent="0.2">
      <c r="A798" t="s">
        <v>948</v>
      </c>
      <c r="B798" t="s">
        <v>949</v>
      </c>
      <c r="C798" t="s">
        <v>30</v>
      </c>
      <c r="D798" t="s">
        <v>332</v>
      </c>
      <c r="E798">
        <v>2</v>
      </c>
      <c r="F798">
        <v>6</v>
      </c>
      <c r="G798">
        <v>12</v>
      </c>
      <c r="T798" t="s">
        <v>258</v>
      </c>
      <c r="U798" t="s">
        <v>1046</v>
      </c>
      <c r="V798" t="s">
        <v>1051</v>
      </c>
      <c r="W798">
        <v>70</v>
      </c>
    </row>
    <row r="799" spans="1:23" x14ac:dyDescent="0.2">
      <c r="A799" t="s">
        <v>948</v>
      </c>
      <c r="B799" t="s">
        <v>949</v>
      </c>
      <c r="C799" t="s">
        <v>590</v>
      </c>
      <c r="D799" t="s">
        <v>591</v>
      </c>
      <c r="E799">
        <v>1</v>
      </c>
      <c r="F799">
        <v>2.8</v>
      </c>
      <c r="G799">
        <v>2.8</v>
      </c>
      <c r="T799" t="s">
        <v>258</v>
      </c>
      <c r="U799" t="s">
        <v>1047</v>
      </c>
      <c r="V799" t="s">
        <v>1052</v>
      </c>
      <c r="W799">
        <v>70</v>
      </c>
    </row>
    <row r="800" spans="1:23" x14ac:dyDescent="0.2">
      <c r="A800" t="s">
        <v>948</v>
      </c>
      <c r="B800" t="s">
        <v>949</v>
      </c>
      <c r="C800" t="s">
        <v>606</v>
      </c>
      <c r="D800" t="s">
        <v>607</v>
      </c>
      <c r="E800">
        <v>1</v>
      </c>
      <c r="F800">
        <v>13</v>
      </c>
      <c r="G800">
        <v>13</v>
      </c>
      <c r="T800" t="s">
        <v>258</v>
      </c>
      <c r="U800" t="s">
        <v>1048</v>
      </c>
      <c r="V800" t="s">
        <v>1053</v>
      </c>
      <c r="W800">
        <v>250</v>
      </c>
    </row>
    <row r="801" spans="1:23" x14ac:dyDescent="0.2">
      <c r="A801" t="s">
        <v>948</v>
      </c>
      <c r="B801" t="s">
        <v>949</v>
      </c>
      <c r="C801" t="s">
        <v>121</v>
      </c>
      <c r="D801" t="s">
        <v>301</v>
      </c>
      <c r="E801">
        <v>0</v>
      </c>
      <c r="F801">
        <v>0.95</v>
      </c>
      <c r="G801">
        <v>0</v>
      </c>
      <c r="T801" t="s">
        <v>258</v>
      </c>
      <c r="U801" t="s">
        <v>1049</v>
      </c>
      <c r="V801" t="s">
        <v>1054</v>
      </c>
      <c r="W801">
        <v>750</v>
      </c>
    </row>
    <row r="802" spans="1:23" x14ac:dyDescent="0.2">
      <c r="A802" t="s">
        <v>948</v>
      </c>
      <c r="B802" t="s">
        <v>949</v>
      </c>
      <c r="C802" t="s">
        <v>122</v>
      </c>
      <c r="D802" t="s">
        <v>302</v>
      </c>
      <c r="E802">
        <v>1</v>
      </c>
      <c r="F802">
        <v>4.2</v>
      </c>
      <c r="G802">
        <v>4.2</v>
      </c>
      <c r="T802" t="s">
        <v>258</v>
      </c>
      <c r="U802" t="s">
        <v>1050</v>
      </c>
      <c r="V802" t="s">
        <v>1055</v>
      </c>
      <c r="W802">
        <v>0</v>
      </c>
    </row>
    <row r="803" spans="1:23" x14ac:dyDescent="0.2">
      <c r="A803" t="s">
        <v>948</v>
      </c>
      <c r="B803" t="s">
        <v>949</v>
      </c>
      <c r="C803" t="s">
        <v>3</v>
      </c>
      <c r="D803" t="s">
        <v>370</v>
      </c>
      <c r="E803">
        <v>0.16</v>
      </c>
      <c r="F803">
        <v>5</v>
      </c>
      <c r="G803">
        <v>0.8</v>
      </c>
      <c r="T803" t="s">
        <v>255</v>
      </c>
      <c r="U803" t="s">
        <v>1042</v>
      </c>
      <c r="V803" t="s">
        <v>401</v>
      </c>
      <c r="W803">
        <v>50</v>
      </c>
    </row>
    <row r="804" spans="1:23" x14ac:dyDescent="0.2">
      <c r="A804" t="s">
        <v>948</v>
      </c>
      <c r="B804" t="s">
        <v>949</v>
      </c>
      <c r="C804" t="s">
        <v>6</v>
      </c>
      <c r="D804" t="s">
        <v>306</v>
      </c>
      <c r="E804">
        <v>1.2</v>
      </c>
      <c r="F804">
        <v>16.8</v>
      </c>
      <c r="G804">
        <v>20.16</v>
      </c>
      <c r="T804" t="s">
        <v>255</v>
      </c>
      <c r="U804" t="s">
        <v>1043</v>
      </c>
      <c r="V804" t="s">
        <v>272</v>
      </c>
      <c r="W804">
        <v>580</v>
      </c>
    </row>
    <row r="805" spans="1:23" x14ac:dyDescent="0.2">
      <c r="A805" t="s">
        <v>948</v>
      </c>
      <c r="B805" t="s">
        <v>949</v>
      </c>
      <c r="C805" t="s">
        <v>7</v>
      </c>
      <c r="D805" t="s">
        <v>307</v>
      </c>
      <c r="E805">
        <v>0.45</v>
      </c>
      <c r="F805">
        <v>6.7</v>
      </c>
      <c r="G805">
        <v>3.0150000000000001</v>
      </c>
      <c r="T805" t="s">
        <v>255</v>
      </c>
      <c r="U805" t="s">
        <v>1044</v>
      </c>
      <c r="V805" t="s">
        <v>405</v>
      </c>
      <c r="W805">
        <v>100</v>
      </c>
    </row>
    <row r="806" spans="1:23" x14ac:dyDescent="0.2">
      <c r="A806" t="s">
        <v>948</v>
      </c>
      <c r="B806" t="s">
        <v>949</v>
      </c>
      <c r="C806" t="s">
        <v>732</v>
      </c>
      <c r="D806" t="s">
        <v>733</v>
      </c>
      <c r="E806">
        <v>0.13</v>
      </c>
      <c r="F806">
        <v>13.9</v>
      </c>
      <c r="G806">
        <v>1.8069999999999999</v>
      </c>
      <c r="T806" t="s">
        <v>255</v>
      </c>
      <c r="U806" t="s">
        <v>1045</v>
      </c>
      <c r="V806" t="s">
        <v>402</v>
      </c>
      <c r="W806">
        <v>60</v>
      </c>
    </row>
    <row r="807" spans="1:23" x14ac:dyDescent="0.2">
      <c r="A807" t="s">
        <v>948</v>
      </c>
      <c r="B807" t="s">
        <v>949</v>
      </c>
      <c r="C807" t="s">
        <v>12</v>
      </c>
      <c r="D807" t="s">
        <v>308</v>
      </c>
      <c r="E807">
        <v>0.25</v>
      </c>
      <c r="F807">
        <v>7</v>
      </c>
      <c r="G807">
        <v>1.75</v>
      </c>
      <c r="T807" t="s">
        <v>255</v>
      </c>
      <c r="U807" t="s">
        <v>1046</v>
      </c>
      <c r="V807" t="s">
        <v>1051</v>
      </c>
      <c r="W807">
        <v>70</v>
      </c>
    </row>
    <row r="808" spans="1:23" x14ac:dyDescent="0.2">
      <c r="A808" t="s">
        <v>948</v>
      </c>
      <c r="B808" t="s">
        <v>949</v>
      </c>
      <c r="C808" t="s">
        <v>105</v>
      </c>
      <c r="D808" t="s">
        <v>313</v>
      </c>
      <c r="E808">
        <v>0</v>
      </c>
      <c r="F808">
        <v>0.1</v>
      </c>
      <c r="G808">
        <v>0</v>
      </c>
      <c r="T808" t="s">
        <v>255</v>
      </c>
      <c r="U808" t="s">
        <v>1047</v>
      </c>
      <c r="V808" t="s">
        <v>1052</v>
      </c>
      <c r="W808">
        <v>70</v>
      </c>
    </row>
    <row r="809" spans="1:23" x14ac:dyDescent="0.2">
      <c r="A809" t="s">
        <v>948</v>
      </c>
      <c r="B809" t="s">
        <v>949</v>
      </c>
      <c r="C809" t="s">
        <v>112</v>
      </c>
      <c r="D809" t="s">
        <v>362</v>
      </c>
      <c r="E809">
        <v>0</v>
      </c>
      <c r="F809">
        <v>0.1</v>
      </c>
      <c r="G809">
        <v>0</v>
      </c>
      <c r="T809" t="s">
        <v>255</v>
      </c>
      <c r="U809" t="s">
        <v>1048</v>
      </c>
      <c r="V809" t="s">
        <v>1053</v>
      </c>
      <c r="W809">
        <v>250</v>
      </c>
    </row>
    <row r="810" spans="1:23" x14ac:dyDescent="0.2">
      <c r="A810" t="s">
        <v>946</v>
      </c>
      <c r="B810" t="s">
        <v>947</v>
      </c>
      <c r="C810" t="s">
        <v>94</v>
      </c>
      <c r="D810" t="s">
        <v>280</v>
      </c>
      <c r="E810">
        <v>1</v>
      </c>
      <c r="F810">
        <v>3.5</v>
      </c>
      <c r="G810">
        <v>3.5</v>
      </c>
      <c r="T810" t="s">
        <v>255</v>
      </c>
      <c r="U810" t="s">
        <v>1049</v>
      </c>
      <c r="V810" t="s">
        <v>1054</v>
      </c>
      <c r="W810">
        <v>750</v>
      </c>
    </row>
    <row r="811" spans="1:23" x14ac:dyDescent="0.2">
      <c r="A811" t="s">
        <v>946</v>
      </c>
      <c r="B811" t="s">
        <v>947</v>
      </c>
      <c r="C811" t="s">
        <v>52</v>
      </c>
      <c r="D811" t="s">
        <v>321</v>
      </c>
      <c r="E811">
        <v>0</v>
      </c>
      <c r="F811">
        <v>120</v>
      </c>
      <c r="G811">
        <v>0</v>
      </c>
      <c r="T811" t="s">
        <v>255</v>
      </c>
      <c r="U811" t="s">
        <v>1050</v>
      </c>
      <c r="V811" t="s">
        <v>1055</v>
      </c>
      <c r="W811">
        <v>0</v>
      </c>
    </row>
    <row r="812" spans="1:23" x14ac:dyDescent="0.2">
      <c r="A812" t="s">
        <v>946</v>
      </c>
      <c r="B812" t="s">
        <v>947</v>
      </c>
      <c r="C812" t="s">
        <v>81</v>
      </c>
      <c r="D812" t="s">
        <v>322</v>
      </c>
      <c r="E812">
        <v>0</v>
      </c>
      <c r="F812">
        <v>380</v>
      </c>
      <c r="G812">
        <v>0</v>
      </c>
      <c r="T812" t="s">
        <v>259</v>
      </c>
      <c r="U812" t="s">
        <v>1042</v>
      </c>
      <c r="V812" t="s">
        <v>401</v>
      </c>
      <c r="W812">
        <v>50</v>
      </c>
    </row>
    <row r="813" spans="1:23" x14ac:dyDescent="0.2">
      <c r="A813" t="s">
        <v>946</v>
      </c>
      <c r="B813" t="s">
        <v>947</v>
      </c>
      <c r="C813" t="s">
        <v>29</v>
      </c>
      <c r="D813" t="s">
        <v>292</v>
      </c>
      <c r="E813">
        <v>0.8</v>
      </c>
      <c r="F813">
        <v>27</v>
      </c>
      <c r="G813">
        <v>21.6</v>
      </c>
      <c r="T813" t="s">
        <v>259</v>
      </c>
      <c r="U813" t="s">
        <v>1043</v>
      </c>
      <c r="V813" t="s">
        <v>272</v>
      </c>
      <c r="W813">
        <v>580</v>
      </c>
    </row>
    <row r="814" spans="1:23" x14ac:dyDescent="0.2">
      <c r="A814" t="s">
        <v>946</v>
      </c>
      <c r="B814" t="s">
        <v>947</v>
      </c>
      <c r="C814" t="s">
        <v>30</v>
      </c>
      <c r="D814" t="s">
        <v>332</v>
      </c>
      <c r="E814">
        <v>2</v>
      </c>
      <c r="F814">
        <v>6</v>
      </c>
      <c r="G814">
        <v>12</v>
      </c>
      <c r="T814" t="s">
        <v>259</v>
      </c>
      <c r="U814" t="s">
        <v>1044</v>
      </c>
      <c r="V814" t="s">
        <v>405</v>
      </c>
      <c r="W814">
        <v>100</v>
      </c>
    </row>
    <row r="815" spans="1:23" x14ac:dyDescent="0.2">
      <c r="A815" t="s">
        <v>946</v>
      </c>
      <c r="B815" t="s">
        <v>947</v>
      </c>
      <c r="C815" t="s">
        <v>590</v>
      </c>
      <c r="D815" t="s">
        <v>591</v>
      </c>
      <c r="E815">
        <v>1</v>
      </c>
      <c r="F815">
        <v>2.8</v>
      </c>
      <c r="G815">
        <v>2.8</v>
      </c>
      <c r="T815" t="s">
        <v>259</v>
      </c>
      <c r="U815" t="s">
        <v>1045</v>
      </c>
      <c r="V815" t="s">
        <v>402</v>
      </c>
      <c r="W815">
        <v>60</v>
      </c>
    </row>
    <row r="816" spans="1:23" x14ac:dyDescent="0.2">
      <c r="A816" t="s">
        <v>946</v>
      </c>
      <c r="B816" t="s">
        <v>947</v>
      </c>
      <c r="C816" t="s">
        <v>606</v>
      </c>
      <c r="D816" t="s">
        <v>607</v>
      </c>
      <c r="E816">
        <v>1</v>
      </c>
      <c r="F816">
        <v>13</v>
      </c>
      <c r="G816">
        <v>13</v>
      </c>
      <c r="T816" t="s">
        <v>259</v>
      </c>
      <c r="U816" t="s">
        <v>1046</v>
      </c>
      <c r="V816" t="s">
        <v>1051</v>
      </c>
      <c r="W816">
        <v>70</v>
      </c>
    </row>
    <row r="817" spans="1:23" x14ac:dyDescent="0.2">
      <c r="A817" t="s">
        <v>946</v>
      </c>
      <c r="B817" t="s">
        <v>947</v>
      </c>
      <c r="C817" t="s">
        <v>121</v>
      </c>
      <c r="D817" t="s">
        <v>301</v>
      </c>
      <c r="E817">
        <v>0</v>
      </c>
      <c r="F817">
        <v>0.95</v>
      </c>
      <c r="G817">
        <v>0</v>
      </c>
      <c r="T817" t="s">
        <v>259</v>
      </c>
      <c r="U817" t="s">
        <v>1047</v>
      </c>
      <c r="V817" t="s">
        <v>1052</v>
      </c>
      <c r="W817">
        <v>70</v>
      </c>
    </row>
    <row r="818" spans="1:23" x14ac:dyDescent="0.2">
      <c r="A818" t="s">
        <v>946</v>
      </c>
      <c r="B818" t="s">
        <v>947</v>
      </c>
      <c r="C818" t="s">
        <v>122</v>
      </c>
      <c r="D818" t="s">
        <v>302</v>
      </c>
      <c r="E818">
        <v>1</v>
      </c>
      <c r="F818">
        <v>4.2</v>
      </c>
      <c r="G818">
        <v>4.2</v>
      </c>
      <c r="T818" t="s">
        <v>259</v>
      </c>
      <c r="U818" t="s">
        <v>1048</v>
      </c>
      <c r="V818" t="s">
        <v>1053</v>
      </c>
      <c r="W818">
        <v>250</v>
      </c>
    </row>
    <row r="819" spans="1:23" x14ac:dyDescent="0.2">
      <c r="A819" t="s">
        <v>946</v>
      </c>
      <c r="B819" t="s">
        <v>947</v>
      </c>
      <c r="C819" t="s">
        <v>3</v>
      </c>
      <c r="D819" t="s">
        <v>370</v>
      </c>
      <c r="E819">
        <v>0.16</v>
      </c>
      <c r="F819">
        <v>5</v>
      </c>
      <c r="G819">
        <v>0.8</v>
      </c>
      <c r="T819" t="s">
        <v>259</v>
      </c>
      <c r="U819" t="s">
        <v>1049</v>
      </c>
      <c r="V819" t="s">
        <v>1054</v>
      </c>
      <c r="W819">
        <v>750</v>
      </c>
    </row>
    <row r="820" spans="1:23" x14ac:dyDescent="0.2">
      <c r="A820" t="s">
        <v>946</v>
      </c>
      <c r="B820" t="s">
        <v>947</v>
      </c>
      <c r="C820" t="s">
        <v>6</v>
      </c>
      <c r="D820" t="s">
        <v>306</v>
      </c>
      <c r="E820">
        <v>1.2</v>
      </c>
      <c r="F820">
        <v>16.8</v>
      </c>
      <c r="G820">
        <v>20.16</v>
      </c>
      <c r="T820" t="s">
        <v>259</v>
      </c>
      <c r="U820" t="s">
        <v>1050</v>
      </c>
      <c r="V820" t="s">
        <v>1055</v>
      </c>
      <c r="W820">
        <v>0</v>
      </c>
    </row>
    <row r="821" spans="1:23" x14ac:dyDescent="0.2">
      <c r="A821" t="s">
        <v>946</v>
      </c>
      <c r="B821" t="s">
        <v>947</v>
      </c>
      <c r="C821" t="s">
        <v>7</v>
      </c>
      <c r="D821" t="s">
        <v>307</v>
      </c>
      <c r="E821">
        <v>0.45</v>
      </c>
      <c r="F821">
        <v>6.7</v>
      </c>
      <c r="G821">
        <v>3.0150000000000001</v>
      </c>
      <c r="T821" t="s">
        <v>254</v>
      </c>
      <c r="U821" t="s">
        <v>1042</v>
      </c>
      <c r="V821" t="s">
        <v>401</v>
      </c>
      <c r="W821">
        <v>50</v>
      </c>
    </row>
    <row r="822" spans="1:23" x14ac:dyDescent="0.2">
      <c r="A822" t="s">
        <v>946</v>
      </c>
      <c r="B822" t="s">
        <v>947</v>
      </c>
      <c r="C822" t="s">
        <v>732</v>
      </c>
      <c r="D822" t="s">
        <v>733</v>
      </c>
      <c r="E822">
        <v>0.13</v>
      </c>
      <c r="F822">
        <v>13.9</v>
      </c>
      <c r="G822">
        <v>1.8069999999999999</v>
      </c>
      <c r="T822" t="s">
        <v>254</v>
      </c>
      <c r="U822" t="s">
        <v>1043</v>
      </c>
      <c r="V822" t="s">
        <v>272</v>
      </c>
      <c r="W822">
        <v>580</v>
      </c>
    </row>
    <row r="823" spans="1:23" x14ac:dyDescent="0.2">
      <c r="A823" t="s">
        <v>946</v>
      </c>
      <c r="B823" t="s">
        <v>947</v>
      </c>
      <c r="C823" t="s">
        <v>12</v>
      </c>
      <c r="D823" t="s">
        <v>308</v>
      </c>
      <c r="E823">
        <v>0.25</v>
      </c>
      <c r="F823">
        <v>7</v>
      </c>
      <c r="G823">
        <v>1.75</v>
      </c>
      <c r="T823" t="s">
        <v>254</v>
      </c>
      <c r="U823" t="s">
        <v>1044</v>
      </c>
      <c r="V823" t="s">
        <v>405</v>
      </c>
      <c r="W823">
        <v>100</v>
      </c>
    </row>
    <row r="824" spans="1:23" x14ac:dyDescent="0.2">
      <c r="A824" t="s">
        <v>946</v>
      </c>
      <c r="B824" t="s">
        <v>947</v>
      </c>
      <c r="C824" t="s">
        <v>108</v>
      </c>
      <c r="D824" t="s">
        <v>323</v>
      </c>
      <c r="E824">
        <v>0</v>
      </c>
      <c r="F824">
        <v>0.1</v>
      </c>
      <c r="G824">
        <v>0</v>
      </c>
      <c r="T824" t="s">
        <v>254</v>
      </c>
      <c r="U824" t="s">
        <v>1045</v>
      </c>
      <c r="V824" t="s">
        <v>402</v>
      </c>
      <c r="W824">
        <v>60</v>
      </c>
    </row>
    <row r="825" spans="1:23" x14ac:dyDescent="0.2">
      <c r="A825" t="s">
        <v>946</v>
      </c>
      <c r="B825" t="s">
        <v>947</v>
      </c>
      <c r="C825" t="s">
        <v>112</v>
      </c>
      <c r="D825" t="s">
        <v>362</v>
      </c>
      <c r="E825">
        <v>0</v>
      </c>
      <c r="F825">
        <v>0.1</v>
      </c>
      <c r="G825">
        <v>0</v>
      </c>
      <c r="T825" t="s">
        <v>254</v>
      </c>
      <c r="U825" t="s">
        <v>1046</v>
      </c>
      <c r="V825" t="s">
        <v>1051</v>
      </c>
      <c r="W825">
        <v>70</v>
      </c>
    </row>
    <row r="826" spans="1:23" x14ac:dyDescent="0.2">
      <c r="A826" t="s">
        <v>884</v>
      </c>
      <c r="B826" t="s">
        <v>885</v>
      </c>
      <c r="C826" t="s">
        <v>94</v>
      </c>
      <c r="D826" t="s">
        <v>280</v>
      </c>
      <c r="E826">
        <v>1</v>
      </c>
      <c r="F826">
        <v>3.5</v>
      </c>
      <c r="G826">
        <v>3.5</v>
      </c>
      <c r="T826" t="s">
        <v>254</v>
      </c>
      <c r="U826" t="s">
        <v>1047</v>
      </c>
      <c r="V826" t="s">
        <v>1052</v>
      </c>
      <c r="W826">
        <v>70</v>
      </c>
    </row>
    <row r="827" spans="1:23" x14ac:dyDescent="0.2">
      <c r="A827" t="s">
        <v>884</v>
      </c>
      <c r="B827" t="s">
        <v>885</v>
      </c>
      <c r="C827" t="s">
        <v>52</v>
      </c>
      <c r="D827" t="s">
        <v>321</v>
      </c>
      <c r="E827">
        <v>0</v>
      </c>
      <c r="F827">
        <v>120</v>
      </c>
      <c r="G827">
        <v>0</v>
      </c>
      <c r="T827" t="s">
        <v>254</v>
      </c>
      <c r="U827" t="s">
        <v>1048</v>
      </c>
      <c r="V827" t="s">
        <v>1053</v>
      </c>
      <c r="W827">
        <v>250</v>
      </c>
    </row>
    <row r="828" spans="1:23" x14ac:dyDescent="0.2">
      <c r="A828" t="s">
        <v>884</v>
      </c>
      <c r="B828" t="s">
        <v>885</v>
      </c>
      <c r="C828" t="s">
        <v>73</v>
      </c>
      <c r="D828" t="s">
        <v>390</v>
      </c>
      <c r="E828">
        <v>0</v>
      </c>
      <c r="F828">
        <v>145</v>
      </c>
      <c r="G828">
        <v>0</v>
      </c>
      <c r="T828" t="s">
        <v>254</v>
      </c>
      <c r="U828" t="s">
        <v>1049</v>
      </c>
      <c r="V828" t="s">
        <v>1054</v>
      </c>
      <c r="W828">
        <v>750</v>
      </c>
    </row>
    <row r="829" spans="1:23" x14ac:dyDescent="0.2">
      <c r="A829" t="s">
        <v>884</v>
      </c>
      <c r="B829" t="s">
        <v>885</v>
      </c>
      <c r="C829" t="s">
        <v>29</v>
      </c>
      <c r="D829" t="s">
        <v>292</v>
      </c>
      <c r="E829">
        <v>0.8</v>
      </c>
      <c r="F829">
        <v>27</v>
      </c>
      <c r="G829">
        <v>21.6</v>
      </c>
      <c r="T829" t="s">
        <v>254</v>
      </c>
      <c r="U829" t="s">
        <v>1050</v>
      </c>
      <c r="V829" t="s">
        <v>1055</v>
      </c>
      <c r="W829">
        <v>0</v>
      </c>
    </row>
    <row r="830" spans="1:23" x14ac:dyDescent="0.2">
      <c r="A830" t="s">
        <v>884</v>
      </c>
      <c r="B830" t="s">
        <v>885</v>
      </c>
      <c r="C830" t="s">
        <v>30</v>
      </c>
      <c r="D830" t="s">
        <v>332</v>
      </c>
      <c r="E830">
        <v>2</v>
      </c>
      <c r="F830">
        <v>6</v>
      </c>
      <c r="G830">
        <v>12</v>
      </c>
      <c r="T830" t="s">
        <v>261</v>
      </c>
      <c r="U830" t="s">
        <v>1042</v>
      </c>
      <c r="V830" t="s">
        <v>401</v>
      </c>
      <c r="W830">
        <v>50</v>
      </c>
    </row>
    <row r="831" spans="1:23" x14ac:dyDescent="0.2">
      <c r="A831" t="s">
        <v>884</v>
      </c>
      <c r="B831" t="s">
        <v>885</v>
      </c>
      <c r="C831" t="s">
        <v>590</v>
      </c>
      <c r="D831" t="s">
        <v>591</v>
      </c>
      <c r="E831">
        <v>1</v>
      </c>
      <c r="F831">
        <v>2.8</v>
      </c>
      <c r="G831">
        <v>2.8</v>
      </c>
      <c r="T831" t="s">
        <v>261</v>
      </c>
      <c r="U831" t="s">
        <v>1043</v>
      </c>
      <c r="V831" t="s">
        <v>272</v>
      </c>
      <c r="W831">
        <v>490</v>
      </c>
    </row>
    <row r="832" spans="1:23" x14ac:dyDescent="0.2">
      <c r="A832" t="s">
        <v>884</v>
      </c>
      <c r="B832" t="s">
        <v>885</v>
      </c>
      <c r="C832" t="s">
        <v>606</v>
      </c>
      <c r="D832" t="s">
        <v>607</v>
      </c>
      <c r="E832">
        <v>1</v>
      </c>
      <c r="F832">
        <v>13</v>
      </c>
      <c r="G832">
        <v>13</v>
      </c>
      <c r="T832" t="s">
        <v>261</v>
      </c>
      <c r="U832" t="s">
        <v>1044</v>
      </c>
      <c r="V832" t="s">
        <v>405</v>
      </c>
      <c r="W832">
        <v>100</v>
      </c>
    </row>
    <row r="833" spans="1:23" x14ac:dyDescent="0.2">
      <c r="A833" t="s">
        <v>884</v>
      </c>
      <c r="B833" t="s">
        <v>885</v>
      </c>
      <c r="C833" t="s">
        <v>121</v>
      </c>
      <c r="D833" t="s">
        <v>301</v>
      </c>
      <c r="E833">
        <v>1</v>
      </c>
      <c r="F833">
        <v>0.95</v>
      </c>
      <c r="G833">
        <v>0.95</v>
      </c>
      <c r="T833" t="s">
        <v>261</v>
      </c>
      <c r="U833" t="s">
        <v>1045</v>
      </c>
      <c r="V833" t="s">
        <v>402</v>
      </c>
      <c r="W833">
        <v>60</v>
      </c>
    </row>
    <row r="834" spans="1:23" x14ac:dyDescent="0.2">
      <c r="A834" t="s">
        <v>884</v>
      </c>
      <c r="B834" t="s">
        <v>885</v>
      </c>
      <c r="C834" t="s">
        <v>122</v>
      </c>
      <c r="D834" t="s">
        <v>302</v>
      </c>
      <c r="E834">
        <v>1</v>
      </c>
      <c r="F834">
        <v>4.2</v>
      </c>
      <c r="G834">
        <v>4.2</v>
      </c>
      <c r="T834" t="s">
        <v>261</v>
      </c>
      <c r="U834" t="s">
        <v>1046</v>
      </c>
      <c r="V834" t="s">
        <v>1051</v>
      </c>
      <c r="W834">
        <v>70</v>
      </c>
    </row>
    <row r="835" spans="1:23" x14ac:dyDescent="0.2">
      <c r="A835" t="s">
        <v>884</v>
      </c>
      <c r="B835" t="s">
        <v>885</v>
      </c>
      <c r="C835" t="s">
        <v>3</v>
      </c>
      <c r="D835" t="s">
        <v>370</v>
      </c>
      <c r="E835">
        <v>0.18</v>
      </c>
      <c r="F835">
        <v>5</v>
      </c>
      <c r="G835">
        <v>0.9</v>
      </c>
      <c r="T835" t="s">
        <v>261</v>
      </c>
      <c r="U835" t="s">
        <v>1047</v>
      </c>
      <c r="V835" t="s">
        <v>1052</v>
      </c>
      <c r="W835">
        <v>70</v>
      </c>
    </row>
    <row r="836" spans="1:23" x14ac:dyDescent="0.2">
      <c r="A836" t="s">
        <v>884</v>
      </c>
      <c r="B836" t="s">
        <v>885</v>
      </c>
      <c r="C836" t="s">
        <v>6</v>
      </c>
      <c r="D836" t="s">
        <v>306</v>
      </c>
      <c r="E836">
        <v>1.3</v>
      </c>
      <c r="F836">
        <v>16.8</v>
      </c>
      <c r="G836">
        <v>21.84</v>
      </c>
      <c r="T836" t="s">
        <v>261</v>
      </c>
      <c r="U836" t="s">
        <v>1048</v>
      </c>
      <c r="V836" t="s">
        <v>1053</v>
      </c>
      <c r="W836">
        <v>250</v>
      </c>
    </row>
    <row r="837" spans="1:23" x14ac:dyDescent="0.2">
      <c r="A837" t="s">
        <v>884</v>
      </c>
      <c r="B837" t="s">
        <v>885</v>
      </c>
      <c r="C837" t="s">
        <v>734</v>
      </c>
      <c r="D837" t="s">
        <v>735</v>
      </c>
      <c r="E837">
        <v>0.13</v>
      </c>
      <c r="F837">
        <v>10.5</v>
      </c>
      <c r="G837">
        <v>1.365</v>
      </c>
      <c r="T837" t="s">
        <v>261</v>
      </c>
      <c r="U837" t="s">
        <v>1049</v>
      </c>
      <c r="V837" t="s">
        <v>1054</v>
      </c>
      <c r="W837">
        <v>750</v>
      </c>
    </row>
    <row r="838" spans="1:23" x14ac:dyDescent="0.2">
      <c r="A838" t="s">
        <v>884</v>
      </c>
      <c r="B838" t="s">
        <v>885</v>
      </c>
      <c r="C838" t="s">
        <v>12</v>
      </c>
      <c r="D838" t="s">
        <v>308</v>
      </c>
      <c r="E838">
        <v>0.25</v>
      </c>
      <c r="F838">
        <v>7</v>
      </c>
      <c r="G838">
        <v>1.75</v>
      </c>
      <c r="T838" t="s">
        <v>261</v>
      </c>
      <c r="U838" t="s">
        <v>1050</v>
      </c>
      <c r="V838" t="s">
        <v>1055</v>
      </c>
      <c r="W838">
        <v>0</v>
      </c>
    </row>
    <row r="839" spans="1:23" x14ac:dyDescent="0.2">
      <c r="A839" t="s">
        <v>884</v>
      </c>
      <c r="B839" t="s">
        <v>885</v>
      </c>
      <c r="C839" t="s">
        <v>108</v>
      </c>
      <c r="D839" t="s">
        <v>323</v>
      </c>
      <c r="E839">
        <v>0</v>
      </c>
      <c r="F839">
        <v>0.1</v>
      </c>
      <c r="G839">
        <v>0</v>
      </c>
      <c r="T839" t="s">
        <v>253</v>
      </c>
      <c r="U839" t="s">
        <v>1042</v>
      </c>
      <c r="V839" t="s">
        <v>401</v>
      </c>
      <c r="W839">
        <v>50</v>
      </c>
    </row>
    <row r="840" spans="1:23" x14ac:dyDescent="0.2">
      <c r="A840" t="s">
        <v>973</v>
      </c>
      <c r="B840" t="s">
        <v>256</v>
      </c>
      <c r="C840" t="s">
        <v>94</v>
      </c>
      <c r="D840" t="s">
        <v>280</v>
      </c>
      <c r="E840">
        <v>1</v>
      </c>
      <c r="F840">
        <v>3.5</v>
      </c>
      <c r="G840">
        <v>3.5</v>
      </c>
      <c r="T840" t="s">
        <v>253</v>
      </c>
      <c r="U840" t="s">
        <v>1043</v>
      </c>
      <c r="V840" t="s">
        <v>272</v>
      </c>
      <c r="W840">
        <v>490</v>
      </c>
    </row>
    <row r="841" spans="1:23" x14ac:dyDescent="0.2">
      <c r="A841" t="s">
        <v>973</v>
      </c>
      <c r="B841" t="s">
        <v>256</v>
      </c>
      <c r="C841" t="s">
        <v>95</v>
      </c>
      <c r="D841" t="s">
        <v>281</v>
      </c>
      <c r="E841">
        <v>2</v>
      </c>
      <c r="F841">
        <v>2</v>
      </c>
      <c r="G841">
        <v>4</v>
      </c>
      <c r="T841" t="s">
        <v>253</v>
      </c>
      <c r="U841" t="s">
        <v>1044</v>
      </c>
      <c r="V841" t="s">
        <v>405</v>
      </c>
      <c r="W841">
        <v>100</v>
      </c>
    </row>
    <row r="842" spans="1:23" x14ac:dyDescent="0.2">
      <c r="A842" t="s">
        <v>973</v>
      </c>
      <c r="B842" t="s">
        <v>256</v>
      </c>
      <c r="C842" t="s">
        <v>45</v>
      </c>
      <c r="D842" t="s">
        <v>374</v>
      </c>
      <c r="E842">
        <v>0.25</v>
      </c>
      <c r="F842">
        <v>65</v>
      </c>
      <c r="G842">
        <v>16.25</v>
      </c>
      <c r="T842" t="s">
        <v>253</v>
      </c>
      <c r="U842" t="s">
        <v>1045</v>
      </c>
      <c r="V842" t="s">
        <v>402</v>
      </c>
      <c r="W842">
        <v>60</v>
      </c>
    </row>
    <row r="843" spans="1:23" x14ac:dyDescent="0.2">
      <c r="A843" t="s">
        <v>973</v>
      </c>
      <c r="B843" t="s">
        <v>256</v>
      </c>
      <c r="C843" t="s">
        <v>50</v>
      </c>
      <c r="D843" t="s">
        <v>357</v>
      </c>
      <c r="E843">
        <v>0.25</v>
      </c>
      <c r="F843">
        <v>151</v>
      </c>
      <c r="G843">
        <v>37.75</v>
      </c>
      <c r="T843" t="s">
        <v>253</v>
      </c>
      <c r="U843" t="s">
        <v>1046</v>
      </c>
      <c r="V843" t="s">
        <v>1051</v>
      </c>
      <c r="W843">
        <v>70</v>
      </c>
    </row>
    <row r="844" spans="1:23" x14ac:dyDescent="0.2">
      <c r="A844" t="s">
        <v>973</v>
      </c>
      <c r="B844" t="s">
        <v>256</v>
      </c>
      <c r="C844" t="s">
        <v>52</v>
      </c>
      <c r="D844" t="s">
        <v>321</v>
      </c>
      <c r="E844">
        <v>1.45</v>
      </c>
      <c r="F844">
        <v>120</v>
      </c>
      <c r="G844">
        <v>174</v>
      </c>
      <c r="T844" t="s">
        <v>253</v>
      </c>
      <c r="U844" t="s">
        <v>1047</v>
      </c>
      <c r="V844" t="s">
        <v>1052</v>
      </c>
      <c r="W844">
        <v>70</v>
      </c>
    </row>
    <row r="845" spans="1:23" x14ac:dyDescent="0.2">
      <c r="A845" t="s">
        <v>973</v>
      </c>
      <c r="B845" t="s">
        <v>256</v>
      </c>
      <c r="C845" t="s">
        <v>60</v>
      </c>
      <c r="D845" t="s">
        <v>337</v>
      </c>
      <c r="E845">
        <v>0.02</v>
      </c>
      <c r="F845">
        <v>130</v>
      </c>
      <c r="G845">
        <v>2.6</v>
      </c>
      <c r="T845" t="s">
        <v>253</v>
      </c>
      <c r="U845" t="s">
        <v>1048</v>
      </c>
      <c r="V845" t="s">
        <v>1053</v>
      </c>
      <c r="W845">
        <v>250</v>
      </c>
    </row>
    <row r="846" spans="1:23" x14ac:dyDescent="0.2">
      <c r="A846" t="s">
        <v>973</v>
      </c>
      <c r="B846" t="s">
        <v>256</v>
      </c>
      <c r="C846" t="s">
        <v>61</v>
      </c>
      <c r="D846" t="s">
        <v>341</v>
      </c>
      <c r="E846">
        <v>1.1499999999999999</v>
      </c>
      <c r="F846">
        <v>190</v>
      </c>
      <c r="G846">
        <v>218.5</v>
      </c>
      <c r="T846" t="s">
        <v>253</v>
      </c>
      <c r="U846" t="s">
        <v>1049</v>
      </c>
      <c r="V846" t="s">
        <v>1054</v>
      </c>
      <c r="W846">
        <v>750</v>
      </c>
    </row>
    <row r="847" spans="1:23" x14ac:dyDescent="0.2">
      <c r="A847" t="s">
        <v>973</v>
      </c>
      <c r="B847" t="s">
        <v>256</v>
      </c>
      <c r="C847" t="s">
        <v>69</v>
      </c>
      <c r="D847" t="s">
        <v>288</v>
      </c>
      <c r="E847">
        <v>0.25</v>
      </c>
      <c r="F847">
        <v>190</v>
      </c>
      <c r="G847">
        <v>47.5</v>
      </c>
      <c r="T847" t="s">
        <v>253</v>
      </c>
      <c r="U847" t="s">
        <v>1050</v>
      </c>
      <c r="V847" t="s">
        <v>1055</v>
      </c>
      <c r="W847">
        <v>0</v>
      </c>
    </row>
    <row r="848" spans="1:23" x14ac:dyDescent="0.2">
      <c r="A848" t="s">
        <v>973</v>
      </c>
      <c r="B848" t="s">
        <v>256</v>
      </c>
      <c r="C848" t="s">
        <v>47</v>
      </c>
      <c r="D848" t="s">
        <v>328</v>
      </c>
      <c r="E848">
        <v>0.15</v>
      </c>
      <c r="F848">
        <v>235</v>
      </c>
      <c r="G848">
        <v>35.25</v>
      </c>
      <c r="T848" t="s">
        <v>252</v>
      </c>
      <c r="U848" t="s">
        <v>1042</v>
      </c>
      <c r="V848" t="s">
        <v>401</v>
      </c>
      <c r="W848">
        <v>50</v>
      </c>
    </row>
    <row r="849" spans="1:23" x14ac:dyDescent="0.2">
      <c r="A849" t="s">
        <v>973</v>
      </c>
      <c r="B849" t="s">
        <v>256</v>
      </c>
      <c r="C849" t="s">
        <v>48</v>
      </c>
      <c r="D849" t="s">
        <v>359</v>
      </c>
      <c r="E849">
        <v>7.4999999999999997E-2</v>
      </c>
      <c r="F849">
        <v>412</v>
      </c>
      <c r="G849">
        <v>30.9</v>
      </c>
      <c r="T849" t="s">
        <v>252</v>
      </c>
      <c r="U849" t="s">
        <v>1043</v>
      </c>
      <c r="V849" t="s">
        <v>272</v>
      </c>
      <c r="W849">
        <v>490</v>
      </c>
    </row>
    <row r="850" spans="1:23" x14ac:dyDescent="0.2">
      <c r="A850" t="s">
        <v>973</v>
      </c>
      <c r="B850" t="s">
        <v>256</v>
      </c>
      <c r="C850" t="s">
        <v>49</v>
      </c>
      <c r="D850" t="s">
        <v>290</v>
      </c>
      <c r="E850">
        <v>7.0000000000000001E-3</v>
      </c>
      <c r="F850">
        <v>248</v>
      </c>
      <c r="G850">
        <v>1.736</v>
      </c>
      <c r="T850" t="s">
        <v>252</v>
      </c>
      <c r="U850" t="s">
        <v>1044</v>
      </c>
      <c r="V850" t="s">
        <v>405</v>
      </c>
      <c r="W850">
        <v>100</v>
      </c>
    </row>
    <row r="851" spans="1:23" x14ac:dyDescent="0.2">
      <c r="A851" t="s">
        <v>973</v>
      </c>
      <c r="B851" t="s">
        <v>256</v>
      </c>
      <c r="C851" t="s">
        <v>579</v>
      </c>
      <c r="D851" t="s">
        <v>580</v>
      </c>
      <c r="E851">
        <v>1</v>
      </c>
      <c r="F851">
        <v>4</v>
      </c>
      <c r="G851">
        <v>4</v>
      </c>
      <c r="T851" t="s">
        <v>252</v>
      </c>
      <c r="U851" t="s">
        <v>1045</v>
      </c>
      <c r="V851" t="s">
        <v>402</v>
      </c>
      <c r="W851">
        <v>60</v>
      </c>
    </row>
    <row r="852" spans="1:23" x14ac:dyDescent="0.2">
      <c r="A852" t="s">
        <v>973</v>
      </c>
      <c r="B852" t="s">
        <v>256</v>
      </c>
      <c r="C852" t="s">
        <v>581</v>
      </c>
      <c r="D852" t="s">
        <v>582</v>
      </c>
      <c r="E852">
        <v>1</v>
      </c>
      <c r="F852">
        <v>4</v>
      </c>
      <c r="G852">
        <v>4</v>
      </c>
      <c r="T852" t="s">
        <v>252</v>
      </c>
      <c r="U852" t="s">
        <v>1046</v>
      </c>
      <c r="V852" t="s">
        <v>1051</v>
      </c>
      <c r="W852">
        <v>70</v>
      </c>
    </row>
    <row r="853" spans="1:23" x14ac:dyDescent="0.2">
      <c r="A853" t="s">
        <v>973</v>
      </c>
      <c r="B853" t="s">
        <v>256</v>
      </c>
      <c r="C853" t="s">
        <v>19</v>
      </c>
      <c r="D853" t="s">
        <v>329</v>
      </c>
      <c r="E853">
        <v>3</v>
      </c>
      <c r="F853">
        <v>2.9</v>
      </c>
      <c r="G853">
        <v>8.6999999999999993</v>
      </c>
      <c r="T853" t="s">
        <v>252</v>
      </c>
      <c r="U853" t="s">
        <v>1047</v>
      </c>
      <c r="V853" t="s">
        <v>1052</v>
      </c>
      <c r="W853">
        <v>70</v>
      </c>
    </row>
    <row r="854" spans="1:23" x14ac:dyDescent="0.2">
      <c r="A854" t="s">
        <v>973</v>
      </c>
      <c r="B854" t="s">
        <v>256</v>
      </c>
      <c r="C854" t="s">
        <v>20</v>
      </c>
      <c r="D854" t="s">
        <v>330</v>
      </c>
      <c r="E854">
        <v>3</v>
      </c>
      <c r="F854">
        <v>2.9</v>
      </c>
      <c r="G854">
        <v>8.6999999999999993</v>
      </c>
      <c r="T854" t="s">
        <v>252</v>
      </c>
      <c r="U854" t="s">
        <v>1048</v>
      </c>
      <c r="V854" t="s">
        <v>1053</v>
      </c>
      <c r="W854">
        <v>250</v>
      </c>
    </row>
    <row r="855" spans="1:23" x14ac:dyDescent="0.2">
      <c r="A855" t="s">
        <v>973</v>
      </c>
      <c r="B855" t="s">
        <v>256</v>
      </c>
      <c r="C855" t="s">
        <v>24</v>
      </c>
      <c r="D855" t="s">
        <v>360</v>
      </c>
      <c r="E855">
        <v>2</v>
      </c>
      <c r="F855">
        <v>2.2000000000000002</v>
      </c>
      <c r="G855">
        <v>4.4000000000000004</v>
      </c>
      <c r="T855" t="s">
        <v>252</v>
      </c>
      <c r="U855" t="s">
        <v>1049</v>
      </c>
      <c r="V855" t="s">
        <v>1054</v>
      </c>
      <c r="W855">
        <v>750</v>
      </c>
    </row>
    <row r="856" spans="1:23" x14ac:dyDescent="0.2">
      <c r="A856" t="s">
        <v>973</v>
      </c>
      <c r="B856" t="s">
        <v>256</v>
      </c>
      <c r="C856" t="s">
        <v>26</v>
      </c>
      <c r="D856" t="s">
        <v>361</v>
      </c>
      <c r="E856">
        <v>16</v>
      </c>
      <c r="F856">
        <v>1.5</v>
      </c>
      <c r="G856">
        <v>24</v>
      </c>
      <c r="T856" t="s">
        <v>252</v>
      </c>
      <c r="U856" t="s">
        <v>1050</v>
      </c>
      <c r="V856" t="s">
        <v>1055</v>
      </c>
      <c r="W856">
        <v>0</v>
      </c>
    </row>
    <row r="857" spans="1:23" x14ac:dyDescent="0.2">
      <c r="A857" t="s">
        <v>973</v>
      </c>
      <c r="B857" t="s">
        <v>256</v>
      </c>
      <c r="C857" t="s">
        <v>29</v>
      </c>
      <c r="D857" t="s">
        <v>292</v>
      </c>
      <c r="E857">
        <v>0.76</v>
      </c>
      <c r="F857">
        <v>27</v>
      </c>
      <c r="G857">
        <v>20.52</v>
      </c>
      <c r="T857" t="s">
        <v>248</v>
      </c>
      <c r="U857" t="s">
        <v>1042</v>
      </c>
      <c r="V857" t="s">
        <v>401</v>
      </c>
      <c r="W857">
        <v>50</v>
      </c>
    </row>
    <row r="858" spans="1:23" x14ac:dyDescent="0.2">
      <c r="A858" t="s">
        <v>973</v>
      </c>
      <c r="B858" t="s">
        <v>256</v>
      </c>
      <c r="C858" t="s">
        <v>30</v>
      </c>
      <c r="D858" t="s">
        <v>332</v>
      </c>
      <c r="E858">
        <v>2</v>
      </c>
      <c r="F858">
        <v>6</v>
      </c>
      <c r="G858">
        <v>12</v>
      </c>
      <c r="T858" t="s">
        <v>248</v>
      </c>
      <c r="U858" t="s">
        <v>1043</v>
      </c>
      <c r="V858" t="s">
        <v>272</v>
      </c>
      <c r="W858">
        <v>490</v>
      </c>
    </row>
    <row r="859" spans="1:23" x14ac:dyDescent="0.2">
      <c r="A859" t="s">
        <v>973</v>
      </c>
      <c r="B859" t="s">
        <v>256</v>
      </c>
      <c r="C859" t="s">
        <v>104</v>
      </c>
      <c r="D859" t="s">
        <v>343</v>
      </c>
      <c r="E859">
        <v>1.4999999999999999E-2</v>
      </c>
      <c r="F859">
        <v>890</v>
      </c>
      <c r="G859">
        <v>13.35</v>
      </c>
      <c r="T859" t="s">
        <v>248</v>
      </c>
      <c r="U859" t="s">
        <v>1044</v>
      </c>
      <c r="V859" t="s">
        <v>405</v>
      </c>
      <c r="W859">
        <v>100</v>
      </c>
    </row>
    <row r="860" spans="1:23" x14ac:dyDescent="0.2">
      <c r="A860" t="s">
        <v>973</v>
      </c>
      <c r="B860" t="s">
        <v>256</v>
      </c>
      <c r="C860" t="s">
        <v>121</v>
      </c>
      <c r="D860" t="s">
        <v>301</v>
      </c>
      <c r="E860">
        <v>1</v>
      </c>
      <c r="F860">
        <v>0.95</v>
      </c>
      <c r="G860">
        <v>0.95</v>
      </c>
      <c r="T860" t="s">
        <v>248</v>
      </c>
      <c r="U860" t="s">
        <v>1045</v>
      </c>
      <c r="V860" t="s">
        <v>402</v>
      </c>
      <c r="W860">
        <v>60</v>
      </c>
    </row>
    <row r="861" spans="1:23" x14ac:dyDescent="0.2">
      <c r="A861" t="s">
        <v>973</v>
      </c>
      <c r="B861" t="s">
        <v>256</v>
      </c>
      <c r="C861" t="s">
        <v>122</v>
      </c>
      <c r="D861" t="s">
        <v>302</v>
      </c>
      <c r="E861">
        <v>1</v>
      </c>
      <c r="F861">
        <v>4.2</v>
      </c>
      <c r="G861">
        <v>4.2</v>
      </c>
      <c r="T861" t="s">
        <v>248</v>
      </c>
      <c r="U861" t="s">
        <v>1046</v>
      </c>
      <c r="V861" t="s">
        <v>1051</v>
      </c>
      <c r="W861">
        <v>70</v>
      </c>
    </row>
    <row r="862" spans="1:23" x14ac:dyDescent="0.2">
      <c r="A862" t="s">
        <v>973</v>
      </c>
      <c r="B862" t="s">
        <v>256</v>
      </c>
      <c r="C862" t="s">
        <v>4</v>
      </c>
      <c r="D862" t="s">
        <v>304</v>
      </c>
      <c r="E862">
        <v>7.3</v>
      </c>
      <c r="F862">
        <v>10.1</v>
      </c>
      <c r="G862">
        <v>73.73</v>
      </c>
      <c r="T862" t="s">
        <v>248</v>
      </c>
      <c r="U862" t="s">
        <v>1047</v>
      </c>
      <c r="V862" t="s">
        <v>1052</v>
      </c>
      <c r="W862">
        <v>70</v>
      </c>
    </row>
    <row r="863" spans="1:23" x14ac:dyDescent="0.2">
      <c r="A863" t="s">
        <v>973</v>
      </c>
      <c r="B863" t="s">
        <v>256</v>
      </c>
      <c r="C863" t="s">
        <v>5</v>
      </c>
      <c r="D863" t="s">
        <v>305</v>
      </c>
      <c r="E863">
        <v>4.0999999999999996</v>
      </c>
      <c r="F863">
        <v>11.5</v>
      </c>
      <c r="G863">
        <v>47.15</v>
      </c>
      <c r="T863" t="s">
        <v>248</v>
      </c>
      <c r="U863" t="s">
        <v>1048</v>
      </c>
      <c r="V863" t="s">
        <v>1053</v>
      </c>
      <c r="W863">
        <v>250</v>
      </c>
    </row>
    <row r="864" spans="1:23" x14ac:dyDescent="0.2">
      <c r="A864" t="s">
        <v>973</v>
      </c>
      <c r="B864" t="s">
        <v>256</v>
      </c>
      <c r="C864" t="s">
        <v>6</v>
      </c>
      <c r="D864" t="s">
        <v>306</v>
      </c>
      <c r="E864">
        <v>0.8</v>
      </c>
      <c r="F864">
        <v>16.8</v>
      </c>
      <c r="G864">
        <v>13.44</v>
      </c>
      <c r="T864" t="s">
        <v>248</v>
      </c>
      <c r="U864" t="s">
        <v>1049</v>
      </c>
      <c r="V864" t="s">
        <v>1054</v>
      </c>
      <c r="W864">
        <v>750</v>
      </c>
    </row>
    <row r="865" spans="1:23" x14ac:dyDescent="0.2">
      <c r="A865" t="s">
        <v>973</v>
      </c>
      <c r="B865" t="s">
        <v>256</v>
      </c>
      <c r="C865" t="s">
        <v>7</v>
      </c>
      <c r="D865" t="s">
        <v>307</v>
      </c>
      <c r="E865">
        <v>0.35</v>
      </c>
      <c r="F865">
        <v>6.7</v>
      </c>
      <c r="G865">
        <v>2.3450000000000002</v>
      </c>
      <c r="T865" t="s">
        <v>248</v>
      </c>
      <c r="U865" t="s">
        <v>1050</v>
      </c>
      <c r="V865" t="s">
        <v>1055</v>
      </c>
      <c r="W865">
        <v>0</v>
      </c>
    </row>
    <row r="866" spans="1:23" x14ac:dyDescent="0.2">
      <c r="A866" t="s">
        <v>973</v>
      </c>
      <c r="B866" t="s">
        <v>256</v>
      </c>
      <c r="C866" t="s">
        <v>12</v>
      </c>
      <c r="D866" t="s">
        <v>308</v>
      </c>
      <c r="E866">
        <v>0.45</v>
      </c>
      <c r="F866">
        <v>7</v>
      </c>
      <c r="G866">
        <v>3.15</v>
      </c>
      <c r="T866" t="s">
        <v>247</v>
      </c>
      <c r="U866" t="s">
        <v>1042</v>
      </c>
      <c r="V866" t="s">
        <v>401</v>
      </c>
      <c r="W866">
        <v>50</v>
      </c>
    </row>
    <row r="867" spans="1:23" x14ac:dyDescent="0.2">
      <c r="A867" t="s">
        <v>973</v>
      </c>
      <c r="B867" t="s">
        <v>256</v>
      </c>
      <c r="C867" t="s">
        <v>105</v>
      </c>
      <c r="D867" t="s">
        <v>313</v>
      </c>
      <c r="E867">
        <v>250</v>
      </c>
      <c r="F867">
        <v>0.1</v>
      </c>
      <c r="G867">
        <v>25</v>
      </c>
      <c r="T867" t="s">
        <v>247</v>
      </c>
      <c r="U867" t="s">
        <v>1043</v>
      </c>
      <c r="V867" t="s">
        <v>272</v>
      </c>
      <c r="W867">
        <v>490</v>
      </c>
    </row>
    <row r="868" spans="1:23" x14ac:dyDescent="0.2">
      <c r="A868" t="s">
        <v>973</v>
      </c>
      <c r="B868" t="s">
        <v>256</v>
      </c>
      <c r="C868" t="s">
        <v>108</v>
      </c>
      <c r="D868" t="s">
        <v>323</v>
      </c>
      <c r="E868">
        <v>30</v>
      </c>
      <c r="F868">
        <v>0.1</v>
      </c>
      <c r="G868">
        <v>3</v>
      </c>
      <c r="T868" t="s">
        <v>247</v>
      </c>
      <c r="U868" t="s">
        <v>1044</v>
      </c>
      <c r="V868" t="s">
        <v>405</v>
      </c>
      <c r="W868">
        <v>100</v>
      </c>
    </row>
    <row r="869" spans="1:23" x14ac:dyDescent="0.2">
      <c r="A869" t="s">
        <v>977</v>
      </c>
      <c r="B869" t="s">
        <v>258</v>
      </c>
      <c r="C869" t="s">
        <v>94</v>
      </c>
      <c r="D869" t="s">
        <v>280</v>
      </c>
      <c r="E869">
        <v>1</v>
      </c>
      <c r="F869">
        <v>3.5</v>
      </c>
      <c r="G869">
        <v>3.5</v>
      </c>
      <c r="T869" t="s">
        <v>247</v>
      </c>
      <c r="U869" t="s">
        <v>1045</v>
      </c>
      <c r="V869" t="s">
        <v>402</v>
      </c>
      <c r="W869">
        <v>60</v>
      </c>
    </row>
    <row r="870" spans="1:23" x14ac:dyDescent="0.2">
      <c r="A870" t="s">
        <v>977</v>
      </c>
      <c r="B870" t="s">
        <v>258</v>
      </c>
      <c r="C870" t="s">
        <v>95</v>
      </c>
      <c r="D870" t="s">
        <v>281</v>
      </c>
      <c r="E870">
        <v>2</v>
      </c>
      <c r="F870">
        <v>2</v>
      </c>
      <c r="G870">
        <v>4</v>
      </c>
      <c r="T870" t="s">
        <v>247</v>
      </c>
      <c r="U870" t="s">
        <v>1046</v>
      </c>
      <c r="V870" t="s">
        <v>1051</v>
      </c>
      <c r="W870">
        <v>70</v>
      </c>
    </row>
    <row r="871" spans="1:23" x14ac:dyDescent="0.2">
      <c r="A871" t="s">
        <v>977</v>
      </c>
      <c r="B871" t="s">
        <v>258</v>
      </c>
      <c r="C871" t="s">
        <v>45</v>
      </c>
      <c r="D871" t="s">
        <v>374</v>
      </c>
      <c r="E871">
        <v>0.25</v>
      </c>
      <c r="F871">
        <v>65</v>
      </c>
      <c r="G871">
        <v>16.25</v>
      </c>
      <c r="T871" t="s">
        <v>247</v>
      </c>
      <c r="U871" t="s">
        <v>1047</v>
      </c>
      <c r="V871" t="s">
        <v>1052</v>
      </c>
      <c r="W871">
        <v>70</v>
      </c>
    </row>
    <row r="872" spans="1:23" x14ac:dyDescent="0.2">
      <c r="A872" t="s">
        <v>977</v>
      </c>
      <c r="B872" t="s">
        <v>258</v>
      </c>
      <c r="C872" t="s">
        <v>50</v>
      </c>
      <c r="D872" t="s">
        <v>357</v>
      </c>
      <c r="E872">
        <v>0.25</v>
      </c>
      <c r="F872">
        <v>151</v>
      </c>
      <c r="G872">
        <v>37.75</v>
      </c>
      <c r="T872" t="s">
        <v>247</v>
      </c>
      <c r="U872" t="s">
        <v>1048</v>
      </c>
      <c r="V872" t="s">
        <v>1053</v>
      </c>
      <c r="W872">
        <v>250</v>
      </c>
    </row>
    <row r="873" spans="1:23" x14ac:dyDescent="0.2">
      <c r="A873" t="s">
        <v>977</v>
      </c>
      <c r="B873" t="s">
        <v>258</v>
      </c>
      <c r="C873" t="s">
        <v>53</v>
      </c>
      <c r="D873" t="s">
        <v>325</v>
      </c>
      <c r="E873">
        <v>1.45</v>
      </c>
      <c r="F873">
        <v>120</v>
      </c>
      <c r="G873">
        <v>174</v>
      </c>
      <c r="T873" t="s">
        <v>247</v>
      </c>
      <c r="U873" t="s">
        <v>1049</v>
      </c>
      <c r="V873" t="s">
        <v>1054</v>
      </c>
      <c r="W873">
        <v>750</v>
      </c>
    </row>
    <row r="874" spans="1:23" x14ac:dyDescent="0.2">
      <c r="A874" t="s">
        <v>977</v>
      </c>
      <c r="B874" t="s">
        <v>258</v>
      </c>
      <c r="C874" t="s">
        <v>60</v>
      </c>
      <c r="D874" t="s">
        <v>337</v>
      </c>
      <c r="E874">
        <v>0.02</v>
      </c>
      <c r="F874">
        <v>130</v>
      </c>
      <c r="G874">
        <v>2.6</v>
      </c>
      <c r="T874" t="s">
        <v>247</v>
      </c>
      <c r="U874" t="s">
        <v>1050</v>
      </c>
      <c r="V874" t="s">
        <v>1055</v>
      </c>
      <c r="W874">
        <v>0</v>
      </c>
    </row>
    <row r="875" spans="1:23" x14ac:dyDescent="0.2">
      <c r="A875" t="s">
        <v>977</v>
      </c>
      <c r="B875" t="s">
        <v>258</v>
      </c>
      <c r="C875" t="s">
        <v>69</v>
      </c>
      <c r="D875" t="s">
        <v>288</v>
      </c>
      <c r="E875">
        <v>0.25</v>
      </c>
      <c r="F875">
        <v>190</v>
      </c>
      <c r="G875">
        <v>47.5</v>
      </c>
      <c r="T875" t="s">
        <v>250</v>
      </c>
      <c r="U875" t="s">
        <v>1042</v>
      </c>
      <c r="V875" t="s">
        <v>401</v>
      </c>
      <c r="W875">
        <v>50</v>
      </c>
    </row>
    <row r="876" spans="1:23" x14ac:dyDescent="0.2">
      <c r="A876" t="s">
        <v>977</v>
      </c>
      <c r="B876" t="s">
        <v>258</v>
      </c>
      <c r="C876" t="s">
        <v>79</v>
      </c>
      <c r="D876" t="s">
        <v>289</v>
      </c>
      <c r="E876">
        <v>1.1499999999999999</v>
      </c>
      <c r="F876">
        <v>380</v>
      </c>
      <c r="G876">
        <v>437</v>
      </c>
      <c r="T876" t="s">
        <v>250</v>
      </c>
      <c r="U876" t="s">
        <v>1043</v>
      </c>
      <c r="V876" t="s">
        <v>272</v>
      </c>
      <c r="W876">
        <v>490</v>
      </c>
    </row>
    <row r="877" spans="1:23" x14ac:dyDescent="0.2">
      <c r="A877" t="s">
        <v>977</v>
      </c>
      <c r="B877" t="s">
        <v>258</v>
      </c>
      <c r="C877" t="s">
        <v>47</v>
      </c>
      <c r="D877" t="s">
        <v>328</v>
      </c>
      <c r="E877">
        <v>0.15</v>
      </c>
      <c r="F877">
        <v>235</v>
      </c>
      <c r="G877">
        <v>35.25</v>
      </c>
      <c r="T877" t="s">
        <v>250</v>
      </c>
      <c r="U877" t="s">
        <v>1044</v>
      </c>
      <c r="V877" t="s">
        <v>405</v>
      </c>
      <c r="W877">
        <v>100</v>
      </c>
    </row>
    <row r="878" spans="1:23" x14ac:dyDescent="0.2">
      <c r="A878" t="s">
        <v>977</v>
      </c>
      <c r="B878" t="s">
        <v>258</v>
      </c>
      <c r="C878" t="s">
        <v>48</v>
      </c>
      <c r="D878" t="s">
        <v>359</v>
      </c>
      <c r="E878">
        <v>7.4999999999999997E-2</v>
      </c>
      <c r="F878">
        <v>412</v>
      </c>
      <c r="G878">
        <v>30.9</v>
      </c>
      <c r="T878" t="s">
        <v>250</v>
      </c>
      <c r="U878" t="s">
        <v>1045</v>
      </c>
      <c r="V878" t="s">
        <v>402</v>
      </c>
      <c r="W878">
        <v>60</v>
      </c>
    </row>
    <row r="879" spans="1:23" x14ac:dyDescent="0.2">
      <c r="A879" t="s">
        <v>977</v>
      </c>
      <c r="B879" t="s">
        <v>258</v>
      </c>
      <c r="C879" t="s">
        <v>49</v>
      </c>
      <c r="D879" t="s">
        <v>290</v>
      </c>
      <c r="E879">
        <v>7.0000000000000001E-3</v>
      </c>
      <c r="F879">
        <v>248</v>
      </c>
      <c r="G879">
        <v>1.736</v>
      </c>
      <c r="T879" t="s">
        <v>250</v>
      </c>
      <c r="U879" t="s">
        <v>1046</v>
      </c>
      <c r="V879" t="s">
        <v>1051</v>
      </c>
      <c r="W879">
        <v>70</v>
      </c>
    </row>
    <row r="880" spans="1:23" x14ac:dyDescent="0.2">
      <c r="A880" t="s">
        <v>977</v>
      </c>
      <c r="B880" t="s">
        <v>258</v>
      </c>
      <c r="C880" t="s">
        <v>579</v>
      </c>
      <c r="D880" t="s">
        <v>580</v>
      </c>
      <c r="E880">
        <v>1</v>
      </c>
      <c r="F880">
        <v>4</v>
      </c>
      <c r="G880">
        <v>4</v>
      </c>
      <c r="T880" t="s">
        <v>250</v>
      </c>
      <c r="U880" t="s">
        <v>1047</v>
      </c>
      <c r="V880" t="s">
        <v>1052</v>
      </c>
      <c r="W880">
        <v>70</v>
      </c>
    </row>
    <row r="881" spans="1:23" x14ac:dyDescent="0.2">
      <c r="A881" t="s">
        <v>977</v>
      </c>
      <c r="B881" t="s">
        <v>258</v>
      </c>
      <c r="C881" t="s">
        <v>581</v>
      </c>
      <c r="D881" t="s">
        <v>582</v>
      </c>
      <c r="E881">
        <v>1</v>
      </c>
      <c r="F881">
        <v>4</v>
      </c>
      <c r="G881">
        <v>4</v>
      </c>
      <c r="T881" t="s">
        <v>250</v>
      </c>
      <c r="U881" t="s">
        <v>1048</v>
      </c>
      <c r="V881" t="s">
        <v>1053</v>
      </c>
      <c r="W881">
        <v>250</v>
      </c>
    </row>
    <row r="882" spans="1:23" x14ac:dyDescent="0.2">
      <c r="A882" t="s">
        <v>977</v>
      </c>
      <c r="B882" t="s">
        <v>258</v>
      </c>
      <c r="C882" t="s">
        <v>19</v>
      </c>
      <c r="D882" t="s">
        <v>329</v>
      </c>
      <c r="E882">
        <v>1</v>
      </c>
      <c r="F882">
        <v>2.9</v>
      </c>
      <c r="G882">
        <v>2.9</v>
      </c>
      <c r="T882" t="s">
        <v>250</v>
      </c>
      <c r="U882" t="s">
        <v>1049</v>
      </c>
      <c r="V882" t="s">
        <v>1054</v>
      </c>
      <c r="W882">
        <v>750</v>
      </c>
    </row>
    <row r="883" spans="1:23" x14ac:dyDescent="0.2">
      <c r="A883" t="s">
        <v>977</v>
      </c>
      <c r="B883" t="s">
        <v>258</v>
      </c>
      <c r="C883" t="s">
        <v>20</v>
      </c>
      <c r="D883" t="s">
        <v>330</v>
      </c>
      <c r="E883">
        <v>1</v>
      </c>
      <c r="F883">
        <v>2.9</v>
      </c>
      <c r="G883">
        <v>2.9</v>
      </c>
      <c r="T883" t="s">
        <v>250</v>
      </c>
      <c r="U883" t="s">
        <v>1050</v>
      </c>
      <c r="V883" t="s">
        <v>1055</v>
      </c>
      <c r="W883">
        <v>0</v>
      </c>
    </row>
    <row r="884" spans="1:23" x14ac:dyDescent="0.2">
      <c r="A884" t="s">
        <v>977</v>
      </c>
      <c r="B884" t="s">
        <v>258</v>
      </c>
      <c r="C884" t="s">
        <v>24</v>
      </c>
      <c r="D884" t="s">
        <v>360</v>
      </c>
      <c r="E884">
        <v>2</v>
      </c>
      <c r="F884">
        <v>2.2000000000000002</v>
      </c>
      <c r="G884">
        <v>4.4000000000000004</v>
      </c>
      <c r="T884" t="s">
        <v>249</v>
      </c>
      <c r="U884" t="s">
        <v>1042</v>
      </c>
      <c r="V884" t="s">
        <v>401</v>
      </c>
      <c r="W884">
        <v>50</v>
      </c>
    </row>
    <row r="885" spans="1:23" x14ac:dyDescent="0.2">
      <c r="A885" t="s">
        <v>977</v>
      </c>
      <c r="B885" t="s">
        <v>258</v>
      </c>
      <c r="C885" t="s">
        <v>26</v>
      </c>
      <c r="D885" t="s">
        <v>361</v>
      </c>
      <c r="E885">
        <v>16</v>
      </c>
      <c r="F885">
        <v>1.5</v>
      </c>
      <c r="G885">
        <v>24</v>
      </c>
      <c r="T885" t="s">
        <v>249</v>
      </c>
      <c r="U885" t="s">
        <v>1043</v>
      </c>
      <c r="V885" t="s">
        <v>272</v>
      </c>
      <c r="W885">
        <v>490</v>
      </c>
    </row>
    <row r="886" spans="1:23" x14ac:dyDescent="0.2">
      <c r="A886" t="s">
        <v>977</v>
      </c>
      <c r="B886" t="s">
        <v>258</v>
      </c>
      <c r="C886" t="s">
        <v>29</v>
      </c>
      <c r="D886" t="s">
        <v>292</v>
      </c>
      <c r="E886">
        <v>0.76</v>
      </c>
      <c r="F886">
        <v>27</v>
      </c>
      <c r="G886">
        <v>20.52</v>
      </c>
      <c r="T886" t="s">
        <v>249</v>
      </c>
      <c r="U886" t="s">
        <v>1044</v>
      </c>
      <c r="V886" t="s">
        <v>405</v>
      </c>
      <c r="W886">
        <v>100</v>
      </c>
    </row>
    <row r="887" spans="1:23" x14ac:dyDescent="0.2">
      <c r="A887" t="s">
        <v>977</v>
      </c>
      <c r="B887" t="s">
        <v>258</v>
      </c>
      <c r="C887" t="s">
        <v>30</v>
      </c>
      <c r="D887" t="s">
        <v>332</v>
      </c>
      <c r="E887">
        <v>2</v>
      </c>
      <c r="F887">
        <v>6</v>
      </c>
      <c r="G887">
        <v>12</v>
      </c>
      <c r="T887" t="s">
        <v>249</v>
      </c>
      <c r="U887" t="s">
        <v>1045</v>
      </c>
      <c r="V887" t="s">
        <v>402</v>
      </c>
      <c r="W887">
        <v>60</v>
      </c>
    </row>
    <row r="888" spans="1:23" x14ac:dyDescent="0.2">
      <c r="A888" t="s">
        <v>977</v>
      </c>
      <c r="B888" t="s">
        <v>258</v>
      </c>
      <c r="C888" t="s">
        <v>32</v>
      </c>
      <c r="D888" t="s">
        <v>345</v>
      </c>
      <c r="E888">
        <v>2</v>
      </c>
      <c r="F888">
        <v>100</v>
      </c>
      <c r="G888">
        <v>200</v>
      </c>
      <c r="T888" t="s">
        <v>249</v>
      </c>
      <c r="U888" t="s">
        <v>1046</v>
      </c>
      <c r="V888" t="s">
        <v>1051</v>
      </c>
      <c r="W888">
        <v>70</v>
      </c>
    </row>
    <row r="889" spans="1:23" x14ac:dyDescent="0.2">
      <c r="A889" t="s">
        <v>977</v>
      </c>
      <c r="B889" t="s">
        <v>258</v>
      </c>
      <c r="C889" t="s">
        <v>104</v>
      </c>
      <c r="D889" t="s">
        <v>343</v>
      </c>
      <c r="E889">
        <v>1.4999999999999999E-2</v>
      </c>
      <c r="F889">
        <v>890</v>
      </c>
      <c r="G889">
        <v>13.35</v>
      </c>
      <c r="T889" t="s">
        <v>249</v>
      </c>
      <c r="U889" t="s">
        <v>1047</v>
      </c>
      <c r="V889" t="s">
        <v>1052</v>
      </c>
      <c r="W889">
        <v>70</v>
      </c>
    </row>
    <row r="890" spans="1:23" x14ac:dyDescent="0.2">
      <c r="A890" t="s">
        <v>977</v>
      </c>
      <c r="B890" t="s">
        <v>258</v>
      </c>
      <c r="C890" t="s">
        <v>121</v>
      </c>
      <c r="D890" t="s">
        <v>301</v>
      </c>
      <c r="E890">
        <v>1</v>
      </c>
      <c r="F890">
        <v>0.95</v>
      </c>
      <c r="G890">
        <v>0.95</v>
      </c>
      <c r="T890" t="s">
        <v>249</v>
      </c>
      <c r="U890" t="s">
        <v>1048</v>
      </c>
      <c r="V890" t="s">
        <v>1053</v>
      </c>
      <c r="W890">
        <v>250</v>
      </c>
    </row>
    <row r="891" spans="1:23" x14ac:dyDescent="0.2">
      <c r="A891" t="s">
        <v>977</v>
      </c>
      <c r="B891" t="s">
        <v>258</v>
      </c>
      <c r="C891" t="s">
        <v>122</v>
      </c>
      <c r="D891" t="s">
        <v>302</v>
      </c>
      <c r="E891">
        <v>1</v>
      </c>
      <c r="F891">
        <v>4.2</v>
      </c>
      <c r="G891">
        <v>4.2</v>
      </c>
      <c r="T891" t="s">
        <v>249</v>
      </c>
      <c r="U891" t="s">
        <v>1049</v>
      </c>
      <c r="V891" t="s">
        <v>1054</v>
      </c>
      <c r="W891">
        <v>750</v>
      </c>
    </row>
    <row r="892" spans="1:23" x14ac:dyDescent="0.2">
      <c r="A892" t="s">
        <v>977</v>
      </c>
      <c r="B892" t="s">
        <v>258</v>
      </c>
      <c r="C892" t="s">
        <v>4</v>
      </c>
      <c r="D892" t="s">
        <v>304</v>
      </c>
      <c r="E892">
        <v>7.3</v>
      </c>
      <c r="F892">
        <v>10.1</v>
      </c>
      <c r="G892">
        <v>73.73</v>
      </c>
      <c r="T892" t="s">
        <v>249</v>
      </c>
      <c r="U892" t="s">
        <v>1050</v>
      </c>
      <c r="V892" t="s">
        <v>1055</v>
      </c>
      <c r="W892">
        <v>0</v>
      </c>
    </row>
    <row r="893" spans="1:23" x14ac:dyDescent="0.2">
      <c r="A893" t="s">
        <v>977</v>
      </c>
      <c r="B893" t="s">
        <v>258</v>
      </c>
      <c r="C893" t="s">
        <v>5</v>
      </c>
      <c r="D893" t="s">
        <v>305</v>
      </c>
      <c r="E893">
        <v>4.0999999999999996</v>
      </c>
      <c r="F893">
        <v>11.5</v>
      </c>
      <c r="G893">
        <v>47.15</v>
      </c>
      <c r="T893" t="s">
        <v>245</v>
      </c>
      <c r="U893" t="s">
        <v>1042</v>
      </c>
      <c r="V893" t="s">
        <v>401</v>
      </c>
      <c r="W893">
        <v>50</v>
      </c>
    </row>
    <row r="894" spans="1:23" x14ac:dyDescent="0.2">
      <c r="A894" t="s">
        <v>977</v>
      </c>
      <c r="B894" t="s">
        <v>258</v>
      </c>
      <c r="C894" t="s">
        <v>6</v>
      </c>
      <c r="D894" t="s">
        <v>306</v>
      </c>
      <c r="E894">
        <v>0.8</v>
      </c>
      <c r="F894">
        <v>16.8</v>
      </c>
      <c r="G894">
        <v>13.44</v>
      </c>
      <c r="T894" t="s">
        <v>245</v>
      </c>
      <c r="U894" t="s">
        <v>1043</v>
      </c>
      <c r="V894" t="s">
        <v>272</v>
      </c>
      <c r="W894">
        <v>490</v>
      </c>
    </row>
    <row r="895" spans="1:23" x14ac:dyDescent="0.2">
      <c r="A895" t="s">
        <v>977</v>
      </c>
      <c r="B895" t="s">
        <v>258</v>
      </c>
      <c r="C895" t="s">
        <v>7</v>
      </c>
      <c r="D895" t="s">
        <v>307</v>
      </c>
      <c r="E895">
        <v>0.35</v>
      </c>
      <c r="F895">
        <v>6.7</v>
      </c>
      <c r="G895">
        <v>2.3450000000000002</v>
      </c>
      <c r="T895" t="s">
        <v>245</v>
      </c>
      <c r="U895" t="s">
        <v>1044</v>
      </c>
      <c r="V895" t="s">
        <v>405</v>
      </c>
      <c r="W895">
        <v>100</v>
      </c>
    </row>
    <row r="896" spans="1:23" x14ac:dyDescent="0.2">
      <c r="A896" t="s">
        <v>977</v>
      </c>
      <c r="B896" t="s">
        <v>258</v>
      </c>
      <c r="C896" t="s">
        <v>12</v>
      </c>
      <c r="D896" t="s">
        <v>308</v>
      </c>
      <c r="E896">
        <v>0.45</v>
      </c>
      <c r="F896">
        <v>7</v>
      </c>
      <c r="G896">
        <v>3.15</v>
      </c>
      <c r="T896" t="s">
        <v>245</v>
      </c>
      <c r="U896" t="s">
        <v>1045</v>
      </c>
      <c r="V896" t="s">
        <v>402</v>
      </c>
      <c r="W896">
        <v>60</v>
      </c>
    </row>
    <row r="897" spans="1:23" x14ac:dyDescent="0.2">
      <c r="A897" t="s">
        <v>977</v>
      </c>
      <c r="B897" t="s">
        <v>258</v>
      </c>
      <c r="C897" t="s">
        <v>105</v>
      </c>
      <c r="D897" t="s">
        <v>313</v>
      </c>
      <c r="E897">
        <v>250</v>
      </c>
      <c r="F897">
        <v>0.1</v>
      </c>
      <c r="G897">
        <v>25</v>
      </c>
      <c r="T897" t="s">
        <v>245</v>
      </c>
      <c r="U897" t="s">
        <v>1046</v>
      </c>
      <c r="V897" t="s">
        <v>1051</v>
      </c>
      <c r="W897">
        <v>70</v>
      </c>
    </row>
    <row r="898" spans="1:23" x14ac:dyDescent="0.2">
      <c r="A898" t="s">
        <v>977</v>
      </c>
      <c r="B898" t="s">
        <v>258</v>
      </c>
      <c r="C898" t="s">
        <v>108</v>
      </c>
      <c r="D898" t="s">
        <v>323</v>
      </c>
      <c r="E898">
        <v>30</v>
      </c>
      <c r="F898">
        <v>0.1</v>
      </c>
      <c r="G898">
        <v>3</v>
      </c>
      <c r="T898" t="s">
        <v>245</v>
      </c>
      <c r="U898" t="s">
        <v>1047</v>
      </c>
      <c r="V898" t="s">
        <v>1052</v>
      </c>
      <c r="W898">
        <v>70</v>
      </c>
    </row>
    <row r="899" spans="1:23" x14ac:dyDescent="0.2">
      <c r="A899" t="s">
        <v>974</v>
      </c>
      <c r="B899" t="s">
        <v>262</v>
      </c>
      <c r="C899" t="s">
        <v>94</v>
      </c>
      <c r="D899" t="s">
        <v>280</v>
      </c>
      <c r="E899">
        <v>1</v>
      </c>
      <c r="F899">
        <v>3.5</v>
      </c>
      <c r="G899">
        <v>3.5</v>
      </c>
      <c r="T899" t="s">
        <v>245</v>
      </c>
      <c r="U899" t="s">
        <v>1048</v>
      </c>
      <c r="V899" t="s">
        <v>1053</v>
      </c>
      <c r="W899">
        <v>250</v>
      </c>
    </row>
    <row r="900" spans="1:23" x14ac:dyDescent="0.2">
      <c r="A900" t="s">
        <v>974</v>
      </c>
      <c r="B900" t="s">
        <v>262</v>
      </c>
      <c r="C900" t="s">
        <v>95</v>
      </c>
      <c r="D900" t="s">
        <v>281</v>
      </c>
      <c r="E900">
        <v>2</v>
      </c>
      <c r="F900">
        <v>2</v>
      </c>
      <c r="G900">
        <v>4</v>
      </c>
      <c r="T900" t="s">
        <v>245</v>
      </c>
      <c r="U900" t="s">
        <v>1049</v>
      </c>
      <c r="V900" t="s">
        <v>1054</v>
      </c>
      <c r="W900">
        <v>750</v>
      </c>
    </row>
    <row r="901" spans="1:23" x14ac:dyDescent="0.2">
      <c r="A901" t="s">
        <v>974</v>
      </c>
      <c r="B901" t="s">
        <v>262</v>
      </c>
      <c r="C901" t="s">
        <v>44</v>
      </c>
      <c r="D901" t="s">
        <v>324</v>
      </c>
      <c r="E901">
        <v>0.25</v>
      </c>
      <c r="F901">
        <v>65</v>
      </c>
      <c r="G901">
        <v>16.25</v>
      </c>
      <c r="T901" t="s">
        <v>245</v>
      </c>
      <c r="U901" t="s">
        <v>1050</v>
      </c>
      <c r="V901" t="s">
        <v>1055</v>
      </c>
      <c r="W901">
        <v>0</v>
      </c>
    </row>
    <row r="902" spans="1:23" x14ac:dyDescent="0.2">
      <c r="A902" t="s">
        <v>974</v>
      </c>
      <c r="B902" t="s">
        <v>262</v>
      </c>
      <c r="C902" t="s">
        <v>50</v>
      </c>
      <c r="D902" t="s">
        <v>357</v>
      </c>
      <c r="E902">
        <v>0.25</v>
      </c>
      <c r="F902">
        <v>151</v>
      </c>
      <c r="G902">
        <v>37.75</v>
      </c>
      <c r="T902" t="s">
        <v>244</v>
      </c>
      <c r="U902" t="s">
        <v>1042</v>
      </c>
      <c r="V902" t="s">
        <v>401</v>
      </c>
      <c r="W902">
        <v>50</v>
      </c>
    </row>
    <row r="903" spans="1:23" x14ac:dyDescent="0.2">
      <c r="A903" t="s">
        <v>974</v>
      </c>
      <c r="B903" t="s">
        <v>262</v>
      </c>
      <c r="C903" t="s">
        <v>53</v>
      </c>
      <c r="D903" t="s">
        <v>325</v>
      </c>
      <c r="E903">
        <v>1.45</v>
      </c>
      <c r="F903">
        <v>120</v>
      </c>
      <c r="G903">
        <v>174</v>
      </c>
      <c r="T903" t="s">
        <v>244</v>
      </c>
      <c r="U903" t="s">
        <v>1043</v>
      </c>
      <c r="V903" t="s">
        <v>272</v>
      </c>
      <c r="W903">
        <v>690</v>
      </c>
    </row>
    <row r="904" spans="1:23" x14ac:dyDescent="0.2">
      <c r="A904" t="s">
        <v>974</v>
      </c>
      <c r="B904" t="s">
        <v>262</v>
      </c>
      <c r="C904" t="s">
        <v>60</v>
      </c>
      <c r="D904" t="s">
        <v>337</v>
      </c>
      <c r="E904">
        <v>0.02</v>
      </c>
      <c r="F904">
        <v>130</v>
      </c>
      <c r="G904">
        <v>2.6</v>
      </c>
      <c r="T904" t="s">
        <v>244</v>
      </c>
      <c r="U904" t="s">
        <v>1044</v>
      </c>
      <c r="V904" t="s">
        <v>405</v>
      </c>
      <c r="W904">
        <v>100</v>
      </c>
    </row>
    <row r="905" spans="1:23" x14ac:dyDescent="0.2">
      <c r="A905" t="s">
        <v>974</v>
      </c>
      <c r="B905" t="s">
        <v>262</v>
      </c>
      <c r="C905" t="s">
        <v>496</v>
      </c>
      <c r="D905" t="s">
        <v>497</v>
      </c>
      <c r="E905">
        <v>0.2</v>
      </c>
      <c r="F905">
        <v>190</v>
      </c>
      <c r="G905">
        <v>38</v>
      </c>
      <c r="T905" t="s">
        <v>244</v>
      </c>
      <c r="U905" t="s">
        <v>1045</v>
      </c>
      <c r="V905" t="s">
        <v>402</v>
      </c>
      <c r="W905">
        <v>60</v>
      </c>
    </row>
    <row r="906" spans="1:23" x14ac:dyDescent="0.2">
      <c r="A906" t="s">
        <v>974</v>
      </c>
      <c r="B906" t="s">
        <v>262</v>
      </c>
      <c r="C906" t="s">
        <v>66</v>
      </c>
      <c r="D906" t="s">
        <v>353</v>
      </c>
      <c r="E906">
        <v>0.95</v>
      </c>
      <c r="F906">
        <v>190</v>
      </c>
      <c r="G906">
        <v>180.5</v>
      </c>
      <c r="T906" t="s">
        <v>244</v>
      </c>
      <c r="U906" t="s">
        <v>1046</v>
      </c>
      <c r="V906" t="s">
        <v>1051</v>
      </c>
      <c r="W906">
        <v>70</v>
      </c>
    </row>
    <row r="907" spans="1:23" x14ac:dyDescent="0.2">
      <c r="A907" t="s">
        <v>974</v>
      </c>
      <c r="B907" t="s">
        <v>262</v>
      </c>
      <c r="C907" t="s">
        <v>69</v>
      </c>
      <c r="D907" t="s">
        <v>288</v>
      </c>
      <c r="E907">
        <v>0.25</v>
      </c>
      <c r="F907">
        <v>190</v>
      </c>
      <c r="G907">
        <v>47.5</v>
      </c>
      <c r="T907" t="s">
        <v>244</v>
      </c>
      <c r="U907" t="s">
        <v>1047</v>
      </c>
      <c r="V907" t="s">
        <v>1052</v>
      </c>
      <c r="W907">
        <v>70</v>
      </c>
    </row>
    <row r="908" spans="1:23" x14ac:dyDescent="0.2">
      <c r="A908" t="s">
        <v>974</v>
      </c>
      <c r="B908" t="s">
        <v>262</v>
      </c>
      <c r="C908" t="s">
        <v>47</v>
      </c>
      <c r="D908" t="s">
        <v>328</v>
      </c>
      <c r="E908">
        <v>0.15</v>
      </c>
      <c r="F908">
        <v>235</v>
      </c>
      <c r="G908">
        <v>35.25</v>
      </c>
      <c r="T908" t="s">
        <v>244</v>
      </c>
      <c r="U908" t="s">
        <v>1048</v>
      </c>
      <c r="V908" t="s">
        <v>1053</v>
      </c>
      <c r="W908">
        <v>250</v>
      </c>
    </row>
    <row r="909" spans="1:23" x14ac:dyDescent="0.2">
      <c r="A909" t="s">
        <v>974</v>
      </c>
      <c r="B909" t="s">
        <v>262</v>
      </c>
      <c r="C909" t="s">
        <v>48</v>
      </c>
      <c r="D909" t="s">
        <v>359</v>
      </c>
      <c r="E909">
        <v>7.4999999999999997E-2</v>
      </c>
      <c r="F909">
        <v>412</v>
      </c>
      <c r="G909">
        <v>30.9</v>
      </c>
      <c r="T909" t="s">
        <v>244</v>
      </c>
      <c r="U909" t="s">
        <v>1049</v>
      </c>
      <c r="V909" t="s">
        <v>1054</v>
      </c>
      <c r="W909">
        <v>750</v>
      </c>
    </row>
    <row r="910" spans="1:23" x14ac:dyDescent="0.2">
      <c r="A910" t="s">
        <v>974</v>
      </c>
      <c r="B910" t="s">
        <v>262</v>
      </c>
      <c r="C910" t="s">
        <v>49</v>
      </c>
      <c r="D910" t="s">
        <v>290</v>
      </c>
      <c r="E910">
        <v>7.0000000000000001E-3</v>
      </c>
      <c r="F910">
        <v>248</v>
      </c>
      <c r="G910">
        <v>1.736</v>
      </c>
      <c r="T910" t="s">
        <v>244</v>
      </c>
      <c r="U910" t="s">
        <v>1050</v>
      </c>
      <c r="V910" t="s">
        <v>1055</v>
      </c>
      <c r="W910">
        <v>0</v>
      </c>
    </row>
    <row r="911" spans="1:23" x14ac:dyDescent="0.2">
      <c r="A911" t="s">
        <v>974</v>
      </c>
      <c r="B911" t="s">
        <v>262</v>
      </c>
      <c r="C911" t="s">
        <v>579</v>
      </c>
      <c r="D911" t="s">
        <v>580</v>
      </c>
      <c r="E911">
        <v>1</v>
      </c>
      <c r="F911">
        <v>4</v>
      </c>
      <c r="G911">
        <v>4</v>
      </c>
      <c r="T911" t="s">
        <v>243</v>
      </c>
      <c r="U911" t="s">
        <v>1042</v>
      </c>
      <c r="V911" t="s">
        <v>401</v>
      </c>
      <c r="W911">
        <v>50</v>
      </c>
    </row>
    <row r="912" spans="1:23" x14ac:dyDescent="0.2">
      <c r="A912" t="s">
        <v>974</v>
      </c>
      <c r="B912" t="s">
        <v>262</v>
      </c>
      <c r="C912" t="s">
        <v>581</v>
      </c>
      <c r="D912" t="s">
        <v>582</v>
      </c>
      <c r="E912">
        <v>1</v>
      </c>
      <c r="F912">
        <v>4</v>
      </c>
      <c r="G912">
        <v>4</v>
      </c>
      <c r="T912" t="s">
        <v>243</v>
      </c>
      <c r="U912" t="s">
        <v>1043</v>
      </c>
      <c r="V912" t="s">
        <v>272</v>
      </c>
      <c r="W912">
        <v>690</v>
      </c>
    </row>
    <row r="913" spans="1:23" x14ac:dyDescent="0.2">
      <c r="A913" t="s">
        <v>974</v>
      </c>
      <c r="B913" t="s">
        <v>262</v>
      </c>
      <c r="C913" t="s">
        <v>19</v>
      </c>
      <c r="D913" t="s">
        <v>329</v>
      </c>
      <c r="E913">
        <v>3</v>
      </c>
      <c r="F913">
        <v>2.9</v>
      </c>
      <c r="G913">
        <v>8.6999999999999993</v>
      </c>
      <c r="T913" t="s">
        <v>243</v>
      </c>
      <c r="U913" t="s">
        <v>1044</v>
      </c>
      <c r="V913" t="s">
        <v>405</v>
      </c>
      <c r="W913">
        <v>100</v>
      </c>
    </row>
    <row r="914" spans="1:23" x14ac:dyDescent="0.2">
      <c r="A914" t="s">
        <v>974</v>
      </c>
      <c r="B914" t="s">
        <v>262</v>
      </c>
      <c r="C914" t="s">
        <v>20</v>
      </c>
      <c r="D914" t="s">
        <v>330</v>
      </c>
      <c r="E914">
        <v>3</v>
      </c>
      <c r="F914">
        <v>2.9</v>
      </c>
      <c r="G914">
        <v>8.6999999999999993</v>
      </c>
      <c r="T914" t="s">
        <v>243</v>
      </c>
      <c r="U914" t="s">
        <v>1045</v>
      </c>
      <c r="V914" t="s">
        <v>402</v>
      </c>
      <c r="W914">
        <v>60</v>
      </c>
    </row>
    <row r="915" spans="1:23" x14ac:dyDescent="0.2">
      <c r="A915" t="s">
        <v>974</v>
      </c>
      <c r="B915" t="s">
        <v>262</v>
      </c>
      <c r="C915" t="s">
        <v>24</v>
      </c>
      <c r="D915" t="s">
        <v>360</v>
      </c>
      <c r="E915">
        <v>2</v>
      </c>
      <c r="F915">
        <v>2.2000000000000002</v>
      </c>
      <c r="G915">
        <v>4.4000000000000004</v>
      </c>
      <c r="T915" t="s">
        <v>243</v>
      </c>
      <c r="U915" t="s">
        <v>1046</v>
      </c>
      <c r="V915" t="s">
        <v>1051</v>
      </c>
      <c r="W915">
        <v>70</v>
      </c>
    </row>
    <row r="916" spans="1:23" x14ac:dyDescent="0.2">
      <c r="A916" t="s">
        <v>974</v>
      </c>
      <c r="B916" t="s">
        <v>262</v>
      </c>
      <c r="C916" t="s">
        <v>26</v>
      </c>
      <c r="D916" t="s">
        <v>361</v>
      </c>
      <c r="E916">
        <v>16</v>
      </c>
      <c r="F916">
        <v>1.5</v>
      </c>
      <c r="G916">
        <v>24</v>
      </c>
      <c r="T916" t="s">
        <v>243</v>
      </c>
      <c r="U916" t="s">
        <v>1047</v>
      </c>
      <c r="V916" t="s">
        <v>1052</v>
      </c>
      <c r="W916">
        <v>70</v>
      </c>
    </row>
    <row r="917" spans="1:23" x14ac:dyDescent="0.2">
      <c r="A917" t="s">
        <v>974</v>
      </c>
      <c r="B917" t="s">
        <v>262</v>
      </c>
      <c r="C917" t="s">
        <v>29</v>
      </c>
      <c r="D917" t="s">
        <v>292</v>
      </c>
      <c r="E917">
        <v>0.76</v>
      </c>
      <c r="F917">
        <v>27</v>
      </c>
      <c r="G917">
        <v>20.52</v>
      </c>
      <c r="T917" t="s">
        <v>243</v>
      </c>
      <c r="U917" t="s">
        <v>1048</v>
      </c>
      <c r="V917" t="s">
        <v>1053</v>
      </c>
      <c r="W917">
        <v>250</v>
      </c>
    </row>
    <row r="918" spans="1:23" x14ac:dyDescent="0.2">
      <c r="A918" t="s">
        <v>974</v>
      </c>
      <c r="B918" t="s">
        <v>262</v>
      </c>
      <c r="C918" t="s">
        <v>30</v>
      </c>
      <c r="D918" t="s">
        <v>332</v>
      </c>
      <c r="E918">
        <v>2</v>
      </c>
      <c r="F918">
        <v>6</v>
      </c>
      <c r="G918">
        <v>12</v>
      </c>
      <c r="T918" t="s">
        <v>243</v>
      </c>
      <c r="U918" t="s">
        <v>1049</v>
      </c>
      <c r="V918" t="s">
        <v>1054</v>
      </c>
      <c r="W918">
        <v>750</v>
      </c>
    </row>
    <row r="919" spans="1:23" x14ac:dyDescent="0.2">
      <c r="A919" t="s">
        <v>974</v>
      </c>
      <c r="B919" t="s">
        <v>262</v>
      </c>
      <c r="C919" t="s">
        <v>104</v>
      </c>
      <c r="D919" t="s">
        <v>343</v>
      </c>
      <c r="E919">
        <v>1.4999999999999999E-2</v>
      </c>
      <c r="F919">
        <v>890</v>
      </c>
      <c r="G919">
        <v>13.35</v>
      </c>
      <c r="T919" t="s">
        <v>243</v>
      </c>
      <c r="U919" t="s">
        <v>1050</v>
      </c>
      <c r="V919" t="s">
        <v>1055</v>
      </c>
      <c r="W919">
        <v>0</v>
      </c>
    </row>
    <row r="920" spans="1:23" x14ac:dyDescent="0.2">
      <c r="A920" t="s">
        <v>974</v>
      </c>
      <c r="B920" t="s">
        <v>262</v>
      </c>
      <c r="C920" t="s">
        <v>121</v>
      </c>
      <c r="D920" t="s">
        <v>301</v>
      </c>
      <c r="E920">
        <v>1</v>
      </c>
      <c r="F920">
        <v>0.95</v>
      </c>
      <c r="G920">
        <v>0.95</v>
      </c>
      <c r="T920" t="s">
        <v>246</v>
      </c>
      <c r="U920" t="s">
        <v>1042</v>
      </c>
      <c r="V920" t="s">
        <v>401</v>
      </c>
      <c r="W920">
        <v>50</v>
      </c>
    </row>
    <row r="921" spans="1:23" x14ac:dyDescent="0.2">
      <c r="A921" t="s">
        <v>974</v>
      </c>
      <c r="B921" t="s">
        <v>262</v>
      </c>
      <c r="C921" t="s">
        <v>122</v>
      </c>
      <c r="D921" t="s">
        <v>302</v>
      </c>
      <c r="E921">
        <v>1</v>
      </c>
      <c r="F921">
        <v>4.2</v>
      </c>
      <c r="G921">
        <v>4.2</v>
      </c>
      <c r="T921" t="s">
        <v>246</v>
      </c>
      <c r="U921" t="s">
        <v>1043</v>
      </c>
      <c r="V921" t="s">
        <v>272</v>
      </c>
      <c r="W921">
        <v>675</v>
      </c>
    </row>
    <row r="922" spans="1:23" x14ac:dyDescent="0.2">
      <c r="A922" t="s">
        <v>974</v>
      </c>
      <c r="B922" t="s">
        <v>262</v>
      </c>
      <c r="C922" t="s">
        <v>4</v>
      </c>
      <c r="D922" t="s">
        <v>304</v>
      </c>
      <c r="E922">
        <v>7.3</v>
      </c>
      <c r="F922">
        <v>10.1</v>
      </c>
      <c r="G922">
        <v>73.73</v>
      </c>
      <c r="T922" t="s">
        <v>246</v>
      </c>
      <c r="U922" t="s">
        <v>1044</v>
      </c>
      <c r="V922" t="s">
        <v>405</v>
      </c>
      <c r="W922">
        <v>100</v>
      </c>
    </row>
    <row r="923" spans="1:23" x14ac:dyDescent="0.2">
      <c r="A923" t="s">
        <v>974</v>
      </c>
      <c r="B923" t="s">
        <v>262</v>
      </c>
      <c r="C923" t="s">
        <v>5</v>
      </c>
      <c r="D923" t="s">
        <v>305</v>
      </c>
      <c r="E923">
        <v>4.0999999999999996</v>
      </c>
      <c r="F923">
        <v>11.5</v>
      </c>
      <c r="G923">
        <v>47.15</v>
      </c>
      <c r="T923" t="s">
        <v>246</v>
      </c>
      <c r="U923" t="s">
        <v>1045</v>
      </c>
      <c r="V923" t="s">
        <v>402</v>
      </c>
      <c r="W923">
        <v>60</v>
      </c>
    </row>
    <row r="924" spans="1:23" x14ac:dyDescent="0.2">
      <c r="A924" t="s">
        <v>974</v>
      </c>
      <c r="B924" t="s">
        <v>262</v>
      </c>
      <c r="C924" t="s">
        <v>6</v>
      </c>
      <c r="D924" t="s">
        <v>306</v>
      </c>
      <c r="E924">
        <v>0.8</v>
      </c>
      <c r="F924">
        <v>16.8</v>
      </c>
      <c r="G924">
        <v>13.44</v>
      </c>
      <c r="T924" t="s">
        <v>246</v>
      </c>
      <c r="U924" t="s">
        <v>1046</v>
      </c>
      <c r="V924" t="s">
        <v>1051</v>
      </c>
      <c r="W924">
        <v>70</v>
      </c>
    </row>
    <row r="925" spans="1:23" x14ac:dyDescent="0.2">
      <c r="A925" t="s">
        <v>974</v>
      </c>
      <c r="B925" t="s">
        <v>262</v>
      </c>
      <c r="C925" t="s">
        <v>7</v>
      </c>
      <c r="D925" t="s">
        <v>307</v>
      </c>
      <c r="E925">
        <v>0.35</v>
      </c>
      <c r="F925">
        <v>6.7</v>
      </c>
      <c r="G925">
        <v>2.3450000000000002</v>
      </c>
      <c r="T925" t="s">
        <v>246</v>
      </c>
      <c r="U925" t="s">
        <v>1047</v>
      </c>
      <c r="V925" t="s">
        <v>1052</v>
      </c>
      <c r="W925">
        <v>70</v>
      </c>
    </row>
    <row r="926" spans="1:23" x14ac:dyDescent="0.2">
      <c r="A926" t="s">
        <v>974</v>
      </c>
      <c r="B926" t="s">
        <v>262</v>
      </c>
      <c r="C926" t="s">
        <v>12</v>
      </c>
      <c r="D926" t="s">
        <v>308</v>
      </c>
      <c r="E926">
        <v>0.45</v>
      </c>
      <c r="F926">
        <v>7</v>
      </c>
      <c r="G926">
        <v>3.15</v>
      </c>
      <c r="T926" t="s">
        <v>246</v>
      </c>
      <c r="U926" t="s">
        <v>1048</v>
      </c>
      <c r="V926" t="s">
        <v>1053</v>
      </c>
      <c r="W926">
        <v>250</v>
      </c>
    </row>
    <row r="927" spans="1:23" x14ac:dyDescent="0.2">
      <c r="A927" t="s">
        <v>974</v>
      </c>
      <c r="B927" t="s">
        <v>262</v>
      </c>
      <c r="C927" t="s">
        <v>105</v>
      </c>
      <c r="D927" t="s">
        <v>313</v>
      </c>
      <c r="E927">
        <v>50</v>
      </c>
      <c r="F927">
        <v>0.1</v>
      </c>
      <c r="G927">
        <v>5</v>
      </c>
      <c r="T927" t="s">
        <v>246</v>
      </c>
      <c r="U927" t="s">
        <v>1049</v>
      </c>
      <c r="V927" t="s">
        <v>1054</v>
      </c>
      <c r="W927">
        <v>750</v>
      </c>
    </row>
    <row r="928" spans="1:23" x14ac:dyDescent="0.2">
      <c r="A928" t="s">
        <v>974</v>
      </c>
      <c r="B928" t="s">
        <v>262</v>
      </c>
      <c r="C928" t="s">
        <v>107</v>
      </c>
      <c r="D928" t="s">
        <v>316</v>
      </c>
      <c r="E928">
        <v>30</v>
      </c>
      <c r="F928">
        <v>0.1</v>
      </c>
      <c r="G928">
        <v>3</v>
      </c>
      <c r="T928" t="s">
        <v>246</v>
      </c>
      <c r="U928" t="s">
        <v>1050</v>
      </c>
      <c r="V928" t="s">
        <v>1055</v>
      </c>
      <c r="W928">
        <v>0</v>
      </c>
    </row>
    <row r="929" spans="1:23" x14ac:dyDescent="0.2">
      <c r="A929" t="s">
        <v>974</v>
      </c>
      <c r="B929" t="s">
        <v>262</v>
      </c>
      <c r="C929" t="s">
        <v>120</v>
      </c>
      <c r="D929" t="s">
        <v>340</v>
      </c>
      <c r="E929">
        <v>200</v>
      </c>
      <c r="F929">
        <v>0.1</v>
      </c>
      <c r="G929">
        <v>20</v>
      </c>
      <c r="T929" t="s">
        <v>251</v>
      </c>
      <c r="U929" t="s">
        <v>1042</v>
      </c>
      <c r="V929" t="s">
        <v>401</v>
      </c>
      <c r="W929">
        <v>50</v>
      </c>
    </row>
    <row r="930" spans="1:23" x14ac:dyDescent="0.2">
      <c r="A930" t="s">
        <v>976</v>
      </c>
      <c r="B930" t="s">
        <v>257</v>
      </c>
      <c r="C930" t="s">
        <v>94</v>
      </c>
      <c r="D930" t="s">
        <v>280</v>
      </c>
      <c r="E930">
        <v>1</v>
      </c>
      <c r="F930">
        <v>3.5</v>
      </c>
      <c r="G930">
        <v>3.5</v>
      </c>
      <c r="T930" t="s">
        <v>251</v>
      </c>
      <c r="U930" t="s">
        <v>1043</v>
      </c>
      <c r="V930" t="s">
        <v>272</v>
      </c>
      <c r="W930">
        <v>675</v>
      </c>
    </row>
    <row r="931" spans="1:23" x14ac:dyDescent="0.2">
      <c r="A931" t="s">
        <v>976</v>
      </c>
      <c r="B931" t="s">
        <v>257</v>
      </c>
      <c r="C931" t="s">
        <v>95</v>
      </c>
      <c r="D931" t="s">
        <v>281</v>
      </c>
      <c r="E931">
        <v>2</v>
      </c>
      <c r="F931">
        <v>2</v>
      </c>
      <c r="G931">
        <v>4</v>
      </c>
      <c r="T931" t="s">
        <v>251</v>
      </c>
      <c r="U931" t="s">
        <v>1044</v>
      </c>
      <c r="V931" t="s">
        <v>405</v>
      </c>
      <c r="W931">
        <v>100</v>
      </c>
    </row>
    <row r="932" spans="1:23" x14ac:dyDescent="0.2">
      <c r="A932" t="s">
        <v>976</v>
      </c>
      <c r="B932" t="s">
        <v>257</v>
      </c>
      <c r="C932" t="s">
        <v>44</v>
      </c>
      <c r="D932" t="s">
        <v>324</v>
      </c>
      <c r="E932">
        <v>0.25</v>
      </c>
      <c r="F932">
        <v>65</v>
      </c>
      <c r="G932">
        <v>16.25</v>
      </c>
      <c r="T932" t="s">
        <v>251</v>
      </c>
      <c r="U932" t="s">
        <v>1045</v>
      </c>
      <c r="V932" t="s">
        <v>402</v>
      </c>
      <c r="W932">
        <v>60</v>
      </c>
    </row>
    <row r="933" spans="1:23" x14ac:dyDescent="0.2">
      <c r="A933" t="s">
        <v>976</v>
      </c>
      <c r="B933" t="s">
        <v>257</v>
      </c>
      <c r="C933" t="s">
        <v>50</v>
      </c>
      <c r="D933" t="s">
        <v>357</v>
      </c>
      <c r="E933">
        <v>0.25</v>
      </c>
      <c r="F933">
        <v>151</v>
      </c>
      <c r="G933">
        <v>37.75</v>
      </c>
      <c r="T933" t="s">
        <v>251</v>
      </c>
      <c r="U933" t="s">
        <v>1046</v>
      </c>
      <c r="V933" t="s">
        <v>1051</v>
      </c>
      <c r="W933">
        <v>70</v>
      </c>
    </row>
    <row r="934" spans="1:23" x14ac:dyDescent="0.2">
      <c r="A934" t="s">
        <v>976</v>
      </c>
      <c r="B934" t="s">
        <v>257</v>
      </c>
      <c r="C934" t="s">
        <v>53</v>
      </c>
      <c r="D934" t="s">
        <v>325</v>
      </c>
      <c r="E934">
        <v>1.45</v>
      </c>
      <c r="F934">
        <v>120</v>
      </c>
      <c r="G934">
        <v>174</v>
      </c>
      <c r="T934" t="s">
        <v>251</v>
      </c>
      <c r="U934" t="s">
        <v>1047</v>
      </c>
      <c r="V934" t="s">
        <v>1052</v>
      </c>
      <c r="W934">
        <v>70</v>
      </c>
    </row>
    <row r="935" spans="1:23" x14ac:dyDescent="0.2">
      <c r="A935" t="s">
        <v>976</v>
      </c>
      <c r="B935" t="s">
        <v>257</v>
      </c>
      <c r="C935" t="s">
        <v>60</v>
      </c>
      <c r="D935" t="s">
        <v>337</v>
      </c>
      <c r="E935">
        <v>0.02</v>
      </c>
      <c r="F935">
        <v>130</v>
      </c>
      <c r="G935">
        <v>2.6</v>
      </c>
      <c r="T935" t="s">
        <v>251</v>
      </c>
      <c r="U935" t="s">
        <v>1048</v>
      </c>
      <c r="V935" t="s">
        <v>1053</v>
      </c>
      <c r="W935">
        <v>250</v>
      </c>
    </row>
    <row r="936" spans="1:23" x14ac:dyDescent="0.2">
      <c r="A936" t="s">
        <v>976</v>
      </c>
      <c r="B936" t="s">
        <v>257</v>
      </c>
      <c r="C936" t="s">
        <v>496</v>
      </c>
      <c r="D936" t="s">
        <v>497</v>
      </c>
      <c r="E936">
        <v>0.2</v>
      </c>
      <c r="F936">
        <v>190</v>
      </c>
      <c r="G936">
        <v>38</v>
      </c>
      <c r="T936" t="s">
        <v>251</v>
      </c>
      <c r="U936" t="s">
        <v>1049</v>
      </c>
      <c r="V936" t="s">
        <v>1054</v>
      </c>
      <c r="W936">
        <v>750</v>
      </c>
    </row>
    <row r="937" spans="1:23" x14ac:dyDescent="0.2">
      <c r="A937" t="s">
        <v>976</v>
      </c>
      <c r="B937" t="s">
        <v>257</v>
      </c>
      <c r="C937" t="s">
        <v>62</v>
      </c>
      <c r="D937" t="s">
        <v>363</v>
      </c>
      <c r="E937">
        <v>0.95</v>
      </c>
      <c r="F937">
        <v>190</v>
      </c>
      <c r="G937">
        <v>180.5</v>
      </c>
      <c r="T937" t="s">
        <v>251</v>
      </c>
      <c r="U937" t="s">
        <v>1050</v>
      </c>
      <c r="V937" t="s">
        <v>1055</v>
      </c>
      <c r="W937">
        <v>0</v>
      </c>
    </row>
    <row r="938" spans="1:23" x14ac:dyDescent="0.2">
      <c r="A938" t="s">
        <v>976</v>
      </c>
      <c r="B938" t="s">
        <v>257</v>
      </c>
      <c r="C938" t="s">
        <v>69</v>
      </c>
      <c r="D938" t="s">
        <v>288</v>
      </c>
      <c r="E938">
        <v>0.25</v>
      </c>
      <c r="F938">
        <v>190</v>
      </c>
      <c r="G938">
        <v>47.5</v>
      </c>
      <c r="T938" t="s">
        <v>263</v>
      </c>
      <c r="U938" t="s">
        <v>1042</v>
      </c>
      <c r="V938" t="s">
        <v>401</v>
      </c>
      <c r="W938">
        <v>50</v>
      </c>
    </row>
    <row r="939" spans="1:23" x14ac:dyDescent="0.2">
      <c r="A939" t="s">
        <v>976</v>
      </c>
      <c r="B939" t="s">
        <v>257</v>
      </c>
      <c r="C939" t="s">
        <v>47</v>
      </c>
      <c r="D939" t="s">
        <v>328</v>
      </c>
      <c r="E939">
        <v>0.15</v>
      </c>
      <c r="F939">
        <v>235</v>
      </c>
      <c r="G939">
        <v>35.25</v>
      </c>
      <c r="T939" t="s">
        <v>263</v>
      </c>
      <c r="U939" t="s">
        <v>1043</v>
      </c>
      <c r="V939" t="s">
        <v>272</v>
      </c>
      <c r="W939">
        <v>1</v>
      </c>
    </row>
    <row r="940" spans="1:23" x14ac:dyDescent="0.2">
      <c r="A940" t="s">
        <v>976</v>
      </c>
      <c r="B940" t="s">
        <v>257</v>
      </c>
      <c r="C940" t="s">
        <v>48</v>
      </c>
      <c r="D940" t="s">
        <v>359</v>
      </c>
      <c r="E940">
        <v>7.4999999999999997E-2</v>
      </c>
      <c r="F940">
        <v>412</v>
      </c>
      <c r="G940">
        <v>30.9</v>
      </c>
      <c r="T940" t="s">
        <v>263</v>
      </c>
      <c r="U940" t="s">
        <v>1044</v>
      </c>
      <c r="V940" t="s">
        <v>405</v>
      </c>
      <c r="W940">
        <v>100</v>
      </c>
    </row>
    <row r="941" spans="1:23" x14ac:dyDescent="0.2">
      <c r="A941" t="s">
        <v>976</v>
      </c>
      <c r="B941" t="s">
        <v>257</v>
      </c>
      <c r="C941" t="s">
        <v>49</v>
      </c>
      <c r="D941" t="s">
        <v>290</v>
      </c>
      <c r="E941">
        <v>7.0000000000000001E-3</v>
      </c>
      <c r="F941">
        <v>248</v>
      </c>
      <c r="G941">
        <v>1.736</v>
      </c>
      <c r="T941" t="s">
        <v>263</v>
      </c>
      <c r="U941" t="s">
        <v>1045</v>
      </c>
      <c r="V941" t="s">
        <v>402</v>
      </c>
      <c r="W941">
        <v>60</v>
      </c>
    </row>
    <row r="942" spans="1:23" x14ac:dyDescent="0.2">
      <c r="A942" t="s">
        <v>976</v>
      </c>
      <c r="B942" t="s">
        <v>257</v>
      </c>
      <c r="C942" t="s">
        <v>579</v>
      </c>
      <c r="D942" t="s">
        <v>580</v>
      </c>
      <c r="E942">
        <v>1</v>
      </c>
      <c r="F942">
        <v>4</v>
      </c>
      <c r="G942">
        <v>4</v>
      </c>
      <c r="T942" t="s">
        <v>263</v>
      </c>
      <c r="U942" t="s">
        <v>1046</v>
      </c>
      <c r="V942" t="s">
        <v>1051</v>
      </c>
      <c r="W942">
        <v>70</v>
      </c>
    </row>
    <row r="943" spans="1:23" x14ac:dyDescent="0.2">
      <c r="A943" t="s">
        <v>976</v>
      </c>
      <c r="B943" t="s">
        <v>257</v>
      </c>
      <c r="C943" t="s">
        <v>581</v>
      </c>
      <c r="D943" t="s">
        <v>582</v>
      </c>
      <c r="E943">
        <v>1</v>
      </c>
      <c r="F943">
        <v>4</v>
      </c>
      <c r="G943">
        <v>4</v>
      </c>
      <c r="T943" t="s">
        <v>263</v>
      </c>
      <c r="U943" t="s">
        <v>1047</v>
      </c>
      <c r="V943" t="s">
        <v>1052</v>
      </c>
      <c r="W943">
        <v>70</v>
      </c>
    </row>
    <row r="944" spans="1:23" x14ac:dyDescent="0.2">
      <c r="A944" t="s">
        <v>976</v>
      </c>
      <c r="B944" t="s">
        <v>257</v>
      </c>
      <c r="C944" t="s">
        <v>19</v>
      </c>
      <c r="D944" t="s">
        <v>329</v>
      </c>
      <c r="E944">
        <v>3</v>
      </c>
      <c r="F944">
        <v>2.9</v>
      </c>
      <c r="G944">
        <v>8.6999999999999993</v>
      </c>
      <c r="T944" t="s">
        <v>263</v>
      </c>
      <c r="U944" t="s">
        <v>1048</v>
      </c>
      <c r="V944" t="s">
        <v>1053</v>
      </c>
      <c r="W944">
        <v>250</v>
      </c>
    </row>
    <row r="945" spans="1:23" x14ac:dyDescent="0.2">
      <c r="A945" t="s">
        <v>976</v>
      </c>
      <c r="B945" t="s">
        <v>257</v>
      </c>
      <c r="C945" t="s">
        <v>20</v>
      </c>
      <c r="D945" t="s">
        <v>330</v>
      </c>
      <c r="E945">
        <v>3</v>
      </c>
      <c r="F945">
        <v>2.9</v>
      </c>
      <c r="G945">
        <v>8.6999999999999993</v>
      </c>
      <c r="T945" t="s">
        <v>263</v>
      </c>
      <c r="U945" t="s">
        <v>1049</v>
      </c>
      <c r="V945" t="s">
        <v>1054</v>
      </c>
      <c r="W945">
        <v>750</v>
      </c>
    </row>
    <row r="946" spans="1:23" x14ac:dyDescent="0.2">
      <c r="A946" t="s">
        <v>976</v>
      </c>
      <c r="B946" t="s">
        <v>257</v>
      </c>
      <c r="C946" t="s">
        <v>24</v>
      </c>
      <c r="D946" t="s">
        <v>360</v>
      </c>
      <c r="E946">
        <v>2</v>
      </c>
      <c r="F946">
        <v>2.2000000000000002</v>
      </c>
      <c r="G946">
        <v>4.4000000000000004</v>
      </c>
      <c r="T946" t="s">
        <v>263</v>
      </c>
      <c r="U946" t="s">
        <v>1050</v>
      </c>
      <c r="V946" t="s">
        <v>1055</v>
      </c>
      <c r="W946">
        <v>0</v>
      </c>
    </row>
    <row r="947" spans="1:23" x14ac:dyDescent="0.2">
      <c r="A947" t="s">
        <v>976</v>
      </c>
      <c r="B947" t="s">
        <v>257</v>
      </c>
      <c r="C947" t="s">
        <v>26</v>
      </c>
      <c r="D947" t="s">
        <v>361</v>
      </c>
      <c r="E947">
        <v>16</v>
      </c>
      <c r="F947">
        <v>1.5</v>
      </c>
      <c r="G947">
        <v>24</v>
      </c>
      <c r="T947" t="s">
        <v>265</v>
      </c>
      <c r="U947" t="s">
        <v>1042</v>
      </c>
      <c r="V947" t="s">
        <v>401</v>
      </c>
      <c r="W947">
        <v>50</v>
      </c>
    </row>
    <row r="948" spans="1:23" x14ac:dyDescent="0.2">
      <c r="A948" t="s">
        <v>976</v>
      </c>
      <c r="B948" t="s">
        <v>257</v>
      </c>
      <c r="C948" t="s">
        <v>29</v>
      </c>
      <c r="D948" t="s">
        <v>292</v>
      </c>
      <c r="E948">
        <v>0.76</v>
      </c>
      <c r="F948">
        <v>27</v>
      </c>
      <c r="G948">
        <v>20.52</v>
      </c>
      <c r="T948" t="s">
        <v>265</v>
      </c>
      <c r="U948" t="s">
        <v>1043</v>
      </c>
      <c r="V948" t="s">
        <v>272</v>
      </c>
      <c r="W948">
        <v>375</v>
      </c>
    </row>
    <row r="949" spans="1:23" x14ac:dyDescent="0.2">
      <c r="A949" t="s">
        <v>976</v>
      </c>
      <c r="B949" t="s">
        <v>257</v>
      </c>
      <c r="C949" t="s">
        <v>30</v>
      </c>
      <c r="D949" t="s">
        <v>332</v>
      </c>
      <c r="E949">
        <v>2</v>
      </c>
      <c r="F949">
        <v>6</v>
      </c>
      <c r="G949">
        <v>12</v>
      </c>
      <c r="T949" t="s">
        <v>265</v>
      </c>
      <c r="U949" t="s">
        <v>1044</v>
      </c>
      <c r="V949" t="s">
        <v>405</v>
      </c>
      <c r="W949">
        <v>100</v>
      </c>
    </row>
    <row r="950" spans="1:23" x14ac:dyDescent="0.2">
      <c r="A950" t="s">
        <v>976</v>
      </c>
      <c r="B950" t="s">
        <v>257</v>
      </c>
      <c r="C950" t="s">
        <v>104</v>
      </c>
      <c r="D950" t="s">
        <v>343</v>
      </c>
      <c r="E950">
        <v>1.4999999999999999E-2</v>
      </c>
      <c r="F950">
        <v>890</v>
      </c>
      <c r="G950">
        <v>13.35</v>
      </c>
      <c r="T950" t="s">
        <v>265</v>
      </c>
      <c r="U950" t="s">
        <v>1045</v>
      </c>
      <c r="V950" t="s">
        <v>402</v>
      </c>
      <c r="W950">
        <v>60</v>
      </c>
    </row>
    <row r="951" spans="1:23" x14ac:dyDescent="0.2">
      <c r="A951" t="s">
        <v>976</v>
      </c>
      <c r="B951" t="s">
        <v>257</v>
      </c>
      <c r="C951" t="s">
        <v>121</v>
      </c>
      <c r="D951" t="s">
        <v>301</v>
      </c>
      <c r="E951">
        <v>1</v>
      </c>
      <c r="F951">
        <v>0.95</v>
      </c>
      <c r="G951">
        <v>0.95</v>
      </c>
      <c r="T951" t="s">
        <v>265</v>
      </c>
      <c r="U951" t="s">
        <v>1046</v>
      </c>
      <c r="V951" t="s">
        <v>1051</v>
      </c>
      <c r="W951">
        <v>70</v>
      </c>
    </row>
    <row r="952" spans="1:23" x14ac:dyDescent="0.2">
      <c r="A952" t="s">
        <v>976</v>
      </c>
      <c r="B952" t="s">
        <v>257</v>
      </c>
      <c r="C952" t="s">
        <v>122</v>
      </c>
      <c r="D952" t="s">
        <v>302</v>
      </c>
      <c r="E952">
        <v>1</v>
      </c>
      <c r="F952">
        <v>4.2</v>
      </c>
      <c r="G952">
        <v>4.2</v>
      </c>
      <c r="T952" t="s">
        <v>265</v>
      </c>
      <c r="U952" t="s">
        <v>1047</v>
      </c>
      <c r="V952" t="s">
        <v>1052</v>
      </c>
      <c r="W952">
        <v>70</v>
      </c>
    </row>
    <row r="953" spans="1:23" x14ac:dyDescent="0.2">
      <c r="A953" t="s">
        <v>976</v>
      </c>
      <c r="B953" t="s">
        <v>257</v>
      </c>
      <c r="C953" t="s">
        <v>4</v>
      </c>
      <c r="D953" t="s">
        <v>304</v>
      </c>
      <c r="E953">
        <v>7.3</v>
      </c>
      <c r="F953">
        <v>10.1</v>
      </c>
      <c r="G953">
        <v>73.73</v>
      </c>
      <c r="T953" t="s">
        <v>265</v>
      </c>
      <c r="U953" t="s">
        <v>1048</v>
      </c>
      <c r="V953" t="s">
        <v>1053</v>
      </c>
      <c r="W953">
        <v>250</v>
      </c>
    </row>
    <row r="954" spans="1:23" x14ac:dyDescent="0.2">
      <c r="A954" t="s">
        <v>976</v>
      </c>
      <c r="B954" t="s">
        <v>257</v>
      </c>
      <c r="C954" t="s">
        <v>5</v>
      </c>
      <c r="D954" t="s">
        <v>305</v>
      </c>
      <c r="E954">
        <v>4.0999999999999996</v>
      </c>
      <c r="F954">
        <v>11.5</v>
      </c>
      <c r="G954">
        <v>47.15</v>
      </c>
      <c r="T954" t="s">
        <v>265</v>
      </c>
      <c r="U954" t="s">
        <v>1049</v>
      </c>
      <c r="V954" t="s">
        <v>1054</v>
      </c>
      <c r="W954">
        <v>750</v>
      </c>
    </row>
    <row r="955" spans="1:23" x14ac:dyDescent="0.2">
      <c r="A955" t="s">
        <v>976</v>
      </c>
      <c r="B955" t="s">
        <v>257</v>
      </c>
      <c r="C955" t="s">
        <v>6</v>
      </c>
      <c r="D955" t="s">
        <v>306</v>
      </c>
      <c r="E955">
        <v>0.8</v>
      </c>
      <c r="F955">
        <v>16.8</v>
      </c>
      <c r="G955">
        <v>13.44</v>
      </c>
      <c r="T955" t="s">
        <v>265</v>
      </c>
      <c r="U955" t="s">
        <v>1050</v>
      </c>
      <c r="V955" t="s">
        <v>1055</v>
      </c>
      <c r="W955">
        <v>0</v>
      </c>
    </row>
    <row r="956" spans="1:23" x14ac:dyDescent="0.2">
      <c r="A956" t="s">
        <v>976</v>
      </c>
      <c r="B956" t="s">
        <v>257</v>
      </c>
      <c r="C956" t="s">
        <v>7</v>
      </c>
      <c r="D956" t="s">
        <v>307</v>
      </c>
      <c r="E956">
        <v>0.35</v>
      </c>
      <c r="F956">
        <v>6.7</v>
      </c>
      <c r="G956">
        <v>2.3450000000000002</v>
      </c>
      <c r="T956" t="s">
        <v>264</v>
      </c>
      <c r="U956" t="s">
        <v>1042</v>
      </c>
      <c r="V956" t="s">
        <v>401</v>
      </c>
      <c r="W956">
        <v>50</v>
      </c>
    </row>
    <row r="957" spans="1:23" x14ac:dyDescent="0.2">
      <c r="A957" t="s">
        <v>976</v>
      </c>
      <c r="B957" t="s">
        <v>257</v>
      </c>
      <c r="C957" t="s">
        <v>12</v>
      </c>
      <c r="D957" t="s">
        <v>308</v>
      </c>
      <c r="E957">
        <v>0.45</v>
      </c>
      <c r="F957">
        <v>7</v>
      </c>
      <c r="G957">
        <v>3.15</v>
      </c>
      <c r="T957" t="s">
        <v>264</v>
      </c>
      <c r="U957" t="s">
        <v>1043</v>
      </c>
      <c r="V957" t="s">
        <v>272</v>
      </c>
      <c r="W957">
        <v>375</v>
      </c>
    </row>
    <row r="958" spans="1:23" x14ac:dyDescent="0.2">
      <c r="A958" t="s">
        <v>976</v>
      </c>
      <c r="B958" t="s">
        <v>257</v>
      </c>
      <c r="C958" t="s">
        <v>105</v>
      </c>
      <c r="D958" t="s">
        <v>313</v>
      </c>
      <c r="E958">
        <v>50</v>
      </c>
      <c r="F958">
        <v>0.1</v>
      </c>
      <c r="G958">
        <v>5</v>
      </c>
      <c r="T958" t="s">
        <v>264</v>
      </c>
      <c r="U958" t="s">
        <v>1044</v>
      </c>
      <c r="V958" t="s">
        <v>405</v>
      </c>
      <c r="W958">
        <v>100</v>
      </c>
    </row>
    <row r="959" spans="1:23" x14ac:dyDescent="0.2">
      <c r="A959" t="s">
        <v>976</v>
      </c>
      <c r="B959" t="s">
        <v>257</v>
      </c>
      <c r="C959" t="s">
        <v>106</v>
      </c>
      <c r="D959" t="s">
        <v>364</v>
      </c>
      <c r="E959">
        <v>200</v>
      </c>
      <c r="F959">
        <v>0.1</v>
      </c>
      <c r="G959">
        <v>20</v>
      </c>
      <c r="T959" t="s">
        <v>264</v>
      </c>
      <c r="U959" t="s">
        <v>1045</v>
      </c>
      <c r="V959" t="s">
        <v>402</v>
      </c>
      <c r="W959">
        <v>60</v>
      </c>
    </row>
    <row r="960" spans="1:23" x14ac:dyDescent="0.2">
      <c r="A960" t="s">
        <v>976</v>
      </c>
      <c r="B960" t="s">
        <v>257</v>
      </c>
      <c r="C960" t="s">
        <v>107</v>
      </c>
      <c r="D960" t="s">
        <v>316</v>
      </c>
      <c r="E960">
        <v>30</v>
      </c>
      <c r="F960">
        <v>0.1</v>
      </c>
      <c r="G960">
        <v>3</v>
      </c>
      <c r="T960" t="s">
        <v>264</v>
      </c>
      <c r="U960" t="s">
        <v>1046</v>
      </c>
      <c r="V960" t="s">
        <v>1051</v>
      </c>
      <c r="W960">
        <v>70</v>
      </c>
    </row>
    <row r="961" spans="1:23" x14ac:dyDescent="0.2">
      <c r="A961" t="s">
        <v>979</v>
      </c>
      <c r="B961" t="s">
        <v>259</v>
      </c>
      <c r="C961" t="s">
        <v>94</v>
      </c>
      <c r="D961" t="s">
        <v>280</v>
      </c>
      <c r="E961">
        <v>1</v>
      </c>
      <c r="F961">
        <v>3.5</v>
      </c>
      <c r="G961">
        <v>3.5</v>
      </c>
      <c r="T961" t="s">
        <v>264</v>
      </c>
      <c r="U961" t="s">
        <v>1047</v>
      </c>
      <c r="V961" t="s">
        <v>1052</v>
      </c>
      <c r="W961">
        <v>70</v>
      </c>
    </row>
    <row r="962" spans="1:23" x14ac:dyDescent="0.2">
      <c r="A962" t="s">
        <v>979</v>
      </c>
      <c r="B962" t="s">
        <v>259</v>
      </c>
      <c r="C962" t="s">
        <v>95</v>
      </c>
      <c r="D962" t="s">
        <v>281</v>
      </c>
      <c r="E962">
        <v>2</v>
      </c>
      <c r="F962">
        <v>2</v>
      </c>
      <c r="G962">
        <v>4</v>
      </c>
      <c r="T962" t="s">
        <v>264</v>
      </c>
      <c r="U962" t="s">
        <v>1048</v>
      </c>
      <c r="V962" t="s">
        <v>1053</v>
      </c>
      <c r="W962">
        <v>250</v>
      </c>
    </row>
    <row r="963" spans="1:23" x14ac:dyDescent="0.2">
      <c r="A963" t="s">
        <v>979</v>
      </c>
      <c r="B963" t="s">
        <v>259</v>
      </c>
      <c r="C963" t="s">
        <v>44</v>
      </c>
      <c r="D963" t="s">
        <v>324</v>
      </c>
      <c r="E963">
        <v>0.25</v>
      </c>
      <c r="F963">
        <v>65</v>
      </c>
      <c r="G963">
        <v>16.25</v>
      </c>
      <c r="T963" t="s">
        <v>264</v>
      </c>
      <c r="U963" t="s">
        <v>1049</v>
      </c>
      <c r="V963" t="s">
        <v>1054</v>
      </c>
      <c r="W963">
        <v>750</v>
      </c>
    </row>
    <row r="964" spans="1:23" x14ac:dyDescent="0.2">
      <c r="A964" t="s">
        <v>979</v>
      </c>
      <c r="B964" t="s">
        <v>259</v>
      </c>
      <c r="C964" t="s">
        <v>50</v>
      </c>
      <c r="D964" t="s">
        <v>357</v>
      </c>
      <c r="E964">
        <v>0.25</v>
      </c>
      <c r="F964">
        <v>151</v>
      </c>
      <c r="G964">
        <v>37.75</v>
      </c>
      <c r="T964" t="s">
        <v>264</v>
      </c>
      <c r="U964" t="s">
        <v>1050</v>
      </c>
      <c r="V964" t="s">
        <v>1055</v>
      </c>
      <c r="W964">
        <v>0</v>
      </c>
    </row>
    <row r="965" spans="1:23" x14ac:dyDescent="0.2">
      <c r="A965" t="s">
        <v>979</v>
      </c>
      <c r="B965" t="s">
        <v>259</v>
      </c>
      <c r="C965" t="s">
        <v>56</v>
      </c>
      <c r="D965" t="s">
        <v>287</v>
      </c>
      <c r="E965">
        <v>1.45</v>
      </c>
      <c r="F965">
        <v>90</v>
      </c>
      <c r="G965">
        <v>130.5</v>
      </c>
      <c r="T965" t="s">
        <v>231</v>
      </c>
      <c r="U965" t="s">
        <v>1042</v>
      </c>
      <c r="V965" t="s">
        <v>401</v>
      </c>
      <c r="W965">
        <v>50</v>
      </c>
    </row>
    <row r="966" spans="1:23" x14ac:dyDescent="0.2">
      <c r="A966" t="s">
        <v>979</v>
      </c>
      <c r="B966" t="s">
        <v>259</v>
      </c>
      <c r="C966" t="s">
        <v>60</v>
      </c>
      <c r="D966" t="s">
        <v>337</v>
      </c>
      <c r="E966">
        <v>0.02</v>
      </c>
      <c r="F966">
        <v>130</v>
      </c>
      <c r="G966">
        <v>2.6</v>
      </c>
      <c r="T966" t="s">
        <v>231</v>
      </c>
      <c r="U966" t="s">
        <v>1043</v>
      </c>
      <c r="V966" t="s">
        <v>272</v>
      </c>
      <c r="W966">
        <v>375</v>
      </c>
    </row>
    <row r="967" spans="1:23" x14ac:dyDescent="0.2">
      <c r="A967" t="s">
        <v>979</v>
      </c>
      <c r="B967" t="s">
        <v>259</v>
      </c>
      <c r="C967" t="s">
        <v>69</v>
      </c>
      <c r="D967" t="s">
        <v>288</v>
      </c>
      <c r="E967">
        <v>0.25</v>
      </c>
      <c r="F967">
        <v>190</v>
      </c>
      <c r="G967">
        <v>47.5</v>
      </c>
      <c r="T967" t="s">
        <v>231</v>
      </c>
      <c r="U967" t="s">
        <v>1044</v>
      </c>
      <c r="V967" t="s">
        <v>405</v>
      </c>
      <c r="W967">
        <v>100</v>
      </c>
    </row>
    <row r="968" spans="1:23" x14ac:dyDescent="0.2">
      <c r="A968" t="s">
        <v>979</v>
      </c>
      <c r="B968" t="s">
        <v>259</v>
      </c>
      <c r="C968" t="s">
        <v>79</v>
      </c>
      <c r="D968" t="s">
        <v>289</v>
      </c>
      <c r="E968">
        <v>0.2</v>
      </c>
      <c r="F968">
        <v>380</v>
      </c>
      <c r="G968">
        <v>76</v>
      </c>
      <c r="T968" t="s">
        <v>231</v>
      </c>
      <c r="U968" t="s">
        <v>1045</v>
      </c>
      <c r="V968" t="s">
        <v>402</v>
      </c>
      <c r="W968">
        <v>60</v>
      </c>
    </row>
    <row r="969" spans="1:23" x14ac:dyDescent="0.2">
      <c r="A969" t="s">
        <v>979</v>
      </c>
      <c r="B969" t="s">
        <v>259</v>
      </c>
      <c r="C969" t="s">
        <v>82</v>
      </c>
      <c r="D969" t="s">
        <v>319</v>
      </c>
      <c r="E969">
        <v>0.95</v>
      </c>
      <c r="F969">
        <v>380</v>
      </c>
      <c r="G969">
        <v>361</v>
      </c>
      <c r="T969" t="s">
        <v>231</v>
      </c>
      <c r="U969" t="s">
        <v>1046</v>
      </c>
      <c r="V969" t="s">
        <v>1051</v>
      </c>
      <c r="W969">
        <v>70</v>
      </c>
    </row>
    <row r="970" spans="1:23" x14ac:dyDescent="0.2">
      <c r="A970" t="s">
        <v>979</v>
      </c>
      <c r="B970" t="s">
        <v>259</v>
      </c>
      <c r="C970" t="s">
        <v>47</v>
      </c>
      <c r="D970" t="s">
        <v>328</v>
      </c>
      <c r="E970">
        <v>0.15</v>
      </c>
      <c r="F970">
        <v>235</v>
      </c>
      <c r="G970">
        <v>35.25</v>
      </c>
      <c r="T970" t="s">
        <v>231</v>
      </c>
      <c r="U970" t="s">
        <v>1047</v>
      </c>
      <c r="V970" t="s">
        <v>1052</v>
      </c>
      <c r="W970">
        <v>70</v>
      </c>
    </row>
    <row r="971" spans="1:23" x14ac:dyDescent="0.2">
      <c r="A971" t="s">
        <v>979</v>
      </c>
      <c r="B971" t="s">
        <v>259</v>
      </c>
      <c r="C971" t="s">
        <v>48</v>
      </c>
      <c r="D971" t="s">
        <v>359</v>
      </c>
      <c r="E971">
        <v>7.4999999999999997E-2</v>
      </c>
      <c r="F971">
        <v>412</v>
      </c>
      <c r="G971">
        <v>30.9</v>
      </c>
      <c r="T971" t="s">
        <v>231</v>
      </c>
      <c r="U971" t="s">
        <v>1048</v>
      </c>
      <c r="V971" t="s">
        <v>1053</v>
      </c>
      <c r="W971">
        <v>250</v>
      </c>
    </row>
    <row r="972" spans="1:23" x14ac:dyDescent="0.2">
      <c r="A972" t="s">
        <v>979</v>
      </c>
      <c r="B972" t="s">
        <v>259</v>
      </c>
      <c r="C972" t="s">
        <v>49</v>
      </c>
      <c r="D972" t="s">
        <v>290</v>
      </c>
      <c r="E972">
        <v>7.0000000000000001E-3</v>
      </c>
      <c r="F972">
        <v>248</v>
      </c>
      <c r="G972">
        <v>1.736</v>
      </c>
      <c r="T972" t="s">
        <v>231</v>
      </c>
      <c r="U972" t="s">
        <v>1049</v>
      </c>
      <c r="V972" t="s">
        <v>1054</v>
      </c>
      <c r="W972">
        <v>750</v>
      </c>
    </row>
    <row r="973" spans="1:23" x14ac:dyDescent="0.2">
      <c r="A973" t="s">
        <v>979</v>
      </c>
      <c r="B973" t="s">
        <v>259</v>
      </c>
      <c r="C973" t="s">
        <v>579</v>
      </c>
      <c r="D973" t="s">
        <v>580</v>
      </c>
      <c r="E973">
        <v>1</v>
      </c>
      <c r="F973">
        <v>4</v>
      </c>
      <c r="G973">
        <v>4</v>
      </c>
      <c r="T973" t="s">
        <v>231</v>
      </c>
      <c r="U973" t="s">
        <v>1050</v>
      </c>
      <c r="V973" t="s">
        <v>1055</v>
      </c>
      <c r="W973">
        <v>0</v>
      </c>
    </row>
    <row r="974" spans="1:23" x14ac:dyDescent="0.2">
      <c r="A974" t="s">
        <v>979</v>
      </c>
      <c r="B974" t="s">
        <v>259</v>
      </c>
      <c r="C974" t="s">
        <v>581</v>
      </c>
      <c r="D974" t="s">
        <v>582</v>
      </c>
      <c r="E974">
        <v>1</v>
      </c>
      <c r="F974">
        <v>4</v>
      </c>
      <c r="G974">
        <v>4</v>
      </c>
      <c r="T974" t="s">
        <v>237</v>
      </c>
      <c r="U974" t="s">
        <v>1042</v>
      </c>
      <c r="V974" t="s">
        <v>401</v>
      </c>
      <c r="W974">
        <v>50</v>
      </c>
    </row>
    <row r="975" spans="1:23" x14ac:dyDescent="0.2">
      <c r="A975" t="s">
        <v>979</v>
      </c>
      <c r="B975" t="s">
        <v>259</v>
      </c>
      <c r="C975" t="s">
        <v>19</v>
      </c>
      <c r="D975" t="s">
        <v>329</v>
      </c>
      <c r="E975">
        <v>3</v>
      </c>
      <c r="F975">
        <v>2.9</v>
      </c>
      <c r="G975">
        <v>8.6999999999999993</v>
      </c>
      <c r="T975" t="s">
        <v>237</v>
      </c>
      <c r="U975" t="s">
        <v>1043</v>
      </c>
      <c r="V975" t="s">
        <v>272</v>
      </c>
      <c r="W975">
        <v>375</v>
      </c>
    </row>
    <row r="976" spans="1:23" x14ac:dyDescent="0.2">
      <c r="A976" t="s">
        <v>979</v>
      </c>
      <c r="B976" t="s">
        <v>259</v>
      </c>
      <c r="C976" t="s">
        <v>20</v>
      </c>
      <c r="D976" t="s">
        <v>330</v>
      </c>
      <c r="E976">
        <v>3</v>
      </c>
      <c r="F976">
        <v>2.9</v>
      </c>
      <c r="G976">
        <v>8.6999999999999993</v>
      </c>
      <c r="T976" t="s">
        <v>237</v>
      </c>
      <c r="U976" t="s">
        <v>1044</v>
      </c>
      <c r="V976" t="s">
        <v>405</v>
      </c>
      <c r="W976">
        <v>100</v>
      </c>
    </row>
    <row r="977" spans="1:23" x14ac:dyDescent="0.2">
      <c r="A977" t="s">
        <v>979</v>
      </c>
      <c r="B977" t="s">
        <v>259</v>
      </c>
      <c r="C977" t="s">
        <v>24</v>
      </c>
      <c r="D977" t="s">
        <v>360</v>
      </c>
      <c r="E977">
        <v>2</v>
      </c>
      <c r="F977">
        <v>2.2000000000000002</v>
      </c>
      <c r="G977">
        <v>4.4000000000000004</v>
      </c>
      <c r="T977" t="s">
        <v>237</v>
      </c>
      <c r="U977" t="s">
        <v>1045</v>
      </c>
      <c r="V977" t="s">
        <v>402</v>
      </c>
      <c r="W977">
        <v>60</v>
      </c>
    </row>
    <row r="978" spans="1:23" x14ac:dyDescent="0.2">
      <c r="A978" t="s">
        <v>979</v>
      </c>
      <c r="B978" t="s">
        <v>259</v>
      </c>
      <c r="C978" t="s">
        <v>26</v>
      </c>
      <c r="D978" t="s">
        <v>361</v>
      </c>
      <c r="E978">
        <v>16</v>
      </c>
      <c r="F978">
        <v>1.5</v>
      </c>
      <c r="G978">
        <v>24</v>
      </c>
      <c r="T978" t="s">
        <v>237</v>
      </c>
      <c r="U978" t="s">
        <v>1046</v>
      </c>
      <c r="V978" t="s">
        <v>1051</v>
      </c>
      <c r="W978">
        <v>70</v>
      </c>
    </row>
    <row r="979" spans="1:23" x14ac:dyDescent="0.2">
      <c r="A979" t="s">
        <v>979</v>
      </c>
      <c r="B979" t="s">
        <v>259</v>
      </c>
      <c r="C979" t="s">
        <v>29</v>
      </c>
      <c r="D979" t="s">
        <v>292</v>
      </c>
      <c r="E979">
        <v>0.76</v>
      </c>
      <c r="F979">
        <v>27</v>
      </c>
      <c r="G979">
        <v>20.52</v>
      </c>
      <c r="T979" t="s">
        <v>237</v>
      </c>
      <c r="U979" t="s">
        <v>1047</v>
      </c>
      <c r="V979" t="s">
        <v>1052</v>
      </c>
      <c r="W979">
        <v>70</v>
      </c>
    </row>
    <row r="980" spans="1:23" x14ac:dyDescent="0.2">
      <c r="A980" t="s">
        <v>979</v>
      </c>
      <c r="B980" t="s">
        <v>259</v>
      </c>
      <c r="C980" t="s">
        <v>30</v>
      </c>
      <c r="D980" t="s">
        <v>332</v>
      </c>
      <c r="E980">
        <v>2</v>
      </c>
      <c r="F980">
        <v>6</v>
      </c>
      <c r="G980">
        <v>12</v>
      </c>
      <c r="T980" t="s">
        <v>237</v>
      </c>
      <c r="U980" t="s">
        <v>1048</v>
      </c>
      <c r="V980" t="s">
        <v>1053</v>
      </c>
      <c r="W980">
        <v>250</v>
      </c>
    </row>
    <row r="981" spans="1:23" x14ac:dyDescent="0.2">
      <c r="A981" t="s">
        <v>979</v>
      </c>
      <c r="B981" t="s">
        <v>259</v>
      </c>
      <c r="C981" t="s">
        <v>104</v>
      </c>
      <c r="D981" t="s">
        <v>343</v>
      </c>
      <c r="E981">
        <v>1.4999999999999999E-2</v>
      </c>
      <c r="F981">
        <v>890</v>
      </c>
      <c r="G981">
        <v>13.35</v>
      </c>
      <c r="T981" t="s">
        <v>237</v>
      </c>
      <c r="U981" t="s">
        <v>1049</v>
      </c>
      <c r="V981" t="s">
        <v>1054</v>
      </c>
      <c r="W981">
        <v>750</v>
      </c>
    </row>
    <row r="982" spans="1:23" x14ac:dyDescent="0.2">
      <c r="A982" t="s">
        <v>979</v>
      </c>
      <c r="B982" t="s">
        <v>259</v>
      </c>
      <c r="C982" t="s">
        <v>121</v>
      </c>
      <c r="D982" t="s">
        <v>301</v>
      </c>
      <c r="E982">
        <v>1</v>
      </c>
      <c r="F982">
        <v>0.95</v>
      </c>
      <c r="G982">
        <v>0.95</v>
      </c>
      <c r="T982" t="s">
        <v>237</v>
      </c>
      <c r="U982" t="s">
        <v>1050</v>
      </c>
      <c r="V982" t="s">
        <v>1055</v>
      </c>
      <c r="W982">
        <v>0</v>
      </c>
    </row>
    <row r="983" spans="1:23" x14ac:dyDescent="0.2">
      <c r="A983" t="s">
        <v>979</v>
      </c>
      <c r="B983" t="s">
        <v>259</v>
      </c>
      <c r="C983" t="s">
        <v>122</v>
      </c>
      <c r="D983" t="s">
        <v>302</v>
      </c>
      <c r="E983">
        <v>1</v>
      </c>
      <c r="F983">
        <v>4.2</v>
      </c>
      <c r="G983">
        <v>4.2</v>
      </c>
      <c r="T983" t="s">
        <v>236</v>
      </c>
      <c r="U983" t="s">
        <v>1042</v>
      </c>
      <c r="V983" t="s">
        <v>401</v>
      </c>
      <c r="W983">
        <v>50</v>
      </c>
    </row>
    <row r="984" spans="1:23" x14ac:dyDescent="0.2">
      <c r="A984" t="s">
        <v>979</v>
      </c>
      <c r="B984" t="s">
        <v>259</v>
      </c>
      <c r="C984" t="s">
        <v>4</v>
      </c>
      <c r="D984" t="s">
        <v>304</v>
      </c>
      <c r="E984">
        <v>7.3</v>
      </c>
      <c r="F984">
        <v>10.1</v>
      </c>
      <c r="G984">
        <v>73.73</v>
      </c>
      <c r="T984" t="s">
        <v>236</v>
      </c>
      <c r="U984" t="s">
        <v>1043</v>
      </c>
      <c r="V984" t="s">
        <v>272</v>
      </c>
      <c r="W984">
        <v>375</v>
      </c>
    </row>
    <row r="985" spans="1:23" x14ac:dyDescent="0.2">
      <c r="A985" t="s">
        <v>979</v>
      </c>
      <c r="B985" t="s">
        <v>259</v>
      </c>
      <c r="C985" t="s">
        <v>5</v>
      </c>
      <c r="D985" t="s">
        <v>305</v>
      </c>
      <c r="E985">
        <v>4.0999999999999996</v>
      </c>
      <c r="F985">
        <v>11.5</v>
      </c>
      <c r="G985">
        <v>47.15</v>
      </c>
      <c r="T985" t="s">
        <v>236</v>
      </c>
      <c r="U985" t="s">
        <v>1044</v>
      </c>
      <c r="V985" t="s">
        <v>405</v>
      </c>
      <c r="W985">
        <v>100</v>
      </c>
    </row>
    <row r="986" spans="1:23" x14ac:dyDescent="0.2">
      <c r="A986" t="s">
        <v>979</v>
      </c>
      <c r="B986" t="s">
        <v>259</v>
      </c>
      <c r="C986" t="s">
        <v>6</v>
      </c>
      <c r="D986" t="s">
        <v>306</v>
      </c>
      <c r="E986">
        <v>0.8</v>
      </c>
      <c r="F986">
        <v>16.8</v>
      </c>
      <c r="G986">
        <v>13.44</v>
      </c>
      <c r="T986" t="s">
        <v>236</v>
      </c>
      <c r="U986" t="s">
        <v>1045</v>
      </c>
      <c r="V986" t="s">
        <v>402</v>
      </c>
      <c r="W986">
        <v>60</v>
      </c>
    </row>
    <row r="987" spans="1:23" x14ac:dyDescent="0.2">
      <c r="A987" t="s">
        <v>979</v>
      </c>
      <c r="B987" t="s">
        <v>259</v>
      </c>
      <c r="C987" t="s">
        <v>7</v>
      </c>
      <c r="D987" t="s">
        <v>307</v>
      </c>
      <c r="E987">
        <v>0.35</v>
      </c>
      <c r="F987">
        <v>6.7</v>
      </c>
      <c r="G987">
        <v>2.3450000000000002</v>
      </c>
      <c r="T987" t="s">
        <v>236</v>
      </c>
      <c r="U987" t="s">
        <v>1046</v>
      </c>
      <c r="V987" t="s">
        <v>1051</v>
      </c>
      <c r="W987">
        <v>70</v>
      </c>
    </row>
    <row r="988" spans="1:23" x14ac:dyDescent="0.2">
      <c r="A988" t="s">
        <v>979</v>
      </c>
      <c r="B988" t="s">
        <v>259</v>
      </c>
      <c r="C988" t="s">
        <v>12</v>
      </c>
      <c r="D988" t="s">
        <v>308</v>
      </c>
      <c r="E988">
        <v>0.45</v>
      </c>
      <c r="F988">
        <v>7</v>
      </c>
      <c r="G988">
        <v>3.15</v>
      </c>
      <c r="T988" t="s">
        <v>236</v>
      </c>
      <c r="U988" t="s">
        <v>1047</v>
      </c>
      <c r="V988" t="s">
        <v>1052</v>
      </c>
      <c r="W988">
        <v>70</v>
      </c>
    </row>
    <row r="989" spans="1:23" x14ac:dyDescent="0.2">
      <c r="A989" t="s">
        <v>979</v>
      </c>
      <c r="B989" t="s">
        <v>259</v>
      </c>
      <c r="C989" t="s">
        <v>105</v>
      </c>
      <c r="D989" t="s">
        <v>313</v>
      </c>
      <c r="E989">
        <v>30</v>
      </c>
      <c r="F989">
        <v>0.1</v>
      </c>
      <c r="G989">
        <v>3</v>
      </c>
      <c r="T989" t="s">
        <v>236</v>
      </c>
      <c r="U989" t="s">
        <v>1048</v>
      </c>
      <c r="V989" t="s">
        <v>1053</v>
      </c>
      <c r="W989">
        <v>250</v>
      </c>
    </row>
    <row r="990" spans="1:23" x14ac:dyDescent="0.2">
      <c r="A990" t="s">
        <v>979</v>
      </c>
      <c r="B990" t="s">
        <v>259</v>
      </c>
      <c r="C990" t="s">
        <v>110</v>
      </c>
      <c r="D990" t="s">
        <v>314</v>
      </c>
      <c r="E990">
        <v>1</v>
      </c>
      <c r="F990">
        <v>0.1</v>
      </c>
      <c r="G990">
        <v>0.1</v>
      </c>
      <c r="T990" t="s">
        <v>236</v>
      </c>
      <c r="U990" t="s">
        <v>1049</v>
      </c>
      <c r="V990" t="s">
        <v>1054</v>
      </c>
      <c r="W990">
        <v>750</v>
      </c>
    </row>
    <row r="991" spans="1:23" x14ac:dyDescent="0.2">
      <c r="A991" t="s">
        <v>979</v>
      </c>
      <c r="B991" t="s">
        <v>259</v>
      </c>
      <c r="C991" t="s">
        <v>113</v>
      </c>
      <c r="D991" t="s">
        <v>318</v>
      </c>
      <c r="E991">
        <v>250</v>
      </c>
      <c r="F991">
        <v>0.1</v>
      </c>
      <c r="G991">
        <v>25</v>
      </c>
      <c r="T991" t="s">
        <v>236</v>
      </c>
      <c r="U991" t="s">
        <v>1050</v>
      </c>
      <c r="V991" t="s">
        <v>1055</v>
      </c>
      <c r="W991">
        <v>0</v>
      </c>
    </row>
    <row r="992" spans="1:23" x14ac:dyDescent="0.2">
      <c r="A992" t="s">
        <v>975</v>
      </c>
      <c r="B992" t="s">
        <v>260</v>
      </c>
      <c r="C992" t="s">
        <v>94</v>
      </c>
      <c r="D992" t="s">
        <v>280</v>
      </c>
      <c r="E992">
        <v>1</v>
      </c>
      <c r="F992">
        <v>3.5</v>
      </c>
      <c r="G992">
        <v>3.5</v>
      </c>
      <c r="T992" t="s">
        <v>232</v>
      </c>
      <c r="U992" t="s">
        <v>1042</v>
      </c>
      <c r="V992" t="s">
        <v>401</v>
      </c>
      <c r="W992">
        <v>50</v>
      </c>
    </row>
    <row r="993" spans="1:23" x14ac:dyDescent="0.2">
      <c r="A993" t="s">
        <v>975</v>
      </c>
      <c r="B993" t="s">
        <v>260</v>
      </c>
      <c r="C993" t="s">
        <v>95</v>
      </c>
      <c r="D993" t="s">
        <v>281</v>
      </c>
      <c r="E993">
        <v>2</v>
      </c>
      <c r="F993">
        <v>2</v>
      </c>
      <c r="G993">
        <v>4</v>
      </c>
      <c r="T993" t="s">
        <v>232</v>
      </c>
      <c r="U993" t="s">
        <v>1043</v>
      </c>
      <c r="V993" t="s">
        <v>272</v>
      </c>
      <c r="W993">
        <v>375</v>
      </c>
    </row>
    <row r="994" spans="1:23" x14ac:dyDescent="0.2">
      <c r="A994" t="s">
        <v>975</v>
      </c>
      <c r="B994" t="s">
        <v>260</v>
      </c>
      <c r="C994" t="s">
        <v>44</v>
      </c>
      <c r="D994" t="s">
        <v>324</v>
      </c>
      <c r="E994">
        <v>0.25</v>
      </c>
      <c r="F994">
        <v>65</v>
      </c>
      <c r="G994">
        <v>16.25</v>
      </c>
      <c r="T994" t="s">
        <v>232</v>
      </c>
      <c r="U994" t="s">
        <v>1044</v>
      </c>
      <c r="V994" t="s">
        <v>405</v>
      </c>
      <c r="W994">
        <v>100</v>
      </c>
    </row>
    <row r="995" spans="1:23" x14ac:dyDescent="0.2">
      <c r="A995" t="s">
        <v>975</v>
      </c>
      <c r="B995" t="s">
        <v>260</v>
      </c>
      <c r="C995" t="s">
        <v>50</v>
      </c>
      <c r="D995" t="s">
        <v>357</v>
      </c>
      <c r="E995">
        <v>0.25</v>
      </c>
      <c r="F995">
        <v>151</v>
      </c>
      <c r="G995">
        <v>37.75</v>
      </c>
      <c r="T995" t="s">
        <v>232</v>
      </c>
      <c r="U995" t="s">
        <v>1045</v>
      </c>
      <c r="V995" t="s">
        <v>402</v>
      </c>
      <c r="W995">
        <v>60</v>
      </c>
    </row>
    <row r="996" spans="1:23" x14ac:dyDescent="0.2">
      <c r="A996" t="s">
        <v>975</v>
      </c>
      <c r="B996" t="s">
        <v>260</v>
      </c>
      <c r="C996" t="s">
        <v>53</v>
      </c>
      <c r="D996" t="s">
        <v>325</v>
      </c>
      <c r="E996">
        <v>1.45</v>
      </c>
      <c r="F996">
        <v>120</v>
      </c>
      <c r="G996">
        <v>174</v>
      </c>
      <c r="T996" t="s">
        <v>232</v>
      </c>
      <c r="U996" t="s">
        <v>1046</v>
      </c>
      <c r="V996" t="s">
        <v>1051</v>
      </c>
      <c r="W996">
        <v>70</v>
      </c>
    </row>
    <row r="997" spans="1:23" x14ac:dyDescent="0.2">
      <c r="A997" t="s">
        <v>975</v>
      </c>
      <c r="B997" t="s">
        <v>260</v>
      </c>
      <c r="C997" t="s">
        <v>60</v>
      </c>
      <c r="D997" t="s">
        <v>337</v>
      </c>
      <c r="E997">
        <v>0.02</v>
      </c>
      <c r="F997">
        <v>130</v>
      </c>
      <c r="G997">
        <v>2.6</v>
      </c>
      <c r="T997" t="s">
        <v>232</v>
      </c>
      <c r="U997" t="s">
        <v>1047</v>
      </c>
      <c r="V997" t="s">
        <v>1052</v>
      </c>
      <c r="W997">
        <v>70</v>
      </c>
    </row>
    <row r="998" spans="1:23" x14ac:dyDescent="0.2">
      <c r="A998" t="s">
        <v>975</v>
      </c>
      <c r="B998" t="s">
        <v>260</v>
      </c>
      <c r="C998" t="s">
        <v>496</v>
      </c>
      <c r="D998" t="s">
        <v>497</v>
      </c>
      <c r="E998">
        <v>0.2</v>
      </c>
      <c r="F998">
        <v>190</v>
      </c>
      <c r="G998">
        <v>38</v>
      </c>
      <c r="T998" t="s">
        <v>232</v>
      </c>
      <c r="U998" t="s">
        <v>1048</v>
      </c>
      <c r="V998" t="s">
        <v>1053</v>
      </c>
      <c r="W998">
        <v>250</v>
      </c>
    </row>
    <row r="999" spans="1:23" x14ac:dyDescent="0.2">
      <c r="A999" t="s">
        <v>975</v>
      </c>
      <c r="B999" t="s">
        <v>260</v>
      </c>
      <c r="C999" t="s">
        <v>67</v>
      </c>
      <c r="D999" t="s">
        <v>355</v>
      </c>
      <c r="E999">
        <v>0.95</v>
      </c>
      <c r="F999">
        <v>190</v>
      </c>
      <c r="G999">
        <v>180.5</v>
      </c>
      <c r="T999" t="s">
        <v>232</v>
      </c>
      <c r="U999" t="s">
        <v>1049</v>
      </c>
      <c r="V999" t="s">
        <v>1054</v>
      </c>
      <c r="W999">
        <v>750</v>
      </c>
    </row>
    <row r="1000" spans="1:23" x14ac:dyDescent="0.2">
      <c r="A1000" t="s">
        <v>975</v>
      </c>
      <c r="B1000" t="s">
        <v>260</v>
      </c>
      <c r="C1000" t="s">
        <v>69</v>
      </c>
      <c r="D1000" t="s">
        <v>288</v>
      </c>
      <c r="E1000">
        <v>0.25</v>
      </c>
      <c r="F1000">
        <v>190</v>
      </c>
      <c r="G1000">
        <v>47.5</v>
      </c>
      <c r="T1000" t="s">
        <v>232</v>
      </c>
      <c r="U1000" t="s">
        <v>1050</v>
      </c>
      <c r="V1000" t="s">
        <v>1055</v>
      </c>
      <c r="W1000">
        <v>0</v>
      </c>
    </row>
    <row r="1001" spans="1:23" x14ac:dyDescent="0.2">
      <c r="A1001" t="s">
        <v>975</v>
      </c>
      <c r="B1001" t="s">
        <v>260</v>
      </c>
      <c r="C1001" t="s">
        <v>47</v>
      </c>
      <c r="D1001" t="s">
        <v>328</v>
      </c>
      <c r="E1001">
        <v>0.15</v>
      </c>
      <c r="F1001">
        <v>235</v>
      </c>
      <c r="G1001">
        <v>35.25</v>
      </c>
      <c r="T1001" t="s">
        <v>235</v>
      </c>
      <c r="U1001" t="s">
        <v>1042</v>
      </c>
      <c r="V1001" t="s">
        <v>401</v>
      </c>
      <c r="W1001">
        <v>50</v>
      </c>
    </row>
    <row r="1002" spans="1:23" x14ac:dyDescent="0.2">
      <c r="A1002" t="s">
        <v>975</v>
      </c>
      <c r="B1002" t="s">
        <v>260</v>
      </c>
      <c r="C1002" t="s">
        <v>48</v>
      </c>
      <c r="D1002" t="s">
        <v>359</v>
      </c>
      <c r="E1002">
        <v>7.4999999999999997E-2</v>
      </c>
      <c r="F1002">
        <v>412</v>
      </c>
      <c r="G1002">
        <v>30.9</v>
      </c>
      <c r="T1002" t="s">
        <v>235</v>
      </c>
      <c r="U1002" t="s">
        <v>1043</v>
      </c>
      <c r="V1002" t="s">
        <v>272</v>
      </c>
      <c r="W1002">
        <v>375</v>
      </c>
    </row>
    <row r="1003" spans="1:23" x14ac:dyDescent="0.2">
      <c r="A1003" t="s">
        <v>975</v>
      </c>
      <c r="B1003" t="s">
        <v>260</v>
      </c>
      <c r="C1003" t="s">
        <v>49</v>
      </c>
      <c r="D1003" t="s">
        <v>290</v>
      </c>
      <c r="E1003">
        <v>7.0000000000000001E-3</v>
      </c>
      <c r="F1003">
        <v>248</v>
      </c>
      <c r="G1003">
        <v>1.736</v>
      </c>
      <c r="T1003" t="s">
        <v>235</v>
      </c>
      <c r="U1003" t="s">
        <v>1044</v>
      </c>
      <c r="V1003" t="s">
        <v>405</v>
      </c>
      <c r="W1003">
        <v>100</v>
      </c>
    </row>
    <row r="1004" spans="1:23" x14ac:dyDescent="0.2">
      <c r="A1004" t="s">
        <v>975</v>
      </c>
      <c r="B1004" t="s">
        <v>260</v>
      </c>
      <c r="C1004" t="s">
        <v>579</v>
      </c>
      <c r="D1004" t="s">
        <v>580</v>
      </c>
      <c r="E1004">
        <v>1</v>
      </c>
      <c r="F1004">
        <v>4</v>
      </c>
      <c r="G1004">
        <v>4</v>
      </c>
      <c r="T1004" t="s">
        <v>235</v>
      </c>
      <c r="U1004" t="s">
        <v>1045</v>
      </c>
      <c r="V1004" t="s">
        <v>402</v>
      </c>
      <c r="W1004">
        <v>60</v>
      </c>
    </row>
    <row r="1005" spans="1:23" x14ac:dyDescent="0.2">
      <c r="A1005" t="s">
        <v>975</v>
      </c>
      <c r="B1005" t="s">
        <v>260</v>
      </c>
      <c r="C1005" t="s">
        <v>581</v>
      </c>
      <c r="D1005" t="s">
        <v>582</v>
      </c>
      <c r="E1005">
        <v>1</v>
      </c>
      <c r="F1005">
        <v>4</v>
      </c>
      <c r="G1005">
        <v>4</v>
      </c>
      <c r="T1005" t="s">
        <v>235</v>
      </c>
      <c r="U1005" t="s">
        <v>1046</v>
      </c>
      <c r="V1005" t="s">
        <v>1051</v>
      </c>
      <c r="W1005">
        <v>70</v>
      </c>
    </row>
    <row r="1006" spans="1:23" x14ac:dyDescent="0.2">
      <c r="A1006" t="s">
        <v>975</v>
      </c>
      <c r="B1006" t="s">
        <v>260</v>
      </c>
      <c r="C1006" t="s">
        <v>19</v>
      </c>
      <c r="D1006" t="s">
        <v>329</v>
      </c>
      <c r="E1006">
        <v>3</v>
      </c>
      <c r="F1006">
        <v>2.9</v>
      </c>
      <c r="G1006">
        <v>8.6999999999999993</v>
      </c>
      <c r="T1006" t="s">
        <v>235</v>
      </c>
      <c r="U1006" t="s">
        <v>1047</v>
      </c>
      <c r="V1006" t="s">
        <v>1052</v>
      </c>
      <c r="W1006">
        <v>70</v>
      </c>
    </row>
    <row r="1007" spans="1:23" x14ac:dyDescent="0.2">
      <c r="A1007" t="s">
        <v>975</v>
      </c>
      <c r="B1007" t="s">
        <v>260</v>
      </c>
      <c r="C1007" t="s">
        <v>20</v>
      </c>
      <c r="D1007" t="s">
        <v>330</v>
      </c>
      <c r="E1007">
        <v>3</v>
      </c>
      <c r="F1007">
        <v>2.9</v>
      </c>
      <c r="G1007">
        <v>8.6999999999999993</v>
      </c>
      <c r="T1007" t="s">
        <v>235</v>
      </c>
      <c r="U1007" t="s">
        <v>1048</v>
      </c>
      <c r="V1007" t="s">
        <v>1053</v>
      </c>
      <c r="W1007">
        <v>250</v>
      </c>
    </row>
    <row r="1008" spans="1:23" x14ac:dyDescent="0.2">
      <c r="A1008" t="s">
        <v>975</v>
      </c>
      <c r="B1008" t="s">
        <v>260</v>
      </c>
      <c r="C1008" t="s">
        <v>24</v>
      </c>
      <c r="D1008" t="s">
        <v>360</v>
      </c>
      <c r="E1008">
        <v>2</v>
      </c>
      <c r="F1008">
        <v>2.2000000000000002</v>
      </c>
      <c r="G1008">
        <v>4.4000000000000004</v>
      </c>
      <c r="T1008" t="s">
        <v>235</v>
      </c>
      <c r="U1008" t="s">
        <v>1049</v>
      </c>
      <c r="V1008" t="s">
        <v>1054</v>
      </c>
      <c r="W1008">
        <v>750</v>
      </c>
    </row>
    <row r="1009" spans="1:23" x14ac:dyDescent="0.2">
      <c r="A1009" t="s">
        <v>975</v>
      </c>
      <c r="B1009" t="s">
        <v>260</v>
      </c>
      <c r="C1009" t="s">
        <v>26</v>
      </c>
      <c r="D1009" t="s">
        <v>361</v>
      </c>
      <c r="E1009">
        <v>16</v>
      </c>
      <c r="F1009">
        <v>1.5</v>
      </c>
      <c r="G1009">
        <v>24</v>
      </c>
      <c r="T1009" t="s">
        <v>235</v>
      </c>
      <c r="U1009" t="s">
        <v>1050</v>
      </c>
      <c r="V1009" t="s">
        <v>1055</v>
      </c>
      <c r="W1009">
        <v>0</v>
      </c>
    </row>
    <row r="1010" spans="1:23" x14ac:dyDescent="0.2">
      <c r="A1010" t="s">
        <v>975</v>
      </c>
      <c r="B1010" t="s">
        <v>260</v>
      </c>
      <c r="C1010" t="s">
        <v>29</v>
      </c>
      <c r="D1010" t="s">
        <v>292</v>
      </c>
      <c r="E1010">
        <v>0.76</v>
      </c>
      <c r="F1010">
        <v>27</v>
      </c>
      <c r="G1010">
        <v>20.52</v>
      </c>
      <c r="T1010" t="s">
        <v>234</v>
      </c>
      <c r="U1010" t="s">
        <v>1042</v>
      </c>
      <c r="V1010" t="s">
        <v>401</v>
      </c>
      <c r="W1010">
        <v>50</v>
      </c>
    </row>
    <row r="1011" spans="1:23" x14ac:dyDescent="0.2">
      <c r="A1011" t="s">
        <v>975</v>
      </c>
      <c r="B1011" t="s">
        <v>260</v>
      </c>
      <c r="C1011" t="s">
        <v>30</v>
      </c>
      <c r="D1011" t="s">
        <v>332</v>
      </c>
      <c r="E1011">
        <v>2</v>
      </c>
      <c r="F1011">
        <v>6</v>
      </c>
      <c r="G1011">
        <v>12</v>
      </c>
      <c r="T1011" t="s">
        <v>234</v>
      </c>
      <c r="U1011" t="s">
        <v>1043</v>
      </c>
      <c r="V1011" t="s">
        <v>272</v>
      </c>
      <c r="W1011">
        <v>375</v>
      </c>
    </row>
    <row r="1012" spans="1:23" x14ac:dyDescent="0.2">
      <c r="A1012" t="s">
        <v>975</v>
      </c>
      <c r="B1012" t="s">
        <v>260</v>
      </c>
      <c r="C1012" t="s">
        <v>104</v>
      </c>
      <c r="D1012" t="s">
        <v>343</v>
      </c>
      <c r="E1012">
        <v>1.4999999999999999E-2</v>
      </c>
      <c r="F1012">
        <v>890</v>
      </c>
      <c r="G1012">
        <v>13.35</v>
      </c>
      <c r="T1012" t="s">
        <v>234</v>
      </c>
      <c r="U1012" t="s">
        <v>1044</v>
      </c>
      <c r="V1012" t="s">
        <v>405</v>
      </c>
      <c r="W1012">
        <v>100</v>
      </c>
    </row>
    <row r="1013" spans="1:23" x14ac:dyDescent="0.2">
      <c r="A1013" t="s">
        <v>975</v>
      </c>
      <c r="B1013" t="s">
        <v>260</v>
      </c>
      <c r="C1013" t="s">
        <v>121</v>
      </c>
      <c r="D1013" t="s">
        <v>301</v>
      </c>
      <c r="E1013">
        <v>1</v>
      </c>
      <c r="F1013">
        <v>0.95</v>
      </c>
      <c r="G1013">
        <v>0.95</v>
      </c>
      <c r="T1013" t="s">
        <v>234</v>
      </c>
      <c r="U1013" t="s">
        <v>1045</v>
      </c>
      <c r="V1013" t="s">
        <v>402</v>
      </c>
      <c r="W1013">
        <v>60</v>
      </c>
    </row>
    <row r="1014" spans="1:23" x14ac:dyDescent="0.2">
      <c r="A1014" t="s">
        <v>975</v>
      </c>
      <c r="B1014" t="s">
        <v>260</v>
      </c>
      <c r="C1014" t="s">
        <v>122</v>
      </c>
      <c r="D1014" t="s">
        <v>302</v>
      </c>
      <c r="E1014">
        <v>1</v>
      </c>
      <c r="F1014">
        <v>4.2</v>
      </c>
      <c r="G1014">
        <v>4.2</v>
      </c>
      <c r="T1014" t="s">
        <v>234</v>
      </c>
      <c r="U1014" t="s">
        <v>1046</v>
      </c>
      <c r="V1014" t="s">
        <v>1051</v>
      </c>
      <c r="W1014">
        <v>70</v>
      </c>
    </row>
    <row r="1015" spans="1:23" x14ac:dyDescent="0.2">
      <c r="A1015" t="s">
        <v>975</v>
      </c>
      <c r="B1015" t="s">
        <v>260</v>
      </c>
      <c r="C1015" t="s">
        <v>4</v>
      </c>
      <c r="D1015" t="s">
        <v>304</v>
      </c>
      <c r="E1015">
        <v>7.3</v>
      </c>
      <c r="F1015">
        <v>10.1</v>
      </c>
      <c r="G1015">
        <v>73.73</v>
      </c>
      <c r="T1015" t="s">
        <v>234</v>
      </c>
      <c r="U1015" t="s">
        <v>1047</v>
      </c>
      <c r="V1015" t="s">
        <v>1052</v>
      </c>
      <c r="W1015">
        <v>70</v>
      </c>
    </row>
    <row r="1016" spans="1:23" x14ac:dyDescent="0.2">
      <c r="A1016" t="s">
        <v>975</v>
      </c>
      <c r="B1016" t="s">
        <v>260</v>
      </c>
      <c r="C1016" t="s">
        <v>5</v>
      </c>
      <c r="D1016" t="s">
        <v>305</v>
      </c>
      <c r="E1016">
        <v>4.0999999999999996</v>
      </c>
      <c r="F1016">
        <v>11.5</v>
      </c>
      <c r="G1016">
        <v>47.15</v>
      </c>
      <c r="T1016" t="s">
        <v>234</v>
      </c>
      <c r="U1016" t="s">
        <v>1048</v>
      </c>
      <c r="V1016" t="s">
        <v>1053</v>
      </c>
      <c r="W1016">
        <v>250</v>
      </c>
    </row>
    <row r="1017" spans="1:23" x14ac:dyDescent="0.2">
      <c r="A1017" t="s">
        <v>975</v>
      </c>
      <c r="B1017" t="s">
        <v>260</v>
      </c>
      <c r="C1017" t="s">
        <v>6</v>
      </c>
      <c r="D1017" t="s">
        <v>306</v>
      </c>
      <c r="E1017">
        <v>0.8</v>
      </c>
      <c r="F1017">
        <v>16.8</v>
      </c>
      <c r="G1017">
        <v>13.44</v>
      </c>
      <c r="T1017" t="s">
        <v>234</v>
      </c>
      <c r="U1017" t="s">
        <v>1049</v>
      </c>
      <c r="V1017" t="s">
        <v>1054</v>
      </c>
      <c r="W1017">
        <v>750</v>
      </c>
    </row>
    <row r="1018" spans="1:23" x14ac:dyDescent="0.2">
      <c r="A1018" t="s">
        <v>975</v>
      </c>
      <c r="B1018" t="s">
        <v>260</v>
      </c>
      <c r="C1018" t="s">
        <v>7</v>
      </c>
      <c r="D1018" t="s">
        <v>307</v>
      </c>
      <c r="E1018">
        <v>0.35</v>
      </c>
      <c r="F1018">
        <v>6.7</v>
      </c>
      <c r="G1018">
        <v>2.3450000000000002</v>
      </c>
      <c r="T1018" t="s">
        <v>234</v>
      </c>
      <c r="U1018" t="s">
        <v>1050</v>
      </c>
      <c r="V1018" t="s">
        <v>1055</v>
      </c>
      <c r="W1018">
        <v>0</v>
      </c>
    </row>
    <row r="1019" spans="1:23" x14ac:dyDescent="0.2">
      <c r="A1019" t="s">
        <v>975</v>
      </c>
      <c r="B1019" t="s">
        <v>260</v>
      </c>
      <c r="C1019" t="s">
        <v>12</v>
      </c>
      <c r="D1019" t="s">
        <v>308</v>
      </c>
      <c r="E1019">
        <v>0.45</v>
      </c>
      <c r="F1019">
        <v>7</v>
      </c>
      <c r="G1019">
        <v>3.15</v>
      </c>
      <c r="T1019" t="s">
        <v>233</v>
      </c>
      <c r="U1019" t="s">
        <v>1042</v>
      </c>
      <c r="V1019" t="s">
        <v>401</v>
      </c>
      <c r="W1019">
        <v>50</v>
      </c>
    </row>
    <row r="1020" spans="1:23" x14ac:dyDescent="0.2">
      <c r="A1020" t="s">
        <v>975</v>
      </c>
      <c r="B1020" t="s">
        <v>260</v>
      </c>
      <c r="C1020" t="s">
        <v>105</v>
      </c>
      <c r="D1020" t="s">
        <v>313</v>
      </c>
      <c r="E1020">
        <v>50</v>
      </c>
      <c r="F1020">
        <v>0.1</v>
      </c>
      <c r="G1020">
        <v>5</v>
      </c>
      <c r="T1020" t="s">
        <v>233</v>
      </c>
      <c r="U1020" t="s">
        <v>1043</v>
      </c>
      <c r="V1020" t="s">
        <v>272</v>
      </c>
      <c r="W1020">
        <v>375</v>
      </c>
    </row>
    <row r="1021" spans="1:23" x14ac:dyDescent="0.2">
      <c r="A1021" t="s">
        <v>975</v>
      </c>
      <c r="B1021" t="s">
        <v>260</v>
      </c>
      <c r="C1021" t="s">
        <v>107</v>
      </c>
      <c r="D1021" t="s">
        <v>316</v>
      </c>
      <c r="E1021">
        <v>30</v>
      </c>
      <c r="F1021">
        <v>0.1</v>
      </c>
      <c r="G1021">
        <v>3</v>
      </c>
      <c r="T1021" t="s">
        <v>233</v>
      </c>
      <c r="U1021" t="s">
        <v>1044</v>
      </c>
      <c r="V1021" t="s">
        <v>405</v>
      </c>
      <c r="W1021">
        <v>100</v>
      </c>
    </row>
    <row r="1022" spans="1:23" x14ac:dyDescent="0.2">
      <c r="A1022" t="s">
        <v>975</v>
      </c>
      <c r="B1022" t="s">
        <v>260</v>
      </c>
      <c r="C1022" t="s">
        <v>118</v>
      </c>
      <c r="D1022" t="s">
        <v>356</v>
      </c>
      <c r="E1022">
        <v>200</v>
      </c>
      <c r="F1022">
        <v>0.1</v>
      </c>
      <c r="G1022">
        <v>20</v>
      </c>
      <c r="T1022" t="s">
        <v>233</v>
      </c>
      <c r="U1022" t="s">
        <v>1045</v>
      </c>
      <c r="V1022" t="s">
        <v>402</v>
      </c>
      <c r="W1022">
        <v>60</v>
      </c>
    </row>
    <row r="1023" spans="1:23" x14ac:dyDescent="0.2">
      <c r="A1023" t="s">
        <v>980</v>
      </c>
      <c r="B1023" t="s">
        <v>254</v>
      </c>
      <c r="C1023" t="s">
        <v>94</v>
      </c>
      <c r="D1023" t="s">
        <v>280</v>
      </c>
      <c r="E1023">
        <v>1</v>
      </c>
      <c r="F1023">
        <v>3.5</v>
      </c>
      <c r="G1023">
        <v>3.5</v>
      </c>
      <c r="T1023" t="s">
        <v>233</v>
      </c>
      <c r="U1023" t="s">
        <v>1046</v>
      </c>
      <c r="V1023" t="s">
        <v>1051</v>
      </c>
      <c r="W1023">
        <v>70</v>
      </c>
    </row>
    <row r="1024" spans="1:23" x14ac:dyDescent="0.2">
      <c r="A1024" t="s">
        <v>980</v>
      </c>
      <c r="B1024" t="s">
        <v>254</v>
      </c>
      <c r="C1024" t="s">
        <v>95</v>
      </c>
      <c r="D1024" t="s">
        <v>281</v>
      </c>
      <c r="E1024">
        <v>2</v>
      </c>
      <c r="F1024">
        <v>2</v>
      </c>
      <c r="G1024">
        <v>4</v>
      </c>
      <c r="T1024" t="s">
        <v>233</v>
      </c>
      <c r="U1024" t="s">
        <v>1047</v>
      </c>
      <c r="V1024" t="s">
        <v>1052</v>
      </c>
      <c r="W1024">
        <v>70</v>
      </c>
    </row>
    <row r="1025" spans="1:23" x14ac:dyDescent="0.2">
      <c r="A1025" t="s">
        <v>980</v>
      </c>
      <c r="B1025" t="s">
        <v>254</v>
      </c>
      <c r="C1025" t="s">
        <v>44</v>
      </c>
      <c r="D1025" t="s">
        <v>324</v>
      </c>
      <c r="E1025">
        <v>0.25</v>
      </c>
      <c r="F1025">
        <v>65</v>
      </c>
      <c r="G1025">
        <v>16.25</v>
      </c>
      <c r="T1025" t="s">
        <v>233</v>
      </c>
      <c r="U1025" t="s">
        <v>1048</v>
      </c>
      <c r="V1025" t="s">
        <v>1053</v>
      </c>
      <c r="W1025">
        <v>250</v>
      </c>
    </row>
    <row r="1026" spans="1:23" x14ac:dyDescent="0.2">
      <c r="A1026" t="s">
        <v>980</v>
      </c>
      <c r="B1026" t="s">
        <v>254</v>
      </c>
      <c r="C1026" t="s">
        <v>50</v>
      </c>
      <c r="D1026" t="s">
        <v>357</v>
      </c>
      <c r="E1026">
        <v>0.25</v>
      </c>
      <c r="F1026">
        <v>151</v>
      </c>
      <c r="G1026">
        <v>37.75</v>
      </c>
      <c r="T1026" t="s">
        <v>233</v>
      </c>
      <c r="U1026" t="s">
        <v>1049</v>
      </c>
      <c r="V1026" t="s">
        <v>1054</v>
      </c>
      <c r="W1026">
        <v>750</v>
      </c>
    </row>
    <row r="1027" spans="1:23" x14ac:dyDescent="0.2">
      <c r="A1027" t="s">
        <v>980</v>
      </c>
      <c r="B1027" t="s">
        <v>254</v>
      </c>
      <c r="C1027" t="s">
        <v>55</v>
      </c>
      <c r="D1027" t="s">
        <v>371</v>
      </c>
      <c r="E1027">
        <v>1.45</v>
      </c>
      <c r="F1027">
        <v>120</v>
      </c>
      <c r="G1027">
        <v>174</v>
      </c>
      <c r="T1027" t="s">
        <v>233</v>
      </c>
      <c r="U1027" t="s">
        <v>1050</v>
      </c>
      <c r="V1027" t="s">
        <v>1055</v>
      </c>
      <c r="W1027">
        <v>0</v>
      </c>
    </row>
    <row r="1028" spans="1:23" x14ac:dyDescent="0.2">
      <c r="A1028" t="s">
        <v>980</v>
      </c>
      <c r="B1028" t="s">
        <v>254</v>
      </c>
      <c r="C1028" t="s">
        <v>60</v>
      </c>
      <c r="D1028" t="s">
        <v>337</v>
      </c>
      <c r="E1028">
        <v>0.02</v>
      </c>
      <c r="F1028">
        <v>130</v>
      </c>
      <c r="G1028">
        <v>2.6</v>
      </c>
      <c r="T1028" t="s">
        <v>194</v>
      </c>
      <c r="U1028" t="s">
        <v>1042</v>
      </c>
      <c r="V1028" t="s">
        <v>401</v>
      </c>
      <c r="W1028">
        <v>50</v>
      </c>
    </row>
    <row r="1029" spans="1:23" x14ac:dyDescent="0.2">
      <c r="A1029" t="s">
        <v>980</v>
      </c>
      <c r="B1029" t="s">
        <v>254</v>
      </c>
      <c r="C1029" t="s">
        <v>69</v>
      </c>
      <c r="D1029" t="s">
        <v>288</v>
      </c>
      <c r="E1029">
        <v>0.25</v>
      </c>
      <c r="F1029">
        <v>190</v>
      </c>
      <c r="G1029">
        <v>47.5</v>
      </c>
      <c r="T1029" t="s">
        <v>194</v>
      </c>
      <c r="U1029" t="s">
        <v>1043</v>
      </c>
      <c r="V1029" t="s">
        <v>272</v>
      </c>
      <c r="W1029">
        <v>375</v>
      </c>
    </row>
    <row r="1030" spans="1:23" x14ac:dyDescent="0.2">
      <c r="A1030" t="s">
        <v>980</v>
      </c>
      <c r="B1030" t="s">
        <v>254</v>
      </c>
      <c r="C1030" t="s">
        <v>79</v>
      </c>
      <c r="D1030" t="s">
        <v>289</v>
      </c>
      <c r="E1030">
        <v>0.2</v>
      </c>
      <c r="F1030">
        <v>380</v>
      </c>
      <c r="G1030">
        <v>76</v>
      </c>
      <c r="T1030" t="s">
        <v>194</v>
      </c>
      <c r="U1030" t="s">
        <v>1044</v>
      </c>
      <c r="V1030" t="s">
        <v>405</v>
      </c>
      <c r="W1030">
        <v>100</v>
      </c>
    </row>
    <row r="1031" spans="1:23" x14ac:dyDescent="0.2">
      <c r="A1031" t="s">
        <v>980</v>
      </c>
      <c r="B1031" t="s">
        <v>254</v>
      </c>
      <c r="C1031" t="s">
        <v>80</v>
      </c>
      <c r="D1031" t="s">
        <v>317</v>
      </c>
      <c r="E1031">
        <v>0.95</v>
      </c>
      <c r="F1031">
        <v>380</v>
      </c>
      <c r="G1031">
        <v>361</v>
      </c>
      <c r="T1031" t="s">
        <v>194</v>
      </c>
      <c r="U1031" t="s">
        <v>1045</v>
      </c>
      <c r="V1031" t="s">
        <v>402</v>
      </c>
      <c r="W1031">
        <v>60</v>
      </c>
    </row>
    <row r="1032" spans="1:23" x14ac:dyDescent="0.2">
      <c r="A1032" t="s">
        <v>980</v>
      </c>
      <c r="B1032" t="s">
        <v>254</v>
      </c>
      <c r="C1032" t="s">
        <v>47</v>
      </c>
      <c r="D1032" t="s">
        <v>328</v>
      </c>
      <c r="E1032">
        <v>0.15</v>
      </c>
      <c r="F1032">
        <v>235</v>
      </c>
      <c r="G1032">
        <v>35.25</v>
      </c>
      <c r="T1032" t="s">
        <v>194</v>
      </c>
      <c r="U1032" t="s">
        <v>1046</v>
      </c>
      <c r="V1032" t="s">
        <v>1051</v>
      </c>
      <c r="W1032">
        <v>70</v>
      </c>
    </row>
    <row r="1033" spans="1:23" x14ac:dyDescent="0.2">
      <c r="A1033" t="s">
        <v>980</v>
      </c>
      <c r="B1033" t="s">
        <v>254</v>
      </c>
      <c r="C1033" t="s">
        <v>48</v>
      </c>
      <c r="D1033" t="s">
        <v>359</v>
      </c>
      <c r="E1033">
        <v>7.4999999999999997E-2</v>
      </c>
      <c r="F1033">
        <v>412</v>
      </c>
      <c r="G1033">
        <v>30.9</v>
      </c>
      <c r="T1033" t="s">
        <v>194</v>
      </c>
      <c r="U1033" t="s">
        <v>1047</v>
      </c>
      <c r="V1033" t="s">
        <v>1052</v>
      </c>
      <c r="W1033">
        <v>70</v>
      </c>
    </row>
    <row r="1034" spans="1:23" x14ac:dyDescent="0.2">
      <c r="A1034" t="s">
        <v>980</v>
      </c>
      <c r="B1034" t="s">
        <v>254</v>
      </c>
      <c r="C1034" t="s">
        <v>49</v>
      </c>
      <c r="D1034" t="s">
        <v>290</v>
      </c>
      <c r="E1034">
        <v>7.0000000000000001E-3</v>
      </c>
      <c r="F1034">
        <v>248</v>
      </c>
      <c r="G1034">
        <v>1.736</v>
      </c>
      <c r="T1034" t="s">
        <v>194</v>
      </c>
      <c r="U1034" t="s">
        <v>1048</v>
      </c>
      <c r="V1034" t="s">
        <v>1053</v>
      </c>
      <c r="W1034">
        <v>250</v>
      </c>
    </row>
    <row r="1035" spans="1:23" x14ac:dyDescent="0.2">
      <c r="A1035" t="s">
        <v>980</v>
      </c>
      <c r="B1035" t="s">
        <v>254</v>
      </c>
      <c r="C1035" t="s">
        <v>579</v>
      </c>
      <c r="D1035" t="s">
        <v>580</v>
      </c>
      <c r="E1035">
        <v>1</v>
      </c>
      <c r="F1035">
        <v>4</v>
      </c>
      <c r="G1035">
        <v>4</v>
      </c>
      <c r="T1035" t="s">
        <v>194</v>
      </c>
      <c r="U1035" t="s">
        <v>1049</v>
      </c>
      <c r="V1035" t="s">
        <v>1054</v>
      </c>
      <c r="W1035">
        <v>750</v>
      </c>
    </row>
    <row r="1036" spans="1:23" x14ac:dyDescent="0.2">
      <c r="A1036" t="s">
        <v>980</v>
      </c>
      <c r="B1036" t="s">
        <v>254</v>
      </c>
      <c r="C1036" t="s">
        <v>581</v>
      </c>
      <c r="D1036" t="s">
        <v>582</v>
      </c>
      <c r="E1036">
        <v>1</v>
      </c>
      <c r="F1036">
        <v>4</v>
      </c>
      <c r="G1036">
        <v>4</v>
      </c>
      <c r="T1036" t="s">
        <v>194</v>
      </c>
      <c r="U1036" t="s">
        <v>1050</v>
      </c>
      <c r="V1036" t="s">
        <v>1055</v>
      </c>
      <c r="W1036">
        <v>0</v>
      </c>
    </row>
    <row r="1037" spans="1:23" x14ac:dyDescent="0.2">
      <c r="A1037" t="s">
        <v>980</v>
      </c>
      <c r="B1037" t="s">
        <v>254</v>
      </c>
      <c r="C1037" t="s">
        <v>19</v>
      </c>
      <c r="D1037" t="s">
        <v>329</v>
      </c>
      <c r="E1037">
        <v>3</v>
      </c>
      <c r="F1037">
        <v>2.9</v>
      </c>
      <c r="G1037">
        <v>8.6999999999999993</v>
      </c>
      <c r="T1037" t="s">
        <v>193</v>
      </c>
      <c r="U1037" t="s">
        <v>1042</v>
      </c>
      <c r="V1037" t="s">
        <v>401</v>
      </c>
      <c r="W1037">
        <v>50</v>
      </c>
    </row>
    <row r="1038" spans="1:23" x14ac:dyDescent="0.2">
      <c r="A1038" t="s">
        <v>980</v>
      </c>
      <c r="B1038" t="s">
        <v>254</v>
      </c>
      <c r="C1038" t="s">
        <v>20</v>
      </c>
      <c r="D1038" t="s">
        <v>330</v>
      </c>
      <c r="E1038">
        <v>3</v>
      </c>
      <c r="F1038">
        <v>2.9</v>
      </c>
      <c r="G1038">
        <v>8.6999999999999993</v>
      </c>
      <c r="T1038" t="s">
        <v>193</v>
      </c>
      <c r="U1038" t="s">
        <v>1043</v>
      </c>
      <c r="V1038" t="s">
        <v>272</v>
      </c>
      <c r="W1038">
        <v>375</v>
      </c>
    </row>
    <row r="1039" spans="1:23" x14ac:dyDescent="0.2">
      <c r="A1039" t="s">
        <v>980</v>
      </c>
      <c r="B1039" t="s">
        <v>254</v>
      </c>
      <c r="C1039" t="s">
        <v>24</v>
      </c>
      <c r="D1039" t="s">
        <v>360</v>
      </c>
      <c r="E1039">
        <v>2</v>
      </c>
      <c r="F1039">
        <v>2.2000000000000002</v>
      </c>
      <c r="G1039">
        <v>4.4000000000000004</v>
      </c>
      <c r="T1039" t="s">
        <v>193</v>
      </c>
      <c r="U1039" t="s">
        <v>1044</v>
      </c>
      <c r="V1039" t="s">
        <v>405</v>
      </c>
      <c r="W1039">
        <v>100</v>
      </c>
    </row>
    <row r="1040" spans="1:23" x14ac:dyDescent="0.2">
      <c r="A1040" t="s">
        <v>980</v>
      </c>
      <c r="B1040" t="s">
        <v>254</v>
      </c>
      <c r="C1040" t="s">
        <v>26</v>
      </c>
      <c r="D1040" t="s">
        <v>361</v>
      </c>
      <c r="E1040">
        <v>16</v>
      </c>
      <c r="F1040">
        <v>1.5</v>
      </c>
      <c r="G1040">
        <v>24</v>
      </c>
      <c r="T1040" t="s">
        <v>193</v>
      </c>
      <c r="U1040" t="s">
        <v>1045</v>
      </c>
      <c r="V1040" t="s">
        <v>402</v>
      </c>
      <c r="W1040">
        <v>60</v>
      </c>
    </row>
    <row r="1041" spans="1:23" x14ac:dyDescent="0.2">
      <c r="A1041" t="s">
        <v>980</v>
      </c>
      <c r="B1041" t="s">
        <v>254</v>
      </c>
      <c r="C1041" t="s">
        <v>29</v>
      </c>
      <c r="D1041" t="s">
        <v>292</v>
      </c>
      <c r="E1041">
        <v>0.76</v>
      </c>
      <c r="F1041">
        <v>27</v>
      </c>
      <c r="G1041">
        <v>20.52</v>
      </c>
      <c r="T1041" t="s">
        <v>193</v>
      </c>
      <c r="U1041" t="s">
        <v>1046</v>
      </c>
      <c r="V1041" t="s">
        <v>1051</v>
      </c>
      <c r="W1041">
        <v>70</v>
      </c>
    </row>
    <row r="1042" spans="1:23" x14ac:dyDescent="0.2">
      <c r="A1042" t="s">
        <v>980</v>
      </c>
      <c r="B1042" t="s">
        <v>254</v>
      </c>
      <c r="C1042" t="s">
        <v>30</v>
      </c>
      <c r="D1042" t="s">
        <v>332</v>
      </c>
      <c r="E1042">
        <v>2</v>
      </c>
      <c r="F1042">
        <v>6</v>
      </c>
      <c r="G1042">
        <v>12</v>
      </c>
      <c r="T1042" t="s">
        <v>193</v>
      </c>
      <c r="U1042" t="s">
        <v>1047</v>
      </c>
      <c r="V1042" t="s">
        <v>1052</v>
      </c>
      <c r="W1042">
        <v>70</v>
      </c>
    </row>
    <row r="1043" spans="1:23" x14ac:dyDescent="0.2">
      <c r="A1043" t="s">
        <v>980</v>
      </c>
      <c r="B1043" t="s">
        <v>254</v>
      </c>
      <c r="C1043" t="s">
        <v>104</v>
      </c>
      <c r="D1043" t="s">
        <v>343</v>
      </c>
      <c r="E1043">
        <v>1.4999999999999999E-2</v>
      </c>
      <c r="F1043">
        <v>890</v>
      </c>
      <c r="G1043">
        <v>13.35</v>
      </c>
      <c r="T1043" t="s">
        <v>193</v>
      </c>
      <c r="U1043" t="s">
        <v>1048</v>
      </c>
      <c r="V1043" t="s">
        <v>1053</v>
      </c>
      <c r="W1043">
        <v>250</v>
      </c>
    </row>
    <row r="1044" spans="1:23" x14ac:dyDescent="0.2">
      <c r="A1044" t="s">
        <v>980</v>
      </c>
      <c r="B1044" t="s">
        <v>254</v>
      </c>
      <c r="C1044" t="s">
        <v>121</v>
      </c>
      <c r="D1044" t="s">
        <v>301</v>
      </c>
      <c r="E1044">
        <v>1</v>
      </c>
      <c r="F1044">
        <v>0.95</v>
      </c>
      <c r="G1044">
        <v>0.95</v>
      </c>
      <c r="T1044" t="s">
        <v>193</v>
      </c>
      <c r="U1044" t="s">
        <v>1049</v>
      </c>
      <c r="V1044" t="s">
        <v>1054</v>
      </c>
      <c r="W1044">
        <v>750</v>
      </c>
    </row>
    <row r="1045" spans="1:23" x14ac:dyDescent="0.2">
      <c r="A1045" t="s">
        <v>980</v>
      </c>
      <c r="B1045" t="s">
        <v>254</v>
      </c>
      <c r="C1045" t="s">
        <v>122</v>
      </c>
      <c r="D1045" t="s">
        <v>302</v>
      </c>
      <c r="E1045">
        <v>1</v>
      </c>
      <c r="F1045">
        <v>4.2</v>
      </c>
      <c r="G1045">
        <v>4.2</v>
      </c>
      <c r="T1045" t="s">
        <v>193</v>
      </c>
      <c r="U1045" t="s">
        <v>1050</v>
      </c>
      <c r="V1045" t="s">
        <v>1055</v>
      </c>
      <c r="W1045">
        <v>0</v>
      </c>
    </row>
    <row r="1046" spans="1:23" x14ac:dyDescent="0.2">
      <c r="A1046" t="s">
        <v>980</v>
      </c>
      <c r="B1046" t="s">
        <v>254</v>
      </c>
      <c r="C1046" t="s">
        <v>4</v>
      </c>
      <c r="D1046" t="s">
        <v>304</v>
      </c>
      <c r="E1046">
        <v>7.3</v>
      </c>
      <c r="F1046">
        <v>10.1</v>
      </c>
      <c r="G1046">
        <v>73.73</v>
      </c>
      <c r="T1046" t="s">
        <v>199</v>
      </c>
      <c r="U1046" t="s">
        <v>1042</v>
      </c>
      <c r="V1046" t="s">
        <v>401</v>
      </c>
      <c r="W1046">
        <v>50</v>
      </c>
    </row>
    <row r="1047" spans="1:23" x14ac:dyDescent="0.2">
      <c r="A1047" t="s">
        <v>980</v>
      </c>
      <c r="B1047" t="s">
        <v>254</v>
      </c>
      <c r="C1047" t="s">
        <v>5</v>
      </c>
      <c r="D1047" t="s">
        <v>305</v>
      </c>
      <c r="E1047">
        <v>4.0999999999999996</v>
      </c>
      <c r="F1047">
        <v>11.5</v>
      </c>
      <c r="G1047">
        <v>47.15</v>
      </c>
      <c r="T1047" t="s">
        <v>199</v>
      </c>
      <c r="U1047" t="s">
        <v>1043</v>
      </c>
      <c r="V1047" t="s">
        <v>272</v>
      </c>
      <c r="W1047">
        <v>1</v>
      </c>
    </row>
    <row r="1048" spans="1:23" x14ac:dyDescent="0.2">
      <c r="A1048" t="s">
        <v>980</v>
      </c>
      <c r="B1048" t="s">
        <v>254</v>
      </c>
      <c r="C1048" t="s">
        <v>6</v>
      </c>
      <c r="D1048" t="s">
        <v>306</v>
      </c>
      <c r="E1048">
        <v>0.8</v>
      </c>
      <c r="F1048">
        <v>16.8</v>
      </c>
      <c r="G1048">
        <v>13.44</v>
      </c>
      <c r="T1048" t="s">
        <v>199</v>
      </c>
      <c r="U1048" t="s">
        <v>1044</v>
      </c>
      <c r="V1048" t="s">
        <v>405</v>
      </c>
      <c r="W1048">
        <v>100</v>
      </c>
    </row>
    <row r="1049" spans="1:23" x14ac:dyDescent="0.2">
      <c r="A1049" t="s">
        <v>980</v>
      </c>
      <c r="B1049" t="s">
        <v>254</v>
      </c>
      <c r="C1049" t="s">
        <v>7</v>
      </c>
      <c r="D1049" t="s">
        <v>307</v>
      </c>
      <c r="E1049">
        <v>0.35</v>
      </c>
      <c r="F1049">
        <v>6.7</v>
      </c>
      <c r="G1049">
        <v>2.3450000000000002</v>
      </c>
      <c r="T1049" t="s">
        <v>199</v>
      </c>
      <c r="U1049" t="s">
        <v>1045</v>
      </c>
      <c r="V1049" t="s">
        <v>402</v>
      </c>
      <c r="W1049">
        <v>60</v>
      </c>
    </row>
    <row r="1050" spans="1:23" x14ac:dyDescent="0.2">
      <c r="A1050" t="s">
        <v>980</v>
      </c>
      <c r="B1050" t="s">
        <v>254</v>
      </c>
      <c r="C1050" t="s">
        <v>12</v>
      </c>
      <c r="D1050" t="s">
        <v>308</v>
      </c>
      <c r="E1050">
        <v>0.45</v>
      </c>
      <c r="F1050">
        <v>7</v>
      </c>
      <c r="G1050">
        <v>3.15</v>
      </c>
      <c r="T1050" t="s">
        <v>199</v>
      </c>
      <c r="U1050" t="s">
        <v>1046</v>
      </c>
      <c r="V1050" t="s">
        <v>1051</v>
      </c>
      <c r="W1050">
        <v>70</v>
      </c>
    </row>
    <row r="1051" spans="1:23" x14ac:dyDescent="0.2">
      <c r="A1051" t="s">
        <v>980</v>
      </c>
      <c r="B1051" t="s">
        <v>254</v>
      </c>
      <c r="C1051" t="s">
        <v>105</v>
      </c>
      <c r="D1051" t="s">
        <v>313</v>
      </c>
      <c r="E1051">
        <v>30</v>
      </c>
      <c r="F1051">
        <v>0.1</v>
      </c>
      <c r="G1051">
        <v>3</v>
      </c>
      <c r="T1051" t="s">
        <v>199</v>
      </c>
      <c r="U1051" t="s">
        <v>1047</v>
      </c>
      <c r="V1051" t="s">
        <v>1052</v>
      </c>
      <c r="W1051">
        <v>70</v>
      </c>
    </row>
    <row r="1052" spans="1:23" x14ac:dyDescent="0.2">
      <c r="A1052" t="s">
        <v>980</v>
      </c>
      <c r="B1052" t="s">
        <v>254</v>
      </c>
      <c r="C1052" t="s">
        <v>111</v>
      </c>
      <c r="D1052" t="s">
        <v>320</v>
      </c>
      <c r="E1052">
        <v>250</v>
      </c>
      <c r="F1052">
        <v>0.1</v>
      </c>
      <c r="G1052">
        <v>25</v>
      </c>
      <c r="T1052" t="s">
        <v>199</v>
      </c>
      <c r="U1052" t="s">
        <v>1048</v>
      </c>
      <c r="V1052" t="s">
        <v>1053</v>
      </c>
      <c r="W1052">
        <v>250</v>
      </c>
    </row>
    <row r="1053" spans="1:23" x14ac:dyDescent="0.2">
      <c r="A1053" t="s">
        <v>978</v>
      </c>
      <c r="B1053" t="s">
        <v>255</v>
      </c>
      <c r="C1053" t="s">
        <v>94</v>
      </c>
      <c r="D1053" t="s">
        <v>280</v>
      </c>
      <c r="E1053">
        <v>1</v>
      </c>
      <c r="F1053">
        <v>3.5</v>
      </c>
      <c r="G1053">
        <v>3.5</v>
      </c>
      <c r="T1053" t="s">
        <v>199</v>
      </c>
      <c r="U1053" t="s">
        <v>1049</v>
      </c>
      <c r="V1053" t="s">
        <v>1054</v>
      </c>
      <c r="W1053">
        <v>750</v>
      </c>
    </row>
    <row r="1054" spans="1:23" x14ac:dyDescent="0.2">
      <c r="A1054" t="s">
        <v>978</v>
      </c>
      <c r="B1054" t="s">
        <v>255</v>
      </c>
      <c r="C1054" t="s">
        <v>95</v>
      </c>
      <c r="D1054" t="s">
        <v>281</v>
      </c>
      <c r="E1054">
        <v>2</v>
      </c>
      <c r="F1054">
        <v>2</v>
      </c>
      <c r="G1054">
        <v>4</v>
      </c>
      <c r="T1054" t="s">
        <v>199</v>
      </c>
      <c r="U1054" t="s">
        <v>1050</v>
      </c>
      <c r="V1054" t="s">
        <v>1055</v>
      </c>
      <c r="W1054">
        <v>0</v>
      </c>
    </row>
    <row r="1055" spans="1:23" x14ac:dyDescent="0.2">
      <c r="A1055" t="s">
        <v>978</v>
      </c>
      <c r="B1055" t="s">
        <v>255</v>
      </c>
      <c r="C1055" t="s">
        <v>44</v>
      </c>
      <c r="D1055" t="s">
        <v>324</v>
      </c>
      <c r="E1055">
        <v>0.25</v>
      </c>
      <c r="F1055">
        <v>65</v>
      </c>
      <c r="G1055">
        <v>16.25</v>
      </c>
      <c r="T1055" t="s">
        <v>198</v>
      </c>
      <c r="U1055" t="s">
        <v>1042</v>
      </c>
      <c r="V1055" t="s">
        <v>401</v>
      </c>
      <c r="W1055">
        <v>50</v>
      </c>
    </row>
    <row r="1056" spans="1:23" x14ac:dyDescent="0.2">
      <c r="A1056" t="s">
        <v>978</v>
      </c>
      <c r="B1056" t="s">
        <v>255</v>
      </c>
      <c r="C1056" t="s">
        <v>50</v>
      </c>
      <c r="D1056" t="s">
        <v>357</v>
      </c>
      <c r="E1056">
        <v>0.25</v>
      </c>
      <c r="F1056">
        <v>151</v>
      </c>
      <c r="G1056">
        <v>37.75</v>
      </c>
      <c r="T1056" t="s">
        <v>198</v>
      </c>
      <c r="U1056" t="s">
        <v>1043</v>
      </c>
      <c r="V1056" t="s">
        <v>272</v>
      </c>
      <c r="W1056">
        <v>435</v>
      </c>
    </row>
    <row r="1057" spans="1:23" x14ac:dyDescent="0.2">
      <c r="A1057" t="s">
        <v>978</v>
      </c>
      <c r="B1057" t="s">
        <v>255</v>
      </c>
      <c r="C1057" t="s">
        <v>52</v>
      </c>
      <c r="D1057" t="s">
        <v>321</v>
      </c>
      <c r="E1057">
        <v>1.45</v>
      </c>
      <c r="F1057">
        <v>120</v>
      </c>
      <c r="G1057">
        <v>174</v>
      </c>
      <c r="T1057" t="s">
        <v>198</v>
      </c>
      <c r="U1057" t="s">
        <v>1044</v>
      </c>
      <c r="V1057" t="s">
        <v>405</v>
      </c>
      <c r="W1057">
        <v>100</v>
      </c>
    </row>
    <row r="1058" spans="1:23" x14ac:dyDescent="0.2">
      <c r="A1058" t="s">
        <v>978</v>
      </c>
      <c r="B1058" t="s">
        <v>255</v>
      </c>
      <c r="C1058" t="s">
        <v>60</v>
      </c>
      <c r="D1058" t="s">
        <v>337</v>
      </c>
      <c r="E1058">
        <v>0.02</v>
      </c>
      <c r="F1058">
        <v>130</v>
      </c>
      <c r="G1058">
        <v>2.6</v>
      </c>
      <c r="T1058" t="s">
        <v>198</v>
      </c>
      <c r="U1058" t="s">
        <v>1045</v>
      </c>
      <c r="V1058" t="s">
        <v>402</v>
      </c>
      <c r="W1058">
        <v>60</v>
      </c>
    </row>
    <row r="1059" spans="1:23" x14ac:dyDescent="0.2">
      <c r="A1059" t="s">
        <v>978</v>
      </c>
      <c r="B1059" t="s">
        <v>255</v>
      </c>
      <c r="C1059" t="s">
        <v>69</v>
      </c>
      <c r="D1059" t="s">
        <v>288</v>
      </c>
      <c r="E1059">
        <v>0.25</v>
      </c>
      <c r="F1059">
        <v>190</v>
      </c>
      <c r="G1059">
        <v>47.5</v>
      </c>
      <c r="T1059" t="s">
        <v>198</v>
      </c>
      <c r="U1059" t="s">
        <v>1046</v>
      </c>
      <c r="V1059" t="s">
        <v>1051</v>
      </c>
      <c r="W1059">
        <v>70</v>
      </c>
    </row>
    <row r="1060" spans="1:23" x14ac:dyDescent="0.2">
      <c r="A1060" t="s">
        <v>978</v>
      </c>
      <c r="B1060" t="s">
        <v>255</v>
      </c>
      <c r="C1060" t="s">
        <v>79</v>
      </c>
      <c r="D1060" t="s">
        <v>289</v>
      </c>
      <c r="E1060">
        <v>0.2</v>
      </c>
      <c r="F1060">
        <v>380</v>
      </c>
      <c r="G1060">
        <v>76</v>
      </c>
      <c r="T1060" t="s">
        <v>198</v>
      </c>
      <c r="U1060" t="s">
        <v>1047</v>
      </c>
      <c r="V1060" t="s">
        <v>1052</v>
      </c>
      <c r="W1060">
        <v>70</v>
      </c>
    </row>
    <row r="1061" spans="1:23" x14ac:dyDescent="0.2">
      <c r="A1061" t="s">
        <v>978</v>
      </c>
      <c r="B1061" t="s">
        <v>255</v>
      </c>
      <c r="C1061" t="s">
        <v>81</v>
      </c>
      <c r="D1061" t="s">
        <v>322</v>
      </c>
      <c r="E1061">
        <v>0.95</v>
      </c>
      <c r="F1061">
        <v>380</v>
      </c>
      <c r="G1061">
        <v>361</v>
      </c>
      <c r="T1061" t="s">
        <v>198</v>
      </c>
      <c r="U1061" t="s">
        <v>1048</v>
      </c>
      <c r="V1061" t="s">
        <v>1053</v>
      </c>
      <c r="W1061">
        <v>250</v>
      </c>
    </row>
    <row r="1062" spans="1:23" x14ac:dyDescent="0.2">
      <c r="A1062" t="s">
        <v>978</v>
      </c>
      <c r="B1062" t="s">
        <v>255</v>
      </c>
      <c r="C1062" t="s">
        <v>47</v>
      </c>
      <c r="D1062" t="s">
        <v>328</v>
      </c>
      <c r="E1062">
        <v>0.15</v>
      </c>
      <c r="F1062">
        <v>235</v>
      </c>
      <c r="G1062">
        <v>35.25</v>
      </c>
      <c r="T1062" t="s">
        <v>198</v>
      </c>
      <c r="U1062" t="s">
        <v>1049</v>
      </c>
      <c r="V1062" t="s">
        <v>1054</v>
      </c>
      <c r="W1062">
        <v>750</v>
      </c>
    </row>
    <row r="1063" spans="1:23" x14ac:dyDescent="0.2">
      <c r="A1063" t="s">
        <v>978</v>
      </c>
      <c r="B1063" t="s">
        <v>255</v>
      </c>
      <c r="C1063" t="s">
        <v>48</v>
      </c>
      <c r="D1063" t="s">
        <v>359</v>
      </c>
      <c r="E1063">
        <v>7.4999999999999997E-2</v>
      </c>
      <c r="F1063">
        <v>412</v>
      </c>
      <c r="G1063">
        <v>30.9</v>
      </c>
      <c r="T1063" t="s">
        <v>198</v>
      </c>
      <c r="U1063" t="s">
        <v>1050</v>
      </c>
      <c r="V1063" t="s">
        <v>1055</v>
      </c>
      <c r="W1063">
        <v>0</v>
      </c>
    </row>
    <row r="1064" spans="1:23" x14ac:dyDescent="0.2">
      <c r="A1064" t="s">
        <v>978</v>
      </c>
      <c r="B1064" t="s">
        <v>255</v>
      </c>
      <c r="C1064" t="s">
        <v>49</v>
      </c>
      <c r="D1064" t="s">
        <v>290</v>
      </c>
      <c r="E1064">
        <v>7.0000000000000001E-3</v>
      </c>
      <c r="F1064">
        <v>248</v>
      </c>
      <c r="G1064">
        <v>1.736</v>
      </c>
      <c r="T1064" t="s">
        <v>195</v>
      </c>
      <c r="U1064" t="s">
        <v>1042</v>
      </c>
      <c r="V1064" t="s">
        <v>401</v>
      </c>
      <c r="W1064">
        <v>50</v>
      </c>
    </row>
    <row r="1065" spans="1:23" x14ac:dyDescent="0.2">
      <c r="A1065" t="s">
        <v>978</v>
      </c>
      <c r="B1065" t="s">
        <v>255</v>
      </c>
      <c r="C1065" t="s">
        <v>579</v>
      </c>
      <c r="D1065" t="s">
        <v>580</v>
      </c>
      <c r="E1065">
        <v>1</v>
      </c>
      <c r="F1065">
        <v>4</v>
      </c>
      <c r="G1065">
        <v>4</v>
      </c>
      <c r="T1065" t="s">
        <v>195</v>
      </c>
      <c r="U1065" t="s">
        <v>1043</v>
      </c>
      <c r="V1065" t="s">
        <v>272</v>
      </c>
      <c r="W1065">
        <v>435</v>
      </c>
    </row>
    <row r="1066" spans="1:23" x14ac:dyDescent="0.2">
      <c r="A1066" t="s">
        <v>978</v>
      </c>
      <c r="B1066" t="s">
        <v>255</v>
      </c>
      <c r="C1066" t="s">
        <v>581</v>
      </c>
      <c r="D1066" t="s">
        <v>582</v>
      </c>
      <c r="E1066">
        <v>1</v>
      </c>
      <c r="F1066">
        <v>4</v>
      </c>
      <c r="G1066">
        <v>4</v>
      </c>
      <c r="T1066" t="s">
        <v>195</v>
      </c>
      <c r="U1066" t="s">
        <v>1044</v>
      </c>
      <c r="V1066" t="s">
        <v>405</v>
      </c>
      <c r="W1066">
        <v>100</v>
      </c>
    </row>
    <row r="1067" spans="1:23" x14ac:dyDescent="0.2">
      <c r="A1067" t="s">
        <v>978</v>
      </c>
      <c r="B1067" t="s">
        <v>255</v>
      </c>
      <c r="C1067" t="s">
        <v>19</v>
      </c>
      <c r="D1067" t="s">
        <v>329</v>
      </c>
      <c r="E1067">
        <v>3</v>
      </c>
      <c r="F1067">
        <v>2.9</v>
      </c>
      <c r="G1067">
        <v>8.6999999999999993</v>
      </c>
      <c r="T1067" t="s">
        <v>195</v>
      </c>
      <c r="U1067" t="s">
        <v>1045</v>
      </c>
      <c r="V1067" t="s">
        <v>402</v>
      </c>
      <c r="W1067">
        <v>60</v>
      </c>
    </row>
    <row r="1068" spans="1:23" x14ac:dyDescent="0.2">
      <c r="A1068" t="s">
        <v>978</v>
      </c>
      <c r="B1068" t="s">
        <v>255</v>
      </c>
      <c r="C1068" t="s">
        <v>20</v>
      </c>
      <c r="D1068" t="s">
        <v>330</v>
      </c>
      <c r="E1068">
        <v>3</v>
      </c>
      <c r="F1068">
        <v>2.9</v>
      </c>
      <c r="G1068">
        <v>8.6999999999999993</v>
      </c>
      <c r="T1068" t="s">
        <v>195</v>
      </c>
      <c r="U1068" t="s">
        <v>1046</v>
      </c>
      <c r="V1068" t="s">
        <v>1051</v>
      </c>
      <c r="W1068">
        <v>70</v>
      </c>
    </row>
    <row r="1069" spans="1:23" x14ac:dyDescent="0.2">
      <c r="A1069" t="s">
        <v>978</v>
      </c>
      <c r="B1069" t="s">
        <v>255</v>
      </c>
      <c r="C1069" t="s">
        <v>24</v>
      </c>
      <c r="D1069" t="s">
        <v>360</v>
      </c>
      <c r="E1069">
        <v>2</v>
      </c>
      <c r="F1069">
        <v>2.2000000000000002</v>
      </c>
      <c r="G1069">
        <v>4.4000000000000004</v>
      </c>
      <c r="T1069" t="s">
        <v>195</v>
      </c>
      <c r="U1069" t="s">
        <v>1047</v>
      </c>
      <c r="V1069" t="s">
        <v>1052</v>
      </c>
      <c r="W1069">
        <v>70</v>
      </c>
    </row>
    <row r="1070" spans="1:23" x14ac:dyDescent="0.2">
      <c r="A1070" t="s">
        <v>978</v>
      </c>
      <c r="B1070" t="s">
        <v>255</v>
      </c>
      <c r="C1070" t="s">
        <v>26</v>
      </c>
      <c r="D1070" t="s">
        <v>361</v>
      </c>
      <c r="E1070">
        <v>16</v>
      </c>
      <c r="F1070">
        <v>1.5</v>
      </c>
      <c r="G1070">
        <v>24</v>
      </c>
      <c r="T1070" t="s">
        <v>195</v>
      </c>
      <c r="U1070" t="s">
        <v>1048</v>
      </c>
      <c r="V1070" t="s">
        <v>1053</v>
      </c>
      <c r="W1070">
        <v>250</v>
      </c>
    </row>
    <row r="1071" spans="1:23" x14ac:dyDescent="0.2">
      <c r="A1071" t="s">
        <v>978</v>
      </c>
      <c r="B1071" t="s">
        <v>255</v>
      </c>
      <c r="C1071" t="s">
        <v>29</v>
      </c>
      <c r="D1071" t="s">
        <v>292</v>
      </c>
      <c r="E1071">
        <v>0.76</v>
      </c>
      <c r="F1071">
        <v>27</v>
      </c>
      <c r="G1071">
        <v>20.52</v>
      </c>
      <c r="T1071" t="s">
        <v>195</v>
      </c>
      <c r="U1071" t="s">
        <v>1049</v>
      </c>
      <c r="V1071" t="s">
        <v>1054</v>
      </c>
      <c r="W1071">
        <v>750</v>
      </c>
    </row>
    <row r="1072" spans="1:23" x14ac:dyDescent="0.2">
      <c r="A1072" t="s">
        <v>978</v>
      </c>
      <c r="B1072" t="s">
        <v>255</v>
      </c>
      <c r="C1072" t="s">
        <v>30</v>
      </c>
      <c r="D1072" t="s">
        <v>332</v>
      </c>
      <c r="E1072">
        <v>2</v>
      </c>
      <c r="F1072">
        <v>6</v>
      </c>
      <c r="G1072">
        <v>12</v>
      </c>
      <c r="T1072" t="s">
        <v>195</v>
      </c>
      <c r="U1072" t="s">
        <v>1050</v>
      </c>
      <c r="V1072" t="s">
        <v>1055</v>
      </c>
      <c r="W1072">
        <v>0</v>
      </c>
    </row>
    <row r="1073" spans="1:23" x14ac:dyDescent="0.2">
      <c r="A1073" t="s">
        <v>978</v>
      </c>
      <c r="B1073" t="s">
        <v>255</v>
      </c>
      <c r="C1073" t="s">
        <v>104</v>
      </c>
      <c r="D1073" t="s">
        <v>343</v>
      </c>
      <c r="E1073">
        <v>1.4999999999999999E-2</v>
      </c>
      <c r="F1073">
        <v>890</v>
      </c>
      <c r="G1073">
        <v>13.35</v>
      </c>
      <c r="T1073" t="s">
        <v>200</v>
      </c>
      <c r="U1073" t="s">
        <v>1042</v>
      </c>
      <c r="V1073" t="s">
        <v>401</v>
      </c>
      <c r="W1073">
        <v>50</v>
      </c>
    </row>
    <row r="1074" spans="1:23" x14ac:dyDescent="0.2">
      <c r="A1074" t="s">
        <v>978</v>
      </c>
      <c r="B1074" t="s">
        <v>255</v>
      </c>
      <c r="C1074" t="s">
        <v>121</v>
      </c>
      <c r="D1074" t="s">
        <v>301</v>
      </c>
      <c r="E1074">
        <v>1</v>
      </c>
      <c r="F1074">
        <v>0.95</v>
      </c>
      <c r="G1074">
        <v>0.95</v>
      </c>
      <c r="T1074" t="s">
        <v>200</v>
      </c>
      <c r="U1074" t="s">
        <v>1043</v>
      </c>
      <c r="V1074" t="s">
        <v>272</v>
      </c>
      <c r="W1074">
        <v>435</v>
      </c>
    </row>
    <row r="1075" spans="1:23" x14ac:dyDescent="0.2">
      <c r="A1075" t="s">
        <v>978</v>
      </c>
      <c r="B1075" t="s">
        <v>255</v>
      </c>
      <c r="C1075" t="s">
        <v>122</v>
      </c>
      <c r="D1075" t="s">
        <v>302</v>
      </c>
      <c r="E1075">
        <v>1</v>
      </c>
      <c r="F1075">
        <v>4.2</v>
      </c>
      <c r="G1075">
        <v>4.2</v>
      </c>
      <c r="T1075" t="s">
        <v>200</v>
      </c>
      <c r="U1075" t="s">
        <v>1044</v>
      </c>
      <c r="V1075" t="s">
        <v>405</v>
      </c>
      <c r="W1075">
        <v>100</v>
      </c>
    </row>
    <row r="1076" spans="1:23" x14ac:dyDescent="0.2">
      <c r="A1076" t="s">
        <v>978</v>
      </c>
      <c r="B1076" t="s">
        <v>255</v>
      </c>
      <c r="C1076" t="s">
        <v>4</v>
      </c>
      <c r="D1076" t="s">
        <v>304</v>
      </c>
      <c r="E1076">
        <v>7.3</v>
      </c>
      <c r="F1076">
        <v>10.1</v>
      </c>
      <c r="G1076">
        <v>73.73</v>
      </c>
      <c r="T1076" t="s">
        <v>200</v>
      </c>
      <c r="U1076" t="s">
        <v>1045</v>
      </c>
      <c r="V1076" t="s">
        <v>402</v>
      </c>
      <c r="W1076">
        <v>60</v>
      </c>
    </row>
    <row r="1077" spans="1:23" x14ac:dyDescent="0.2">
      <c r="A1077" t="s">
        <v>978</v>
      </c>
      <c r="B1077" t="s">
        <v>255</v>
      </c>
      <c r="C1077" t="s">
        <v>5</v>
      </c>
      <c r="D1077" t="s">
        <v>305</v>
      </c>
      <c r="E1077">
        <v>4.0999999999999996</v>
      </c>
      <c r="F1077">
        <v>11.5</v>
      </c>
      <c r="G1077">
        <v>47.15</v>
      </c>
      <c r="T1077" t="s">
        <v>200</v>
      </c>
      <c r="U1077" t="s">
        <v>1046</v>
      </c>
      <c r="V1077" t="s">
        <v>1051</v>
      </c>
      <c r="W1077">
        <v>70</v>
      </c>
    </row>
    <row r="1078" spans="1:23" x14ac:dyDescent="0.2">
      <c r="A1078" t="s">
        <v>978</v>
      </c>
      <c r="B1078" t="s">
        <v>255</v>
      </c>
      <c r="C1078" t="s">
        <v>6</v>
      </c>
      <c r="D1078" t="s">
        <v>306</v>
      </c>
      <c r="E1078">
        <v>0.8</v>
      </c>
      <c r="F1078">
        <v>16.8</v>
      </c>
      <c r="G1078">
        <v>13.44</v>
      </c>
      <c r="T1078" t="s">
        <v>200</v>
      </c>
      <c r="U1078" t="s">
        <v>1047</v>
      </c>
      <c r="V1078" t="s">
        <v>1052</v>
      </c>
      <c r="W1078">
        <v>70</v>
      </c>
    </row>
    <row r="1079" spans="1:23" x14ac:dyDescent="0.2">
      <c r="A1079" t="s">
        <v>978</v>
      </c>
      <c r="B1079" t="s">
        <v>255</v>
      </c>
      <c r="C1079" t="s">
        <v>7</v>
      </c>
      <c r="D1079" t="s">
        <v>307</v>
      </c>
      <c r="E1079">
        <v>0.35</v>
      </c>
      <c r="F1079">
        <v>6.7</v>
      </c>
      <c r="G1079">
        <v>2.3450000000000002</v>
      </c>
      <c r="T1079" t="s">
        <v>200</v>
      </c>
      <c r="U1079" t="s">
        <v>1048</v>
      </c>
      <c r="V1079" t="s">
        <v>1053</v>
      </c>
      <c r="W1079">
        <v>250</v>
      </c>
    </row>
    <row r="1080" spans="1:23" x14ac:dyDescent="0.2">
      <c r="A1080" t="s">
        <v>978</v>
      </c>
      <c r="B1080" t="s">
        <v>255</v>
      </c>
      <c r="C1080" t="s">
        <v>12</v>
      </c>
      <c r="D1080" t="s">
        <v>308</v>
      </c>
      <c r="E1080">
        <v>0.45</v>
      </c>
      <c r="F1080">
        <v>7</v>
      </c>
      <c r="G1080">
        <v>3.15</v>
      </c>
      <c r="T1080" t="s">
        <v>200</v>
      </c>
      <c r="U1080" t="s">
        <v>1049</v>
      </c>
      <c r="V1080" t="s">
        <v>1054</v>
      </c>
      <c r="W1080">
        <v>750</v>
      </c>
    </row>
    <row r="1081" spans="1:23" x14ac:dyDescent="0.2">
      <c r="A1081" t="s">
        <v>978</v>
      </c>
      <c r="B1081" t="s">
        <v>255</v>
      </c>
      <c r="C1081" t="s">
        <v>105</v>
      </c>
      <c r="D1081" t="s">
        <v>313</v>
      </c>
      <c r="E1081">
        <v>30</v>
      </c>
      <c r="F1081">
        <v>0.1</v>
      </c>
      <c r="G1081">
        <v>3</v>
      </c>
      <c r="T1081" t="s">
        <v>200</v>
      </c>
      <c r="U1081" t="s">
        <v>1050</v>
      </c>
      <c r="V1081" t="s">
        <v>1055</v>
      </c>
      <c r="W1081">
        <v>0</v>
      </c>
    </row>
    <row r="1082" spans="1:23" x14ac:dyDescent="0.2">
      <c r="A1082" t="s">
        <v>978</v>
      </c>
      <c r="B1082" t="s">
        <v>255</v>
      </c>
      <c r="C1082" t="s">
        <v>108</v>
      </c>
      <c r="D1082" t="s">
        <v>323</v>
      </c>
      <c r="E1082">
        <v>250</v>
      </c>
      <c r="F1082">
        <v>0.1</v>
      </c>
      <c r="G1082">
        <v>25</v>
      </c>
      <c r="T1082" t="s">
        <v>196</v>
      </c>
      <c r="U1082" t="s">
        <v>1042</v>
      </c>
      <c r="V1082" t="s">
        <v>401</v>
      </c>
      <c r="W1082">
        <v>50</v>
      </c>
    </row>
    <row r="1083" spans="1:23" x14ac:dyDescent="0.2">
      <c r="A1083" t="s">
        <v>190</v>
      </c>
      <c r="B1083" t="s">
        <v>1022</v>
      </c>
      <c r="C1083" t="s">
        <v>94</v>
      </c>
      <c r="D1083" t="s">
        <v>280</v>
      </c>
      <c r="E1083">
        <v>1</v>
      </c>
      <c r="F1083">
        <v>3.5</v>
      </c>
      <c r="G1083">
        <v>3.5</v>
      </c>
      <c r="T1083" t="s">
        <v>196</v>
      </c>
      <c r="U1083" t="s">
        <v>1043</v>
      </c>
      <c r="V1083" t="s">
        <v>272</v>
      </c>
      <c r="W1083">
        <v>435</v>
      </c>
    </row>
    <row r="1084" spans="1:23" x14ac:dyDescent="0.2">
      <c r="A1084" t="s">
        <v>190</v>
      </c>
      <c r="B1084" t="s">
        <v>1022</v>
      </c>
      <c r="C1084" t="s">
        <v>95</v>
      </c>
      <c r="D1084" t="s">
        <v>281</v>
      </c>
      <c r="E1084">
        <v>1</v>
      </c>
      <c r="F1084">
        <v>2</v>
      </c>
      <c r="G1084">
        <v>2</v>
      </c>
      <c r="T1084" t="s">
        <v>196</v>
      </c>
      <c r="U1084" t="s">
        <v>1044</v>
      </c>
      <c r="V1084" t="s">
        <v>405</v>
      </c>
      <c r="W1084">
        <v>100</v>
      </c>
    </row>
    <row r="1085" spans="1:23" x14ac:dyDescent="0.2">
      <c r="A1085" t="s">
        <v>190</v>
      </c>
      <c r="B1085" t="s">
        <v>1022</v>
      </c>
      <c r="C1085" t="s">
        <v>44</v>
      </c>
      <c r="D1085" t="s">
        <v>324</v>
      </c>
      <c r="E1085">
        <v>0.3</v>
      </c>
      <c r="F1085">
        <v>65</v>
      </c>
      <c r="G1085">
        <v>19.5</v>
      </c>
      <c r="T1085" t="s">
        <v>196</v>
      </c>
      <c r="U1085" t="s">
        <v>1045</v>
      </c>
      <c r="V1085" t="s">
        <v>402</v>
      </c>
      <c r="W1085">
        <v>60</v>
      </c>
    </row>
    <row r="1086" spans="1:23" x14ac:dyDescent="0.2">
      <c r="A1086" t="s">
        <v>190</v>
      </c>
      <c r="B1086" t="s">
        <v>1022</v>
      </c>
      <c r="C1086" t="s">
        <v>53</v>
      </c>
      <c r="D1086" t="s">
        <v>325</v>
      </c>
      <c r="E1086">
        <v>0.9</v>
      </c>
      <c r="F1086">
        <v>120</v>
      </c>
      <c r="G1086">
        <v>108</v>
      </c>
      <c r="T1086" t="s">
        <v>196</v>
      </c>
      <c r="U1086" t="s">
        <v>1046</v>
      </c>
      <c r="V1086" t="s">
        <v>1051</v>
      </c>
      <c r="W1086">
        <v>70</v>
      </c>
    </row>
    <row r="1087" spans="1:23" x14ac:dyDescent="0.2">
      <c r="A1087" t="s">
        <v>190</v>
      </c>
      <c r="B1087" t="s">
        <v>1022</v>
      </c>
      <c r="C1087" t="s">
        <v>69</v>
      </c>
      <c r="D1087" t="s">
        <v>288</v>
      </c>
      <c r="E1087">
        <v>0.19</v>
      </c>
      <c r="F1087">
        <v>190</v>
      </c>
      <c r="G1087">
        <v>36.1</v>
      </c>
      <c r="T1087" t="s">
        <v>196</v>
      </c>
      <c r="U1087" t="s">
        <v>1047</v>
      </c>
      <c r="V1087" t="s">
        <v>1052</v>
      </c>
      <c r="W1087">
        <v>70</v>
      </c>
    </row>
    <row r="1088" spans="1:23" x14ac:dyDescent="0.2">
      <c r="A1088" t="s">
        <v>190</v>
      </c>
      <c r="B1088" t="s">
        <v>1022</v>
      </c>
      <c r="C1088" t="s">
        <v>85</v>
      </c>
      <c r="D1088" t="s">
        <v>326</v>
      </c>
      <c r="E1088">
        <v>0.75</v>
      </c>
      <c r="F1088">
        <v>210</v>
      </c>
      <c r="G1088">
        <v>157.5</v>
      </c>
      <c r="T1088" t="s">
        <v>196</v>
      </c>
      <c r="U1088" t="s">
        <v>1048</v>
      </c>
      <c r="V1088" t="s">
        <v>1053</v>
      </c>
      <c r="W1088">
        <v>250</v>
      </c>
    </row>
    <row r="1089" spans="1:23" x14ac:dyDescent="0.2">
      <c r="A1089" t="s">
        <v>190</v>
      </c>
      <c r="B1089" t="s">
        <v>1022</v>
      </c>
      <c r="C1089" t="s">
        <v>93</v>
      </c>
      <c r="D1089" t="s">
        <v>327</v>
      </c>
      <c r="E1089">
        <v>0.125</v>
      </c>
      <c r="F1089">
        <v>70</v>
      </c>
      <c r="G1089">
        <v>8.75</v>
      </c>
      <c r="T1089" t="s">
        <v>196</v>
      </c>
      <c r="U1089" t="s">
        <v>1049</v>
      </c>
      <c r="V1089" t="s">
        <v>1054</v>
      </c>
      <c r="W1089">
        <v>750</v>
      </c>
    </row>
    <row r="1090" spans="1:23" x14ac:dyDescent="0.2">
      <c r="A1090" t="s">
        <v>190</v>
      </c>
      <c r="B1090" t="s">
        <v>1022</v>
      </c>
      <c r="C1090" t="s">
        <v>47</v>
      </c>
      <c r="D1090" t="s">
        <v>328</v>
      </c>
      <c r="E1090">
        <v>0.08</v>
      </c>
      <c r="F1090">
        <v>235</v>
      </c>
      <c r="G1090">
        <v>18.8</v>
      </c>
      <c r="T1090" t="s">
        <v>196</v>
      </c>
      <c r="U1090" t="s">
        <v>1050</v>
      </c>
      <c r="V1090" t="s">
        <v>1055</v>
      </c>
      <c r="W1090">
        <v>0</v>
      </c>
    </row>
    <row r="1091" spans="1:23" x14ac:dyDescent="0.2">
      <c r="A1091" t="s">
        <v>190</v>
      </c>
      <c r="B1091" t="s">
        <v>1022</v>
      </c>
      <c r="C1091" t="s">
        <v>49</v>
      </c>
      <c r="D1091" t="s">
        <v>290</v>
      </c>
      <c r="E1091">
        <v>7.4999999999999997E-2</v>
      </c>
      <c r="F1091">
        <v>248</v>
      </c>
      <c r="G1091">
        <v>18.600000000000001</v>
      </c>
      <c r="T1091" t="s">
        <v>197</v>
      </c>
      <c r="U1091" t="s">
        <v>1042</v>
      </c>
      <c r="V1091" t="s">
        <v>401</v>
      </c>
      <c r="W1091">
        <v>50</v>
      </c>
    </row>
    <row r="1092" spans="1:23" x14ac:dyDescent="0.2">
      <c r="A1092" t="s">
        <v>190</v>
      </c>
      <c r="B1092" t="s">
        <v>1022</v>
      </c>
      <c r="C1092" t="s">
        <v>19</v>
      </c>
      <c r="D1092" t="s">
        <v>329</v>
      </c>
      <c r="E1092">
        <v>1</v>
      </c>
      <c r="F1092">
        <v>2.9</v>
      </c>
      <c r="G1092">
        <v>2.9</v>
      </c>
      <c r="T1092" t="s">
        <v>197</v>
      </c>
      <c r="U1092" t="s">
        <v>1043</v>
      </c>
      <c r="V1092" t="s">
        <v>272</v>
      </c>
      <c r="W1092">
        <v>435</v>
      </c>
    </row>
    <row r="1093" spans="1:23" x14ac:dyDescent="0.2">
      <c r="A1093" t="s">
        <v>190</v>
      </c>
      <c r="B1093" t="s">
        <v>1022</v>
      </c>
      <c r="C1093" t="s">
        <v>20</v>
      </c>
      <c r="D1093" t="s">
        <v>330</v>
      </c>
      <c r="E1093">
        <v>1</v>
      </c>
      <c r="F1093">
        <v>2.9</v>
      </c>
      <c r="G1093">
        <v>2.9</v>
      </c>
      <c r="T1093" t="s">
        <v>197</v>
      </c>
      <c r="U1093" t="s">
        <v>1044</v>
      </c>
      <c r="V1093" t="s">
        <v>405</v>
      </c>
      <c r="W1093">
        <v>100</v>
      </c>
    </row>
    <row r="1094" spans="1:23" x14ac:dyDescent="0.2">
      <c r="A1094" t="s">
        <v>190</v>
      </c>
      <c r="B1094" t="s">
        <v>1022</v>
      </c>
      <c r="C1094" t="s">
        <v>22</v>
      </c>
      <c r="D1094" t="s">
        <v>331</v>
      </c>
      <c r="E1094">
        <v>2</v>
      </c>
      <c r="F1094">
        <v>2.5</v>
      </c>
      <c r="G1094">
        <v>5</v>
      </c>
      <c r="T1094" t="s">
        <v>197</v>
      </c>
      <c r="U1094" t="s">
        <v>1045</v>
      </c>
      <c r="V1094" t="s">
        <v>402</v>
      </c>
      <c r="W1094">
        <v>60</v>
      </c>
    </row>
    <row r="1095" spans="1:23" x14ac:dyDescent="0.2">
      <c r="A1095" t="s">
        <v>190</v>
      </c>
      <c r="B1095" t="s">
        <v>1022</v>
      </c>
      <c r="C1095" t="s">
        <v>29</v>
      </c>
      <c r="D1095" t="s">
        <v>292</v>
      </c>
      <c r="E1095">
        <v>0.35</v>
      </c>
      <c r="F1095">
        <v>27</v>
      </c>
      <c r="G1095">
        <v>9.4499999999999993</v>
      </c>
      <c r="T1095" t="s">
        <v>197</v>
      </c>
      <c r="U1095" t="s">
        <v>1046</v>
      </c>
      <c r="V1095" t="s">
        <v>1051</v>
      </c>
      <c r="W1095">
        <v>70</v>
      </c>
    </row>
    <row r="1096" spans="1:23" x14ac:dyDescent="0.2">
      <c r="A1096" t="s">
        <v>190</v>
      </c>
      <c r="B1096" t="s">
        <v>1022</v>
      </c>
      <c r="C1096" t="s">
        <v>30</v>
      </c>
      <c r="D1096" t="s">
        <v>332</v>
      </c>
      <c r="E1096">
        <v>1</v>
      </c>
      <c r="F1096">
        <v>6</v>
      </c>
      <c r="G1096">
        <v>6</v>
      </c>
      <c r="T1096" t="s">
        <v>197</v>
      </c>
      <c r="U1096" t="s">
        <v>1047</v>
      </c>
      <c r="V1096" t="s">
        <v>1052</v>
      </c>
      <c r="W1096">
        <v>70</v>
      </c>
    </row>
    <row r="1097" spans="1:23" x14ac:dyDescent="0.2">
      <c r="A1097" t="s">
        <v>190</v>
      </c>
      <c r="B1097" t="s">
        <v>1022</v>
      </c>
      <c r="C1097" t="s">
        <v>101</v>
      </c>
      <c r="D1097" t="s">
        <v>333</v>
      </c>
      <c r="E1097">
        <v>0.18</v>
      </c>
      <c r="F1097">
        <v>1200</v>
      </c>
      <c r="G1097">
        <v>216</v>
      </c>
      <c r="T1097" t="s">
        <v>197</v>
      </c>
      <c r="U1097" t="s">
        <v>1048</v>
      </c>
      <c r="V1097" t="s">
        <v>1053</v>
      </c>
      <c r="W1097">
        <v>250</v>
      </c>
    </row>
    <row r="1098" spans="1:23" x14ac:dyDescent="0.2">
      <c r="A1098" t="s">
        <v>190</v>
      </c>
      <c r="B1098" t="s">
        <v>1022</v>
      </c>
      <c r="C1098" t="s">
        <v>121</v>
      </c>
      <c r="D1098" t="s">
        <v>301</v>
      </c>
      <c r="E1098">
        <v>1</v>
      </c>
      <c r="F1098">
        <v>0.95</v>
      </c>
      <c r="G1098">
        <v>0.95</v>
      </c>
      <c r="T1098" t="s">
        <v>197</v>
      </c>
      <c r="U1098" t="s">
        <v>1049</v>
      </c>
      <c r="V1098" t="s">
        <v>1054</v>
      </c>
      <c r="W1098">
        <v>750</v>
      </c>
    </row>
    <row r="1099" spans="1:23" x14ac:dyDescent="0.2">
      <c r="A1099" t="s">
        <v>190</v>
      </c>
      <c r="B1099" t="s">
        <v>1022</v>
      </c>
      <c r="C1099" t="s">
        <v>122</v>
      </c>
      <c r="D1099" t="s">
        <v>302</v>
      </c>
      <c r="E1099">
        <v>1</v>
      </c>
      <c r="F1099">
        <v>4.2</v>
      </c>
      <c r="G1099">
        <v>4.2</v>
      </c>
      <c r="T1099" t="s">
        <v>197</v>
      </c>
      <c r="U1099" t="s">
        <v>1050</v>
      </c>
      <c r="V1099" t="s">
        <v>1055</v>
      </c>
      <c r="W1099">
        <v>0</v>
      </c>
    </row>
    <row r="1100" spans="1:23" x14ac:dyDescent="0.2">
      <c r="A1100" t="s">
        <v>190</v>
      </c>
      <c r="B1100" t="s">
        <v>1022</v>
      </c>
      <c r="C1100" t="s">
        <v>4</v>
      </c>
      <c r="D1100" t="s">
        <v>304</v>
      </c>
      <c r="E1100">
        <v>2.2000000000000002</v>
      </c>
      <c r="F1100">
        <v>10.1</v>
      </c>
      <c r="G1100">
        <v>22.22</v>
      </c>
      <c r="T1100" t="s">
        <v>209</v>
      </c>
      <c r="U1100" t="s">
        <v>1042</v>
      </c>
      <c r="V1100" t="s">
        <v>401</v>
      </c>
      <c r="W1100">
        <v>50</v>
      </c>
    </row>
    <row r="1101" spans="1:23" x14ac:dyDescent="0.2">
      <c r="A1101" t="s">
        <v>190</v>
      </c>
      <c r="B1101" t="s">
        <v>1022</v>
      </c>
      <c r="C1101" t="s">
        <v>107</v>
      </c>
      <c r="D1101" t="s">
        <v>316</v>
      </c>
      <c r="E1101">
        <v>20</v>
      </c>
      <c r="F1101">
        <v>0.1</v>
      </c>
      <c r="G1101">
        <v>2</v>
      </c>
      <c r="T1101" t="s">
        <v>209</v>
      </c>
      <c r="U1101" t="s">
        <v>1043</v>
      </c>
      <c r="V1101" t="s">
        <v>272</v>
      </c>
      <c r="W1101">
        <v>435</v>
      </c>
    </row>
    <row r="1102" spans="1:23" x14ac:dyDescent="0.2">
      <c r="A1102" t="s">
        <v>190</v>
      </c>
      <c r="B1102" t="s">
        <v>1022</v>
      </c>
      <c r="C1102" t="s">
        <v>119</v>
      </c>
      <c r="D1102" t="s">
        <v>334</v>
      </c>
      <c r="E1102">
        <v>100</v>
      </c>
      <c r="F1102">
        <v>0.1</v>
      </c>
      <c r="G1102">
        <v>10</v>
      </c>
      <c r="T1102" t="s">
        <v>209</v>
      </c>
      <c r="U1102" t="s">
        <v>1044</v>
      </c>
      <c r="V1102" t="s">
        <v>405</v>
      </c>
      <c r="W1102">
        <v>100</v>
      </c>
    </row>
    <row r="1103" spans="1:23" x14ac:dyDescent="0.2">
      <c r="A1103" t="s">
        <v>898</v>
      </c>
      <c r="B1103" t="s">
        <v>899</v>
      </c>
      <c r="C1103" t="s">
        <v>95</v>
      </c>
      <c r="D1103" t="s">
        <v>281</v>
      </c>
      <c r="E1103">
        <v>2</v>
      </c>
      <c r="F1103">
        <v>2</v>
      </c>
      <c r="G1103">
        <v>4</v>
      </c>
      <c r="T1103" t="s">
        <v>209</v>
      </c>
      <c r="U1103" t="s">
        <v>1045</v>
      </c>
      <c r="V1103" t="s">
        <v>402</v>
      </c>
      <c r="W1103">
        <v>60</v>
      </c>
    </row>
    <row r="1104" spans="1:23" x14ac:dyDescent="0.2">
      <c r="A1104" t="s">
        <v>898</v>
      </c>
      <c r="B1104" t="s">
        <v>899</v>
      </c>
      <c r="C1104" t="s">
        <v>56</v>
      </c>
      <c r="D1104" t="s">
        <v>287</v>
      </c>
      <c r="E1104">
        <v>0</v>
      </c>
      <c r="F1104">
        <v>90</v>
      </c>
      <c r="G1104">
        <v>0</v>
      </c>
      <c r="T1104" t="s">
        <v>209</v>
      </c>
      <c r="U1104" t="s">
        <v>1046</v>
      </c>
      <c r="V1104" t="s">
        <v>1051</v>
      </c>
      <c r="W1104">
        <v>70</v>
      </c>
    </row>
    <row r="1105" spans="1:23" x14ac:dyDescent="0.2">
      <c r="A1105" t="s">
        <v>898</v>
      </c>
      <c r="B1105" t="s">
        <v>899</v>
      </c>
      <c r="C1105" t="s">
        <v>490</v>
      </c>
      <c r="D1105" t="s">
        <v>491</v>
      </c>
      <c r="E1105">
        <v>0</v>
      </c>
      <c r="F1105">
        <v>90</v>
      </c>
      <c r="G1105">
        <v>0</v>
      </c>
      <c r="T1105" t="s">
        <v>209</v>
      </c>
      <c r="U1105" t="s">
        <v>1047</v>
      </c>
      <c r="V1105" t="s">
        <v>1052</v>
      </c>
      <c r="W1105">
        <v>70</v>
      </c>
    </row>
    <row r="1106" spans="1:23" x14ac:dyDescent="0.2">
      <c r="A1106" t="s">
        <v>898</v>
      </c>
      <c r="B1106" t="s">
        <v>899</v>
      </c>
      <c r="C1106" t="s">
        <v>22</v>
      </c>
      <c r="D1106" t="s">
        <v>331</v>
      </c>
      <c r="E1106">
        <v>1</v>
      </c>
      <c r="F1106">
        <v>2.5</v>
      </c>
      <c r="G1106">
        <v>2.5</v>
      </c>
      <c r="T1106" t="s">
        <v>209</v>
      </c>
      <c r="U1106" t="s">
        <v>1048</v>
      </c>
      <c r="V1106" t="s">
        <v>1053</v>
      </c>
      <c r="W1106">
        <v>250</v>
      </c>
    </row>
    <row r="1107" spans="1:23" x14ac:dyDescent="0.2">
      <c r="A1107" t="s">
        <v>898</v>
      </c>
      <c r="B1107" t="s">
        <v>899</v>
      </c>
      <c r="C1107" t="s">
        <v>121</v>
      </c>
      <c r="D1107" t="s">
        <v>301</v>
      </c>
      <c r="E1107">
        <v>0</v>
      </c>
      <c r="F1107">
        <v>0.95</v>
      </c>
      <c r="G1107">
        <v>0</v>
      </c>
      <c r="T1107" t="s">
        <v>209</v>
      </c>
      <c r="U1107" t="s">
        <v>1049</v>
      </c>
      <c r="V1107" t="s">
        <v>1054</v>
      </c>
      <c r="W1107">
        <v>750</v>
      </c>
    </row>
    <row r="1108" spans="1:23" x14ac:dyDescent="0.2">
      <c r="A1108" t="s">
        <v>898</v>
      </c>
      <c r="B1108" t="s">
        <v>899</v>
      </c>
      <c r="C1108" t="s">
        <v>122</v>
      </c>
      <c r="D1108" t="s">
        <v>302</v>
      </c>
      <c r="E1108">
        <v>1</v>
      </c>
      <c r="F1108">
        <v>4.2</v>
      </c>
      <c r="G1108">
        <v>4.2</v>
      </c>
      <c r="T1108" t="s">
        <v>209</v>
      </c>
      <c r="U1108" t="s">
        <v>1050</v>
      </c>
      <c r="V1108" t="s">
        <v>1055</v>
      </c>
      <c r="W1108">
        <v>0</v>
      </c>
    </row>
    <row r="1109" spans="1:23" x14ac:dyDescent="0.2">
      <c r="A1109" t="s">
        <v>898</v>
      </c>
      <c r="B1109" t="s">
        <v>899</v>
      </c>
      <c r="C1109" t="s">
        <v>4</v>
      </c>
      <c r="D1109" t="s">
        <v>304</v>
      </c>
      <c r="E1109">
        <v>9.3000000000000007</v>
      </c>
      <c r="F1109">
        <v>10.1</v>
      </c>
      <c r="G1109">
        <v>93.93</v>
      </c>
      <c r="T1109" t="s">
        <v>210</v>
      </c>
      <c r="U1109" t="s">
        <v>1042</v>
      </c>
      <c r="V1109" t="s">
        <v>401</v>
      </c>
      <c r="W1109">
        <v>50</v>
      </c>
    </row>
    <row r="1110" spans="1:23" x14ac:dyDescent="0.2">
      <c r="A1110" t="s">
        <v>896</v>
      </c>
      <c r="B1110" t="s">
        <v>897</v>
      </c>
      <c r="C1110" t="s">
        <v>95</v>
      </c>
      <c r="D1110" t="s">
        <v>281</v>
      </c>
      <c r="E1110">
        <v>2</v>
      </c>
      <c r="F1110">
        <v>2</v>
      </c>
      <c r="G1110">
        <v>4</v>
      </c>
      <c r="T1110" t="s">
        <v>210</v>
      </c>
      <c r="U1110" t="s">
        <v>1043</v>
      </c>
      <c r="V1110" t="s">
        <v>272</v>
      </c>
      <c r="W1110">
        <v>435</v>
      </c>
    </row>
    <row r="1111" spans="1:23" x14ac:dyDescent="0.2">
      <c r="A1111" t="s">
        <v>896</v>
      </c>
      <c r="B1111" t="s">
        <v>897</v>
      </c>
      <c r="C1111" t="s">
        <v>456</v>
      </c>
      <c r="D1111" t="s">
        <v>457</v>
      </c>
      <c r="E1111">
        <v>0</v>
      </c>
      <c r="F1111">
        <v>90</v>
      </c>
      <c r="G1111">
        <v>0</v>
      </c>
      <c r="T1111" t="s">
        <v>210</v>
      </c>
      <c r="U1111" t="s">
        <v>1044</v>
      </c>
      <c r="V1111" t="s">
        <v>405</v>
      </c>
      <c r="W1111">
        <v>100</v>
      </c>
    </row>
    <row r="1112" spans="1:23" x14ac:dyDescent="0.2">
      <c r="A1112" t="s">
        <v>896</v>
      </c>
      <c r="B1112" t="s">
        <v>897</v>
      </c>
      <c r="C1112" t="s">
        <v>490</v>
      </c>
      <c r="D1112" t="s">
        <v>491</v>
      </c>
      <c r="E1112">
        <v>0</v>
      </c>
      <c r="F1112">
        <v>90</v>
      </c>
      <c r="G1112">
        <v>0</v>
      </c>
      <c r="T1112" t="s">
        <v>210</v>
      </c>
      <c r="U1112" t="s">
        <v>1045</v>
      </c>
      <c r="V1112" t="s">
        <v>402</v>
      </c>
      <c r="W1112">
        <v>60</v>
      </c>
    </row>
    <row r="1113" spans="1:23" x14ac:dyDescent="0.2">
      <c r="A1113" t="s">
        <v>896</v>
      </c>
      <c r="B1113" t="s">
        <v>897</v>
      </c>
      <c r="C1113" t="s">
        <v>22</v>
      </c>
      <c r="D1113" t="s">
        <v>331</v>
      </c>
      <c r="E1113">
        <v>1</v>
      </c>
      <c r="F1113">
        <v>2.5</v>
      </c>
      <c r="G1113">
        <v>2.5</v>
      </c>
      <c r="T1113" t="s">
        <v>210</v>
      </c>
      <c r="U1113" t="s">
        <v>1046</v>
      </c>
      <c r="V1113" t="s">
        <v>1051</v>
      </c>
      <c r="W1113">
        <v>70</v>
      </c>
    </row>
    <row r="1114" spans="1:23" x14ac:dyDescent="0.2">
      <c r="A1114" t="s">
        <v>896</v>
      </c>
      <c r="B1114" t="s">
        <v>897</v>
      </c>
      <c r="C1114" t="s">
        <v>121</v>
      </c>
      <c r="D1114" t="s">
        <v>301</v>
      </c>
      <c r="E1114">
        <v>0</v>
      </c>
      <c r="F1114">
        <v>0.95</v>
      </c>
      <c r="G1114">
        <v>0</v>
      </c>
      <c r="T1114" t="s">
        <v>210</v>
      </c>
      <c r="U1114" t="s">
        <v>1047</v>
      </c>
      <c r="V1114" t="s">
        <v>1052</v>
      </c>
      <c r="W1114">
        <v>70</v>
      </c>
    </row>
    <row r="1115" spans="1:23" x14ac:dyDescent="0.2">
      <c r="A1115" t="s">
        <v>896</v>
      </c>
      <c r="B1115" t="s">
        <v>897</v>
      </c>
      <c r="C1115" t="s">
        <v>122</v>
      </c>
      <c r="D1115" t="s">
        <v>302</v>
      </c>
      <c r="E1115">
        <v>1</v>
      </c>
      <c r="F1115">
        <v>4.2</v>
      </c>
      <c r="G1115">
        <v>4.2</v>
      </c>
      <c r="T1115" t="s">
        <v>210</v>
      </c>
      <c r="U1115" t="s">
        <v>1048</v>
      </c>
      <c r="V1115" t="s">
        <v>1053</v>
      </c>
      <c r="W1115">
        <v>250</v>
      </c>
    </row>
    <row r="1116" spans="1:23" x14ac:dyDescent="0.2">
      <c r="A1116" t="s">
        <v>896</v>
      </c>
      <c r="B1116" t="s">
        <v>897</v>
      </c>
      <c r="C1116" t="s">
        <v>4</v>
      </c>
      <c r="D1116" t="s">
        <v>304</v>
      </c>
      <c r="E1116">
        <v>9.3000000000000007</v>
      </c>
      <c r="F1116">
        <v>10.1</v>
      </c>
      <c r="G1116">
        <v>93.93</v>
      </c>
      <c r="T1116" t="s">
        <v>210</v>
      </c>
      <c r="U1116" t="s">
        <v>1049</v>
      </c>
      <c r="V1116" t="s">
        <v>1054</v>
      </c>
      <c r="W1116">
        <v>750</v>
      </c>
    </row>
    <row r="1117" spans="1:23" x14ac:dyDescent="0.2">
      <c r="A1117" t="s">
        <v>892</v>
      </c>
      <c r="B1117" t="s">
        <v>893</v>
      </c>
      <c r="C1117" t="s">
        <v>95</v>
      </c>
      <c r="D1117" t="s">
        <v>281</v>
      </c>
      <c r="E1117">
        <v>2</v>
      </c>
      <c r="F1117">
        <v>2</v>
      </c>
      <c r="G1117">
        <v>4</v>
      </c>
      <c r="T1117" t="s">
        <v>210</v>
      </c>
      <c r="U1117" t="s">
        <v>1050</v>
      </c>
      <c r="V1117" t="s">
        <v>1055</v>
      </c>
      <c r="W1117">
        <v>0</v>
      </c>
    </row>
    <row r="1118" spans="1:23" x14ac:dyDescent="0.2">
      <c r="A1118" t="s">
        <v>892</v>
      </c>
      <c r="B1118" t="s">
        <v>893</v>
      </c>
      <c r="C1118" t="s">
        <v>53</v>
      </c>
      <c r="D1118" t="s">
        <v>325</v>
      </c>
      <c r="E1118">
        <v>0</v>
      </c>
      <c r="F1118">
        <v>120</v>
      </c>
      <c r="G1118">
        <v>0</v>
      </c>
      <c r="T1118" t="s">
        <v>212</v>
      </c>
      <c r="U1118" t="s">
        <v>1042</v>
      </c>
      <c r="V1118" t="s">
        <v>401</v>
      </c>
      <c r="W1118">
        <v>50</v>
      </c>
    </row>
    <row r="1119" spans="1:23" x14ac:dyDescent="0.2">
      <c r="A1119" t="s">
        <v>892</v>
      </c>
      <c r="B1119" t="s">
        <v>893</v>
      </c>
      <c r="C1119" t="s">
        <v>486</v>
      </c>
      <c r="D1119" t="s">
        <v>487</v>
      </c>
      <c r="E1119">
        <v>0</v>
      </c>
      <c r="F1119">
        <v>90</v>
      </c>
      <c r="G1119">
        <v>0</v>
      </c>
      <c r="T1119" t="s">
        <v>212</v>
      </c>
      <c r="U1119" t="s">
        <v>1043</v>
      </c>
      <c r="V1119" t="s">
        <v>272</v>
      </c>
      <c r="W1119">
        <v>435</v>
      </c>
    </row>
    <row r="1120" spans="1:23" x14ac:dyDescent="0.2">
      <c r="A1120" t="s">
        <v>892</v>
      </c>
      <c r="B1120" t="s">
        <v>893</v>
      </c>
      <c r="C1120" t="s">
        <v>22</v>
      </c>
      <c r="D1120" t="s">
        <v>331</v>
      </c>
      <c r="E1120">
        <v>1</v>
      </c>
      <c r="F1120">
        <v>2.5</v>
      </c>
      <c r="G1120">
        <v>2.5</v>
      </c>
      <c r="T1120" t="s">
        <v>212</v>
      </c>
      <c r="U1120" t="s">
        <v>1044</v>
      </c>
      <c r="V1120" t="s">
        <v>405</v>
      </c>
      <c r="W1120">
        <v>100</v>
      </c>
    </row>
    <row r="1121" spans="1:23" x14ac:dyDescent="0.2">
      <c r="A1121" t="s">
        <v>892</v>
      </c>
      <c r="B1121" t="s">
        <v>893</v>
      </c>
      <c r="C1121" t="s">
        <v>121</v>
      </c>
      <c r="D1121" t="s">
        <v>301</v>
      </c>
      <c r="E1121">
        <v>1</v>
      </c>
      <c r="F1121">
        <v>0.95</v>
      </c>
      <c r="G1121">
        <v>0.95</v>
      </c>
      <c r="T1121" t="s">
        <v>212</v>
      </c>
      <c r="U1121" t="s">
        <v>1045</v>
      </c>
      <c r="V1121" t="s">
        <v>402</v>
      </c>
      <c r="W1121">
        <v>60</v>
      </c>
    </row>
    <row r="1122" spans="1:23" x14ac:dyDescent="0.2">
      <c r="A1122" t="s">
        <v>892</v>
      </c>
      <c r="B1122" t="s">
        <v>893</v>
      </c>
      <c r="C1122" t="s">
        <v>122</v>
      </c>
      <c r="D1122" t="s">
        <v>302</v>
      </c>
      <c r="E1122">
        <v>1</v>
      </c>
      <c r="F1122">
        <v>4.2</v>
      </c>
      <c r="G1122">
        <v>4.2</v>
      </c>
      <c r="T1122" t="s">
        <v>212</v>
      </c>
      <c r="U1122" t="s">
        <v>1046</v>
      </c>
      <c r="V1122" t="s">
        <v>1051</v>
      </c>
      <c r="W1122">
        <v>70</v>
      </c>
    </row>
    <row r="1123" spans="1:23" x14ac:dyDescent="0.2">
      <c r="A1123" t="s">
        <v>892</v>
      </c>
      <c r="B1123" t="s">
        <v>893</v>
      </c>
      <c r="C1123" t="s">
        <v>4</v>
      </c>
      <c r="D1123" t="s">
        <v>304</v>
      </c>
      <c r="E1123">
        <v>9.3000000000000007</v>
      </c>
      <c r="F1123">
        <v>10.1</v>
      </c>
      <c r="G1123">
        <v>93.93</v>
      </c>
      <c r="T1123" t="s">
        <v>212</v>
      </c>
      <c r="U1123" t="s">
        <v>1047</v>
      </c>
      <c r="V1123" t="s">
        <v>1052</v>
      </c>
      <c r="W1123">
        <v>70</v>
      </c>
    </row>
    <row r="1124" spans="1:23" x14ac:dyDescent="0.2">
      <c r="A1124" t="s">
        <v>892</v>
      </c>
      <c r="B1124" t="s">
        <v>893</v>
      </c>
      <c r="C1124" t="s">
        <v>105</v>
      </c>
      <c r="D1124" t="s">
        <v>313</v>
      </c>
      <c r="E1124">
        <v>0</v>
      </c>
      <c r="F1124">
        <v>0.1</v>
      </c>
      <c r="G1124">
        <v>0</v>
      </c>
      <c r="T1124" t="s">
        <v>212</v>
      </c>
      <c r="U1124" t="s">
        <v>1048</v>
      </c>
      <c r="V1124" t="s">
        <v>1053</v>
      </c>
      <c r="W1124">
        <v>250</v>
      </c>
    </row>
    <row r="1125" spans="1:23" x14ac:dyDescent="0.2">
      <c r="A1125" t="s">
        <v>892</v>
      </c>
      <c r="B1125" t="s">
        <v>893</v>
      </c>
      <c r="C1125" t="s">
        <v>107</v>
      </c>
      <c r="D1125" t="s">
        <v>316</v>
      </c>
      <c r="E1125">
        <v>0</v>
      </c>
      <c r="F1125">
        <v>0.1</v>
      </c>
      <c r="G1125">
        <v>0</v>
      </c>
      <c r="T1125" t="s">
        <v>212</v>
      </c>
      <c r="U1125" t="s">
        <v>1049</v>
      </c>
      <c r="V1125" t="s">
        <v>1054</v>
      </c>
      <c r="W1125">
        <v>750</v>
      </c>
    </row>
    <row r="1126" spans="1:23" x14ac:dyDescent="0.2">
      <c r="A1126" t="s">
        <v>894</v>
      </c>
      <c r="B1126" t="s">
        <v>895</v>
      </c>
      <c r="C1126" t="s">
        <v>95</v>
      </c>
      <c r="D1126" t="s">
        <v>281</v>
      </c>
      <c r="E1126">
        <v>2</v>
      </c>
      <c r="F1126">
        <v>2</v>
      </c>
      <c r="G1126">
        <v>4</v>
      </c>
      <c r="T1126" t="s">
        <v>212</v>
      </c>
      <c r="U1126" t="s">
        <v>1050</v>
      </c>
      <c r="V1126" t="s">
        <v>1055</v>
      </c>
      <c r="W1126">
        <v>0</v>
      </c>
    </row>
    <row r="1127" spans="1:23" x14ac:dyDescent="0.2">
      <c r="A1127" t="s">
        <v>894</v>
      </c>
      <c r="B1127" t="s">
        <v>895</v>
      </c>
      <c r="C1127" t="s">
        <v>56</v>
      </c>
      <c r="D1127" t="s">
        <v>287</v>
      </c>
      <c r="E1127">
        <v>0</v>
      </c>
      <c r="F1127">
        <v>90</v>
      </c>
      <c r="G1127">
        <v>0</v>
      </c>
      <c r="T1127" t="s">
        <v>211</v>
      </c>
      <c r="U1127" t="s">
        <v>1042</v>
      </c>
      <c r="V1127" t="s">
        <v>401</v>
      </c>
      <c r="W1127">
        <v>50</v>
      </c>
    </row>
    <row r="1128" spans="1:23" x14ac:dyDescent="0.2">
      <c r="A1128" t="s">
        <v>894</v>
      </c>
      <c r="B1128" t="s">
        <v>895</v>
      </c>
      <c r="C1128" t="s">
        <v>486</v>
      </c>
      <c r="D1128" t="s">
        <v>487</v>
      </c>
      <c r="E1128">
        <v>0</v>
      </c>
      <c r="F1128">
        <v>90</v>
      </c>
      <c r="G1128">
        <v>0</v>
      </c>
      <c r="T1128" t="s">
        <v>211</v>
      </c>
      <c r="U1128" t="s">
        <v>1043</v>
      </c>
      <c r="V1128" t="s">
        <v>272</v>
      </c>
      <c r="W1128">
        <v>435</v>
      </c>
    </row>
    <row r="1129" spans="1:23" x14ac:dyDescent="0.2">
      <c r="A1129" t="s">
        <v>894</v>
      </c>
      <c r="B1129" t="s">
        <v>895</v>
      </c>
      <c r="C1129" t="s">
        <v>22</v>
      </c>
      <c r="D1129" t="s">
        <v>331</v>
      </c>
      <c r="E1129">
        <v>1</v>
      </c>
      <c r="F1129">
        <v>2.5</v>
      </c>
      <c r="G1129">
        <v>2.5</v>
      </c>
      <c r="T1129" t="s">
        <v>211</v>
      </c>
      <c r="U1129" t="s">
        <v>1044</v>
      </c>
      <c r="V1129" t="s">
        <v>405</v>
      </c>
      <c r="W1129">
        <v>100</v>
      </c>
    </row>
    <row r="1130" spans="1:23" x14ac:dyDescent="0.2">
      <c r="A1130" t="s">
        <v>894</v>
      </c>
      <c r="B1130" t="s">
        <v>895</v>
      </c>
      <c r="C1130" t="s">
        <v>121</v>
      </c>
      <c r="D1130" t="s">
        <v>301</v>
      </c>
      <c r="E1130">
        <v>1</v>
      </c>
      <c r="F1130">
        <v>0.95</v>
      </c>
      <c r="G1130">
        <v>0.95</v>
      </c>
      <c r="T1130" t="s">
        <v>211</v>
      </c>
      <c r="U1130" t="s">
        <v>1045</v>
      </c>
      <c r="V1130" t="s">
        <v>402</v>
      </c>
      <c r="W1130">
        <v>60</v>
      </c>
    </row>
    <row r="1131" spans="1:23" x14ac:dyDescent="0.2">
      <c r="A1131" t="s">
        <v>894</v>
      </c>
      <c r="B1131" t="s">
        <v>895</v>
      </c>
      <c r="C1131" t="s">
        <v>122</v>
      </c>
      <c r="D1131" t="s">
        <v>302</v>
      </c>
      <c r="E1131">
        <v>1</v>
      </c>
      <c r="F1131">
        <v>4.2</v>
      </c>
      <c r="G1131">
        <v>4.2</v>
      </c>
      <c r="T1131" t="s">
        <v>211</v>
      </c>
      <c r="U1131" t="s">
        <v>1046</v>
      </c>
      <c r="V1131" t="s">
        <v>1051</v>
      </c>
      <c r="W1131">
        <v>70</v>
      </c>
    </row>
    <row r="1132" spans="1:23" x14ac:dyDescent="0.2">
      <c r="A1132" t="s">
        <v>894</v>
      </c>
      <c r="B1132" t="s">
        <v>895</v>
      </c>
      <c r="C1132" t="s">
        <v>4</v>
      </c>
      <c r="D1132" t="s">
        <v>304</v>
      </c>
      <c r="E1132">
        <v>9.3000000000000007</v>
      </c>
      <c r="F1132">
        <v>10.1</v>
      </c>
      <c r="G1132">
        <v>93.93</v>
      </c>
      <c r="T1132" t="s">
        <v>211</v>
      </c>
      <c r="U1132" t="s">
        <v>1047</v>
      </c>
      <c r="V1132" t="s">
        <v>1052</v>
      </c>
      <c r="W1132">
        <v>70</v>
      </c>
    </row>
    <row r="1133" spans="1:23" x14ac:dyDescent="0.2">
      <c r="A1133" t="s">
        <v>894</v>
      </c>
      <c r="B1133" t="s">
        <v>895</v>
      </c>
      <c r="C1133" t="s">
        <v>105</v>
      </c>
      <c r="D1133" t="s">
        <v>313</v>
      </c>
      <c r="E1133">
        <v>0</v>
      </c>
      <c r="F1133">
        <v>0.1</v>
      </c>
      <c r="G1133">
        <v>0</v>
      </c>
      <c r="T1133" t="s">
        <v>211</v>
      </c>
      <c r="U1133" t="s">
        <v>1048</v>
      </c>
      <c r="V1133" t="s">
        <v>1053</v>
      </c>
      <c r="W1133">
        <v>250</v>
      </c>
    </row>
    <row r="1134" spans="1:23" x14ac:dyDescent="0.2">
      <c r="A1134" t="s">
        <v>894</v>
      </c>
      <c r="B1134" t="s">
        <v>895</v>
      </c>
      <c r="C1134" t="s">
        <v>110</v>
      </c>
      <c r="D1134" t="s">
        <v>314</v>
      </c>
      <c r="E1134">
        <v>0</v>
      </c>
      <c r="F1134">
        <v>0.1</v>
      </c>
      <c r="G1134">
        <v>0</v>
      </c>
      <c r="T1134" t="s">
        <v>211</v>
      </c>
      <c r="U1134" t="s">
        <v>1049</v>
      </c>
      <c r="V1134" t="s">
        <v>1054</v>
      </c>
      <c r="W1134">
        <v>750</v>
      </c>
    </row>
    <row r="1135" spans="1:23" x14ac:dyDescent="0.2">
      <c r="A1135" t="s">
        <v>902</v>
      </c>
      <c r="B1135" t="s">
        <v>903</v>
      </c>
      <c r="C1135" t="s">
        <v>95</v>
      </c>
      <c r="D1135" t="s">
        <v>281</v>
      </c>
      <c r="E1135">
        <v>2</v>
      </c>
      <c r="F1135">
        <v>2</v>
      </c>
      <c r="G1135">
        <v>4</v>
      </c>
      <c r="T1135" t="s">
        <v>211</v>
      </c>
      <c r="U1135" t="s">
        <v>1050</v>
      </c>
      <c r="V1135" t="s">
        <v>1055</v>
      </c>
      <c r="W1135">
        <v>0</v>
      </c>
    </row>
    <row r="1136" spans="1:23" x14ac:dyDescent="0.2">
      <c r="A1136" t="s">
        <v>902</v>
      </c>
      <c r="B1136" t="s">
        <v>903</v>
      </c>
      <c r="C1136" t="s">
        <v>56</v>
      </c>
      <c r="D1136" t="s">
        <v>287</v>
      </c>
      <c r="E1136">
        <v>0</v>
      </c>
      <c r="F1136">
        <v>90</v>
      </c>
      <c r="G1136">
        <v>0</v>
      </c>
      <c r="T1136" t="s">
        <v>238</v>
      </c>
      <c r="U1136" t="s">
        <v>1042</v>
      </c>
      <c r="V1136" t="s">
        <v>401</v>
      </c>
      <c r="W1136">
        <v>50</v>
      </c>
    </row>
    <row r="1137" spans="1:23" x14ac:dyDescent="0.2">
      <c r="A1137" t="s">
        <v>902</v>
      </c>
      <c r="B1137" t="s">
        <v>903</v>
      </c>
      <c r="C1137" t="s">
        <v>488</v>
      </c>
      <c r="D1137" t="s">
        <v>489</v>
      </c>
      <c r="E1137">
        <v>0</v>
      </c>
      <c r="F1137">
        <v>90</v>
      </c>
      <c r="G1137">
        <v>0</v>
      </c>
      <c r="T1137" t="s">
        <v>238</v>
      </c>
      <c r="U1137" t="s">
        <v>1043</v>
      </c>
      <c r="V1137" t="s">
        <v>272</v>
      </c>
      <c r="W1137">
        <v>555</v>
      </c>
    </row>
    <row r="1138" spans="1:23" x14ac:dyDescent="0.2">
      <c r="A1138" t="s">
        <v>902</v>
      </c>
      <c r="B1138" t="s">
        <v>903</v>
      </c>
      <c r="C1138" t="s">
        <v>22</v>
      </c>
      <c r="D1138" t="s">
        <v>331</v>
      </c>
      <c r="E1138">
        <v>1</v>
      </c>
      <c r="F1138">
        <v>2.5</v>
      </c>
      <c r="G1138">
        <v>2.5</v>
      </c>
      <c r="T1138" t="s">
        <v>238</v>
      </c>
      <c r="U1138" t="s">
        <v>1044</v>
      </c>
      <c r="V1138" t="s">
        <v>405</v>
      </c>
      <c r="W1138">
        <v>100</v>
      </c>
    </row>
    <row r="1139" spans="1:23" x14ac:dyDescent="0.2">
      <c r="A1139" t="s">
        <v>902</v>
      </c>
      <c r="B1139" t="s">
        <v>903</v>
      </c>
      <c r="C1139" t="s">
        <v>121</v>
      </c>
      <c r="D1139" t="s">
        <v>301</v>
      </c>
      <c r="E1139">
        <v>0</v>
      </c>
      <c r="F1139">
        <v>0.95</v>
      </c>
      <c r="G1139">
        <v>0</v>
      </c>
      <c r="T1139" t="s">
        <v>238</v>
      </c>
      <c r="U1139" t="s">
        <v>1045</v>
      </c>
      <c r="V1139" t="s">
        <v>402</v>
      </c>
      <c r="W1139">
        <v>60</v>
      </c>
    </row>
    <row r="1140" spans="1:23" x14ac:dyDescent="0.2">
      <c r="A1140" t="s">
        <v>902</v>
      </c>
      <c r="B1140" t="s">
        <v>903</v>
      </c>
      <c r="C1140" t="s">
        <v>122</v>
      </c>
      <c r="D1140" t="s">
        <v>302</v>
      </c>
      <c r="E1140">
        <v>1</v>
      </c>
      <c r="F1140">
        <v>4.2</v>
      </c>
      <c r="G1140">
        <v>4.2</v>
      </c>
      <c r="T1140" t="s">
        <v>238</v>
      </c>
      <c r="U1140" t="s">
        <v>1046</v>
      </c>
      <c r="V1140" t="s">
        <v>1051</v>
      </c>
      <c r="W1140">
        <v>70</v>
      </c>
    </row>
    <row r="1141" spans="1:23" x14ac:dyDescent="0.2">
      <c r="A1141" t="s">
        <v>902</v>
      </c>
      <c r="B1141" t="s">
        <v>903</v>
      </c>
      <c r="C1141" t="s">
        <v>4</v>
      </c>
      <c r="D1141" t="s">
        <v>304</v>
      </c>
      <c r="E1141">
        <v>9.3000000000000007</v>
      </c>
      <c r="F1141">
        <v>10.1</v>
      </c>
      <c r="G1141">
        <v>93.93</v>
      </c>
      <c r="T1141" t="s">
        <v>238</v>
      </c>
      <c r="U1141" t="s">
        <v>1047</v>
      </c>
      <c r="V1141" t="s">
        <v>1052</v>
      </c>
      <c r="W1141">
        <v>70</v>
      </c>
    </row>
    <row r="1142" spans="1:23" x14ac:dyDescent="0.2">
      <c r="A1142" t="s">
        <v>902</v>
      </c>
      <c r="B1142" t="s">
        <v>903</v>
      </c>
      <c r="C1142" t="s">
        <v>110</v>
      </c>
      <c r="D1142" t="s">
        <v>314</v>
      </c>
      <c r="E1142">
        <v>0</v>
      </c>
      <c r="F1142">
        <v>0.1</v>
      </c>
      <c r="G1142">
        <v>0</v>
      </c>
      <c r="T1142" t="s">
        <v>238</v>
      </c>
      <c r="U1142" t="s">
        <v>1048</v>
      </c>
      <c r="V1142" t="s">
        <v>1053</v>
      </c>
      <c r="W1142">
        <v>250</v>
      </c>
    </row>
    <row r="1143" spans="1:23" x14ac:dyDescent="0.2">
      <c r="A1143" t="s">
        <v>902</v>
      </c>
      <c r="B1143" t="s">
        <v>903</v>
      </c>
      <c r="C1143" t="s">
        <v>120</v>
      </c>
      <c r="D1143" t="s">
        <v>340</v>
      </c>
      <c r="E1143">
        <v>0</v>
      </c>
      <c r="F1143">
        <v>0.1</v>
      </c>
      <c r="G1143">
        <v>0</v>
      </c>
      <c r="T1143" t="s">
        <v>238</v>
      </c>
      <c r="U1143" t="s">
        <v>1049</v>
      </c>
      <c r="V1143" t="s">
        <v>1054</v>
      </c>
      <c r="W1143">
        <v>750</v>
      </c>
    </row>
    <row r="1144" spans="1:23" x14ac:dyDescent="0.2">
      <c r="A1144" t="s">
        <v>900</v>
      </c>
      <c r="B1144" t="s">
        <v>901</v>
      </c>
      <c r="C1144" t="s">
        <v>95</v>
      </c>
      <c r="D1144" t="s">
        <v>281</v>
      </c>
      <c r="E1144">
        <v>2</v>
      </c>
      <c r="F1144">
        <v>2</v>
      </c>
      <c r="G1144">
        <v>4</v>
      </c>
      <c r="T1144" t="s">
        <v>238</v>
      </c>
      <c r="U1144" t="s">
        <v>1050</v>
      </c>
      <c r="V1144" t="s">
        <v>1055</v>
      </c>
      <c r="W1144">
        <v>0</v>
      </c>
    </row>
    <row r="1145" spans="1:23" x14ac:dyDescent="0.2">
      <c r="A1145" t="s">
        <v>900</v>
      </c>
      <c r="B1145" t="s">
        <v>901</v>
      </c>
      <c r="C1145" t="s">
        <v>53</v>
      </c>
      <c r="D1145" t="s">
        <v>325</v>
      </c>
      <c r="E1145">
        <v>0</v>
      </c>
      <c r="F1145">
        <v>120</v>
      </c>
      <c r="G1145">
        <v>0</v>
      </c>
      <c r="T1145" t="s">
        <v>239</v>
      </c>
      <c r="U1145" t="s">
        <v>1042</v>
      </c>
      <c r="V1145" t="s">
        <v>401</v>
      </c>
      <c r="W1145">
        <v>50</v>
      </c>
    </row>
    <row r="1146" spans="1:23" x14ac:dyDescent="0.2">
      <c r="A1146" t="s">
        <v>900</v>
      </c>
      <c r="B1146" t="s">
        <v>901</v>
      </c>
      <c r="C1146" t="s">
        <v>488</v>
      </c>
      <c r="D1146" t="s">
        <v>489</v>
      </c>
      <c r="E1146">
        <v>0</v>
      </c>
      <c r="F1146">
        <v>90</v>
      </c>
      <c r="G1146">
        <v>0</v>
      </c>
      <c r="T1146" t="s">
        <v>239</v>
      </c>
      <c r="U1146" t="s">
        <v>1043</v>
      </c>
      <c r="V1146" t="s">
        <v>272</v>
      </c>
      <c r="W1146">
        <v>555</v>
      </c>
    </row>
    <row r="1147" spans="1:23" x14ac:dyDescent="0.2">
      <c r="A1147" t="s">
        <v>900</v>
      </c>
      <c r="B1147" t="s">
        <v>901</v>
      </c>
      <c r="C1147" t="s">
        <v>121</v>
      </c>
      <c r="D1147" t="s">
        <v>301</v>
      </c>
      <c r="E1147">
        <v>0</v>
      </c>
      <c r="F1147">
        <v>0.95</v>
      </c>
      <c r="G1147">
        <v>0</v>
      </c>
      <c r="T1147" t="s">
        <v>239</v>
      </c>
      <c r="U1147" t="s">
        <v>1044</v>
      </c>
      <c r="V1147" t="s">
        <v>405</v>
      </c>
      <c r="W1147">
        <v>100</v>
      </c>
    </row>
    <row r="1148" spans="1:23" x14ac:dyDescent="0.2">
      <c r="A1148" t="s">
        <v>900</v>
      </c>
      <c r="B1148" t="s">
        <v>901</v>
      </c>
      <c r="C1148" t="s">
        <v>122</v>
      </c>
      <c r="D1148" t="s">
        <v>302</v>
      </c>
      <c r="E1148">
        <v>1</v>
      </c>
      <c r="F1148">
        <v>4.2</v>
      </c>
      <c r="G1148">
        <v>4.2</v>
      </c>
      <c r="T1148" t="s">
        <v>239</v>
      </c>
      <c r="U1148" t="s">
        <v>1045</v>
      </c>
      <c r="V1148" t="s">
        <v>402</v>
      </c>
      <c r="W1148">
        <v>60</v>
      </c>
    </row>
    <row r="1149" spans="1:23" x14ac:dyDescent="0.2">
      <c r="A1149" t="s">
        <v>900</v>
      </c>
      <c r="B1149" t="s">
        <v>901</v>
      </c>
      <c r="C1149" t="s">
        <v>4</v>
      </c>
      <c r="D1149" t="s">
        <v>304</v>
      </c>
      <c r="E1149">
        <v>9.3000000000000007</v>
      </c>
      <c r="F1149">
        <v>10.1</v>
      </c>
      <c r="G1149">
        <v>93.93</v>
      </c>
      <c r="T1149" t="s">
        <v>239</v>
      </c>
      <c r="U1149" t="s">
        <v>1046</v>
      </c>
      <c r="V1149" t="s">
        <v>1051</v>
      </c>
      <c r="W1149">
        <v>70</v>
      </c>
    </row>
    <row r="1150" spans="1:23" x14ac:dyDescent="0.2">
      <c r="A1150" t="s">
        <v>900</v>
      </c>
      <c r="B1150" t="s">
        <v>901</v>
      </c>
      <c r="C1150" t="s">
        <v>107</v>
      </c>
      <c r="D1150" t="s">
        <v>316</v>
      </c>
      <c r="E1150">
        <v>0</v>
      </c>
      <c r="F1150">
        <v>0.1</v>
      </c>
      <c r="G1150">
        <v>0</v>
      </c>
      <c r="T1150" t="s">
        <v>239</v>
      </c>
      <c r="U1150" t="s">
        <v>1047</v>
      </c>
      <c r="V1150" t="s">
        <v>1052</v>
      </c>
      <c r="W1150">
        <v>70</v>
      </c>
    </row>
    <row r="1151" spans="1:23" x14ac:dyDescent="0.2">
      <c r="A1151" t="s">
        <v>900</v>
      </c>
      <c r="B1151" t="s">
        <v>901</v>
      </c>
      <c r="C1151" t="s">
        <v>120</v>
      </c>
      <c r="D1151" t="s">
        <v>340</v>
      </c>
      <c r="E1151">
        <v>0</v>
      </c>
      <c r="F1151">
        <v>0.1</v>
      </c>
      <c r="G1151">
        <v>0</v>
      </c>
      <c r="T1151" t="s">
        <v>239</v>
      </c>
      <c r="U1151" t="s">
        <v>1048</v>
      </c>
      <c r="V1151" t="s">
        <v>1053</v>
      </c>
      <c r="W1151">
        <v>250</v>
      </c>
    </row>
    <row r="1152" spans="1:23" x14ac:dyDescent="0.2">
      <c r="A1152" t="s">
        <v>983</v>
      </c>
      <c r="B1152" t="s">
        <v>263</v>
      </c>
      <c r="C1152" t="s">
        <v>95</v>
      </c>
      <c r="D1152" t="s">
        <v>281</v>
      </c>
      <c r="E1152">
        <v>2</v>
      </c>
      <c r="F1152">
        <v>2</v>
      </c>
      <c r="G1152">
        <v>4</v>
      </c>
      <c r="T1152" t="s">
        <v>239</v>
      </c>
      <c r="U1152" t="s">
        <v>1049</v>
      </c>
      <c r="V1152" t="s">
        <v>1054</v>
      </c>
      <c r="W1152">
        <v>750</v>
      </c>
    </row>
    <row r="1153" spans="1:23" x14ac:dyDescent="0.2">
      <c r="A1153" t="s">
        <v>983</v>
      </c>
      <c r="B1153" t="s">
        <v>263</v>
      </c>
      <c r="C1153" t="s">
        <v>44</v>
      </c>
      <c r="D1153" t="s">
        <v>324</v>
      </c>
      <c r="E1153">
        <v>0.25</v>
      </c>
      <c r="F1153">
        <v>65</v>
      </c>
      <c r="G1153">
        <v>16.25</v>
      </c>
      <c r="T1153" t="s">
        <v>239</v>
      </c>
      <c r="U1153" t="s">
        <v>1050</v>
      </c>
      <c r="V1153" t="s">
        <v>1055</v>
      </c>
      <c r="W1153">
        <v>0</v>
      </c>
    </row>
    <row r="1154" spans="1:23" x14ac:dyDescent="0.2">
      <c r="A1154" t="s">
        <v>983</v>
      </c>
      <c r="B1154" t="s">
        <v>263</v>
      </c>
      <c r="C1154" t="s">
        <v>53</v>
      </c>
      <c r="D1154" t="s">
        <v>325</v>
      </c>
      <c r="E1154">
        <v>1.35</v>
      </c>
      <c r="F1154">
        <v>120</v>
      </c>
      <c r="G1154">
        <v>162</v>
      </c>
      <c r="T1154" t="s">
        <v>985</v>
      </c>
      <c r="U1154" t="s">
        <v>1042</v>
      </c>
      <c r="V1154" t="s">
        <v>401</v>
      </c>
      <c r="W1154">
        <v>50</v>
      </c>
    </row>
    <row r="1155" spans="1:23" x14ac:dyDescent="0.2">
      <c r="A1155" t="s">
        <v>983</v>
      </c>
      <c r="B1155" t="s">
        <v>263</v>
      </c>
      <c r="C1155" t="s">
        <v>60</v>
      </c>
      <c r="D1155" t="s">
        <v>337</v>
      </c>
      <c r="E1155">
        <v>0.25</v>
      </c>
      <c r="F1155">
        <v>130</v>
      </c>
      <c r="G1155">
        <v>32.5</v>
      </c>
      <c r="T1155" t="s">
        <v>985</v>
      </c>
      <c r="U1155" t="s">
        <v>1043</v>
      </c>
      <c r="V1155" t="s">
        <v>272</v>
      </c>
      <c r="W1155">
        <v>555</v>
      </c>
    </row>
    <row r="1156" spans="1:23" x14ac:dyDescent="0.2">
      <c r="A1156" t="s">
        <v>983</v>
      </c>
      <c r="B1156" t="s">
        <v>263</v>
      </c>
      <c r="C1156" t="s">
        <v>69</v>
      </c>
      <c r="D1156" t="s">
        <v>288</v>
      </c>
      <c r="E1156">
        <v>0.25</v>
      </c>
      <c r="F1156">
        <v>190</v>
      </c>
      <c r="G1156">
        <v>47.5</v>
      </c>
      <c r="T1156" t="s">
        <v>985</v>
      </c>
      <c r="U1156" t="s">
        <v>1044</v>
      </c>
      <c r="V1156" t="s">
        <v>405</v>
      </c>
      <c r="W1156">
        <v>100</v>
      </c>
    </row>
    <row r="1157" spans="1:23" x14ac:dyDescent="0.2">
      <c r="A1157" t="s">
        <v>983</v>
      </c>
      <c r="B1157" t="s">
        <v>263</v>
      </c>
      <c r="C1157" t="s">
        <v>84</v>
      </c>
      <c r="D1157" t="s">
        <v>346</v>
      </c>
      <c r="E1157">
        <v>0.85</v>
      </c>
      <c r="F1157">
        <v>190</v>
      </c>
      <c r="G1157">
        <v>161.5</v>
      </c>
      <c r="T1157" t="s">
        <v>985</v>
      </c>
      <c r="U1157" t="s">
        <v>1045</v>
      </c>
      <c r="V1157" t="s">
        <v>402</v>
      </c>
      <c r="W1157">
        <v>60</v>
      </c>
    </row>
    <row r="1158" spans="1:23" x14ac:dyDescent="0.2">
      <c r="A1158" t="s">
        <v>983</v>
      </c>
      <c r="B1158" t="s">
        <v>263</v>
      </c>
      <c r="C1158" t="s">
        <v>93</v>
      </c>
      <c r="D1158" t="s">
        <v>327</v>
      </c>
      <c r="E1158">
        <v>0.25</v>
      </c>
      <c r="F1158">
        <v>70</v>
      </c>
      <c r="G1158">
        <v>17.5</v>
      </c>
      <c r="T1158" t="s">
        <v>985</v>
      </c>
      <c r="U1158" t="s">
        <v>1046</v>
      </c>
      <c r="V1158" t="s">
        <v>1051</v>
      </c>
      <c r="W1158">
        <v>70</v>
      </c>
    </row>
    <row r="1159" spans="1:23" x14ac:dyDescent="0.2">
      <c r="A1159" t="s">
        <v>983</v>
      </c>
      <c r="B1159" t="s">
        <v>263</v>
      </c>
      <c r="C1159" t="s">
        <v>47</v>
      </c>
      <c r="D1159" t="s">
        <v>328</v>
      </c>
      <c r="E1159">
        <v>0.1</v>
      </c>
      <c r="F1159">
        <v>235</v>
      </c>
      <c r="G1159">
        <v>23.5</v>
      </c>
      <c r="T1159" t="s">
        <v>985</v>
      </c>
      <c r="U1159" t="s">
        <v>1047</v>
      </c>
      <c r="V1159" t="s">
        <v>1052</v>
      </c>
      <c r="W1159">
        <v>70</v>
      </c>
    </row>
    <row r="1160" spans="1:23" x14ac:dyDescent="0.2">
      <c r="A1160" t="s">
        <v>983</v>
      </c>
      <c r="B1160" t="s">
        <v>263</v>
      </c>
      <c r="C1160" t="s">
        <v>49</v>
      </c>
      <c r="D1160" t="s">
        <v>290</v>
      </c>
      <c r="E1160">
        <v>7.4999999999999997E-2</v>
      </c>
      <c r="F1160">
        <v>248</v>
      </c>
      <c r="G1160">
        <v>18.600000000000001</v>
      </c>
      <c r="T1160" t="s">
        <v>985</v>
      </c>
      <c r="U1160" t="s">
        <v>1048</v>
      </c>
      <c r="V1160" t="s">
        <v>1053</v>
      </c>
      <c r="W1160">
        <v>250</v>
      </c>
    </row>
    <row r="1161" spans="1:23" x14ac:dyDescent="0.2">
      <c r="A1161" t="s">
        <v>983</v>
      </c>
      <c r="B1161" t="s">
        <v>263</v>
      </c>
      <c r="C1161" t="s">
        <v>29</v>
      </c>
      <c r="D1161" t="s">
        <v>292</v>
      </c>
      <c r="E1161">
        <v>0.75</v>
      </c>
      <c r="F1161">
        <v>27</v>
      </c>
      <c r="G1161">
        <v>20.25</v>
      </c>
      <c r="T1161" t="s">
        <v>985</v>
      </c>
      <c r="U1161" t="s">
        <v>1049</v>
      </c>
      <c r="V1161" t="s">
        <v>1054</v>
      </c>
      <c r="W1161">
        <v>750</v>
      </c>
    </row>
    <row r="1162" spans="1:23" x14ac:dyDescent="0.2">
      <c r="A1162" t="s">
        <v>983</v>
      </c>
      <c r="B1162" t="s">
        <v>263</v>
      </c>
      <c r="C1162" t="s">
        <v>30</v>
      </c>
      <c r="D1162" t="s">
        <v>332</v>
      </c>
      <c r="E1162">
        <v>2</v>
      </c>
      <c r="F1162">
        <v>6</v>
      </c>
      <c r="G1162">
        <v>12</v>
      </c>
      <c r="T1162" t="s">
        <v>985</v>
      </c>
      <c r="U1162" t="s">
        <v>1050</v>
      </c>
      <c r="V1162" t="s">
        <v>1055</v>
      </c>
      <c r="W1162">
        <v>0</v>
      </c>
    </row>
    <row r="1163" spans="1:23" x14ac:dyDescent="0.2">
      <c r="A1163" t="s">
        <v>983</v>
      </c>
      <c r="B1163" t="s">
        <v>263</v>
      </c>
      <c r="C1163" t="s">
        <v>620</v>
      </c>
      <c r="D1163" t="s">
        <v>621</v>
      </c>
      <c r="E1163">
        <v>0.48</v>
      </c>
      <c r="F1163">
        <v>1</v>
      </c>
      <c r="G1163">
        <v>0.48</v>
      </c>
      <c r="T1163" t="s">
        <v>987</v>
      </c>
      <c r="U1163" t="s">
        <v>1042</v>
      </c>
      <c r="V1163" t="s">
        <v>401</v>
      </c>
      <c r="W1163">
        <v>50</v>
      </c>
    </row>
    <row r="1164" spans="1:23" x14ac:dyDescent="0.2">
      <c r="A1164" t="s">
        <v>983</v>
      </c>
      <c r="B1164" t="s">
        <v>263</v>
      </c>
      <c r="C1164" t="s">
        <v>34</v>
      </c>
      <c r="D1164" t="s">
        <v>294</v>
      </c>
      <c r="E1164">
        <v>2</v>
      </c>
      <c r="F1164">
        <v>18</v>
      </c>
      <c r="G1164">
        <v>36</v>
      </c>
      <c r="T1164" t="s">
        <v>987</v>
      </c>
      <c r="U1164" t="s">
        <v>1043</v>
      </c>
      <c r="V1164" t="s">
        <v>272</v>
      </c>
      <c r="W1164">
        <v>555</v>
      </c>
    </row>
    <row r="1165" spans="1:23" x14ac:dyDescent="0.2">
      <c r="A1165" t="s">
        <v>983</v>
      </c>
      <c r="B1165" t="s">
        <v>263</v>
      </c>
      <c r="C1165" t="s">
        <v>101</v>
      </c>
      <c r="D1165" t="s">
        <v>333</v>
      </c>
      <c r="E1165">
        <v>0.45</v>
      </c>
      <c r="F1165">
        <v>1200</v>
      </c>
      <c r="G1165">
        <v>540</v>
      </c>
      <c r="T1165" t="s">
        <v>987</v>
      </c>
      <c r="U1165" t="s">
        <v>1044</v>
      </c>
      <c r="V1165" t="s">
        <v>405</v>
      </c>
      <c r="W1165">
        <v>100</v>
      </c>
    </row>
    <row r="1166" spans="1:23" x14ac:dyDescent="0.2">
      <c r="A1166" t="s">
        <v>983</v>
      </c>
      <c r="B1166" t="s">
        <v>263</v>
      </c>
      <c r="C1166" t="s">
        <v>121</v>
      </c>
      <c r="D1166" t="s">
        <v>301</v>
      </c>
      <c r="E1166">
        <v>1</v>
      </c>
      <c r="F1166">
        <v>0.95</v>
      </c>
      <c r="G1166">
        <v>0.95</v>
      </c>
      <c r="T1166" t="s">
        <v>987</v>
      </c>
      <c r="U1166" t="s">
        <v>1045</v>
      </c>
      <c r="V1166" t="s">
        <v>402</v>
      </c>
      <c r="W1166">
        <v>60</v>
      </c>
    </row>
    <row r="1167" spans="1:23" x14ac:dyDescent="0.2">
      <c r="A1167" t="s">
        <v>983</v>
      </c>
      <c r="B1167" t="s">
        <v>263</v>
      </c>
      <c r="C1167" t="s">
        <v>122</v>
      </c>
      <c r="D1167" t="s">
        <v>302</v>
      </c>
      <c r="E1167">
        <v>1</v>
      </c>
      <c r="F1167">
        <v>4.2</v>
      </c>
      <c r="G1167">
        <v>4.2</v>
      </c>
      <c r="T1167" t="s">
        <v>987</v>
      </c>
      <c r="U1167" t="s">
        <v>1046</v>
      </c>
      <c r="V1167" t="s">
        <v>1051</v>
      </c>
      <c r="W1167">
        <v>70</v>
      </c>
    </row>
    <row r="1168" spans="1:23" x14ac:dyDescent="0.2">
      <c r="A1168" t="s">
        <v>983</v>
      </c>
      <c r="B1168" t="s">
        <v>263</v>
      </c>
      <c r="C1168" t="s">
        <v>4</v>
      </c>
      <c r="D1168" t="s">
        <v>304</v>
      </c>
      <c r="E1168">
        <v>0.25</v>
      </c>
      <c r="F1168">
        <v>10.1</v>
      </c>
      <c r="G1168">
        <v>2.5249999999999999</v>
      </c>
      <c r="T1168" t="s">
        <v>987</v>
      </c>
      <c r="U1168" t="s">
        <v>1047</v>
      </c>
      <c r="V1168" t="s">
        <v>1052</v>
      </c>
      <c r="W1168">
        <v>70</v>
      </c>
    </row>
    <row r="1169" spans="1:23" x14ac:dyDescent="0.2">
      <c r="A1169" t="s">
        <v>983</v>
      </c>
      <c r="B1169" t="s">
        <v>263</v>
      </c>
      <c r="C1169" t="s">
        <v>5</v>
      </c>
      <c r="D1169" t="s">
        <v>305</v>
      </c>
      <c r="E1169">
        <v>2.4</v>
      </c>
      <c r="F1169">
        <v>11.5</v>
      </c>
      <c r="G1169">
        <v>27.6</v>
      </c>
      <c r="T1169" t="s">
        <v>987</v>
      </c>
      <c r="U1169" t="s">
        <v>1048</v>
      </c>
      <c r="V1169" t="s">
        <v>1053</v>
      </c>
      <c r="W1169">
        <v>250</v>
      </c>
    </row>
    <row r="1170" spans="1:23" x14ac:dyDescent="0.2">
      <c r="A1170" t="s">
        <v>983</v>
      </c>
      <c r="B1170" t="s">
        <v>263</v>
      </c>
      <c r="C1170" t="s">
        <v>105</v>
      </c>
      <c r="D1170" t="s">
        <v>313</v>
      </c>
      <c r="E1170">
        <v>200</v>
      </c>
      <c r="F1170">
        <v>0.1</v>
      </c>
      <c r="G1170">
        <v>20</v>
      </c>
      <c r="T1170" t="s">
        <v>987</v>
      </c>
      <c r="U1170" t="s">
        <v>1049</v>
      </c>
      <c r="V1170" t="s">
        <v>1054</v>
      </c>
      <c r="W1170">
        <v>750</v>
      </c>
    </row>
    <row r="1171" spans="1:23" x14ac:dyDescent="0.2">
      <c r="A1171" t="s">
        <v>983</v>
      </c>
      <c r="B1171" t="s">
        <v>263</v>
      </c>
      <c r="C1171" t="s">
        <v>107</v>
      </c>
      <c r="D1171" t="s">
        <v>316</v>
      </c>
      <c r="E1171">
        <v>20</v>
      </c>
      <c r="F1171">
        <v>0.1</v>
      </c>
      <c r="G1171">
        <v>2</v>
      </c>
      <c r="T1171" t="s">
        <v>987</v>
      </c>
      <c r="U1171" t="s">
        <v>1050</v>
      </c>
      <c r="V1171" t="s">
        <v>1055</v>
      </c>
      <c r="W1171">
        <v>0</v>
      </c>
    </row>
    <row r="1172" spans="1:23" x14ac:dyDescent="0.2">
      <c r="A1172" t="s">
        <v>942</v>
      </c>
      <c r="B1172" t="s">
        <v>943</v>
      </c>
      <c r="C1172" t="s">
        <v>94</v>
      </c>
      <c r="D1172" t="s">
        <v>280</v>
      </c>
      <c r="E1172">
        <v>1</v>
      </c>
      <c r="F1172">
        <v>3.5</v>
      </c>
      <c r="G1172">
        <v>3.5</v>
      </c>
      <c r="T1172" t="s">
        <v>989</v>
      </c>
      <c r="U1172" t="s">
        <v>1042</v>
      </c>
      <c r="V1172" t="s">
        <v>401</v>
      </c>
      <c r="W1172">
        <v>50</v>
      </c>
    </row>
    <row r="1173" spans="1:23" x14ac:dyDescent="0.2">
      <c r="A1173" t="s">
        <v>942</v>
      </c>
      <c r="B1173" t="s">
        <v>943</v>
      </c>
      <c r="C1173" t="s">
        <v>56</v>
      </c>
      <c r="D1173" t="s">
        <v>287</v>
      </c>
      <c r="E1173">
        <v>0</v>
      </c>
      <c r="F1173">
        <v>90</v>
      </c>
      <c r="G1173">
        <v>0</v>
      </c>
      <c r="T1173" t="s">
        <v>989</v>
      </c>
      <c r="U1173" t="s">
        <v>1043</v>
      </c>
      <c r="V1173" t="s">
        <v>272</v>
      </c>
      <c r="W1173">
        <v>555</v>
      </c>
    </row>
    <row r="1174" spans="1:23" x14ac:dyDescent="0.2">
      <c r="A1174" t="s">
        <v>942</v>
      </c>
      <c r="B1174" t="s">
        <v>943</v>
      </c>
      <c r="C1174" t="s">
        <v>66</v>
      </c>
      <c r="D1174" t="s">
        <v>353</v>
      </c>
      <c r="E1174">
        <v>0</v>
      </c>
      <c r="F1174">
        <v>190</v>
      </c>
      <c r="G1174">
        <v>0</v>
      </c>
      <c r="T1174" t="s">
        <v>989</v>
      </c>
      <c r="U1174" t="s">
        <v>1044</v>
      </c>
      <c r="V1174" t="s">
        <v>405</v>
      </c>
      <c r="W1174">
        <v>100</v>
      </c>
    </row>
    <row r="1175" spans="1:23" x14ac:dyDescent="0.2">
      <c r="A1175" t="s">
        <v>942</v>
      </c>
      <c r="B1175" t="s">
        <v>943</v>
      </c>
      <c r="C1175" t="s">
        <v>49</v>
      </c>
      <c r="D1175" t="s">
        <v>290</v>
      </c>
      <c r="E1175">
        <v>0</v>
      </c>
      <c r="F1175">
        <v>248</v>
      </c>
      <c r="G1175">
        <v>0</v>
      </c>
      <c r="T1175" t="s">
        <v>989</v>
      </c>
      <c r="U1175" t="s">
        <v>1045</v>
      </c>
      <c r="V1175" t="s">
        <v>402</v>
      </c>
      <c r="W1175">
        <v>60</v>
      </c>
    </row>
    <row r="1176" spans="1:23" x14ac:dyDescent="0.2">
      <c r="A1176" t="s">
        <v>942</v>
      </c>
      <c r="B1176" t="s">
        <v>943</v>
      </c>
      <c r="C1176" t="s">
        <v>592</v>
      </c>
      <c r="D1176" t="s">
        <v>593</v>
      </c>
      <c r="E1176">
        <v>2</v>
      </c>
      <c r="F1176">
        <v>4.7</v>
      </c>
      <c r="G1176">
        <v>9.4</v>
      </c>
      <c r="T1176" t="s">
        <v>989</v>
      </c>
      <c r="U1176" t="s">
        <v>1046</v>
      </c>
      <c r="V1176" t="s">
        <v>1051</v>
      </c>
      <c r="W1176">
        <v>70</v>
      </c>
    </row>
    <row r="1177" spans="1:23" x14ac:dyDescent="0.2">
      <c r="A1177" t="s">
        <v>942</v>
      </c>
      <c r="B1177" t="s">
        <v>943</v>
      </c>
      <c r="C1177" t="s">
        <v>598</v>
      </c>
      <c r="D1177" t="s">
        <v>599</v>
      </c>
      <c r="E1177">
        <v>2</v>
      </c>
      <c r="F1177">
        <v>5</v>
      </c>
      <c r="G1177">
        <v>10</v>
      </c>
      <c r="T1177" t="s">
        <v>989</v>
      </c>
      <c r="U1177" t="s">
        <v>1047</v>
      </c>
      <c r="V1177" t="s">
        <v>1052</v>
      </c>
      <c r="W1177">
        <v>70</v>
      </c>
    </row>
    <row r="1178" spans="1:23" x14ac:dyDescent="0.2">
      <c r="A1178" t="s">
        <v>942</v>
      </c>
      <c r="B1178" t="s">
        <v>943</v>
      </c>
      <c r="C1178" t="s">
        <v>642</v>
      </c>
      <c r="D1178" t="s">
        <v>643</v>
      </c>
      <c r="E1178">
        <v>1</v>
      </c>
      <c r="F1178">
        <v>25</v>
      </c>
      <c r="G1178">
        <v>25</v>
      </c>
      <c r="T1178" t="s">
        <v>989</v>
      </c>
      <c r="U1178" t="s">
        <v>1048</v>
      </c>
      <c r="V1178" t="s">
        <v>1053</v>
      </c>
      <c r="W1178">
        <v>250</v>
      </c>
    </row>
    <row r="1179" spans="1:23" x14ac:dyDescent="0.2">
      <c r="A1179" t="s">
        <v>942</v>
      </c>
      <c r="B1179" t="s">
        <v>943</v>
      </c>
      <c r="C1179" t="s">
        <v>644</v>
      </c>
      <c r="D1179" t="s">
        <v>645</v>
      </c>
      <c r="E1179">
        <v>1</v>
      </c>
      <c r="F1179">
        <v>25</v>
      </c>
      <c r="G1179">
        <v>25</v>
      </c>
      <c r="T1179" t="s">
        <v>989</v>
      </c>
      <c r="U1179" t="s">
        <v>1049</v>
      </c>
      <c r="V1179" t="s">
        <v>1054</v>
      </c>
      <c r="W1179">
        <v>750</v>
      </c>
    </row>
    <row r="1180" spans="1:23" x14ac:dyDescent="0.2">
      <c r="A1180" t="s">
        <v>942</v>
      </c>
      <c r="B1180" t="s">
        <v>943</v>
      </c>
      <c r="C1180" t="s">
        <v>42</v>
      </c>
      <c r="D1180" t="s">
        <v>299</v>
      </c>
      <c r="E1180">
        <v>2</v>
      </c>
      <c r="F1180">
        <v>2.5</v>
      </c>
      <c r="G1180">
        <v>5</v>
      </c>
      <c r="T1180" t="s">
        <v>989</v>
      </c>
      <c r="U1180" t="s">
        <v>1050</v>
      </c>
      <c r="V1180" t="s">
        <v>1055</v>
      </c>
      <c r="W1180">
        <v>0</v>
      </c>
    </row>
    <row r="1181" spans="1:23" x14ac:dyDescent="0.2">
      <c r="A1181" t="s">
        <v>942</v>
      </c>
      <c r="B1181" t="s">
        <v>943</v>
      </c>
      <c r="C1181" t="s">
        <v>121</v>
      </c>
      <c r="D1181" t="s">
        <v>301</v>
      </c>
      <c r="E1181">
        <v>1</v>
      </c>
      <c r="F1181">
        <v>0.95</v>
      </c>
      <c r="G1181">
        <v>0.95</v>
      </c>
      <c r="T1181" t="s">
        <v>991</v>
      </c>
      <c r="U1181" t="s">
        <v>1042</v>
      </c>
      <c r="V1181" t="s">
        <v>401</v>
      </c>
      <c r="W1181">
        <v>50</v>
      </c>
    </row>
    <row r="1182" spans="1:23" x14ac:dyDescent="0.2">
      <c r="A1182" t="s">
        <v>942</v>
      </c>
      <c r="B1182" t="s">
        <v>943</v>
      </c>
      <c r="C1182" t="s">
        <v>122</v>
      </c>
      <c r="D1182" t="s">
        <v>302</v>
      </c>
      <c r="E1182">
        <v>1</v>
      </c>
      <c r="F1182">
        <v>4.2</v>
      </c>
      <c r="G1182">
        <v>4.2</v>
      </c>
      <c r="T1182" t="s">
        <v>991</v>
      </c>
      <c r="U1182" t="s">
        <v>1043</v>
      </c>
      <c r="V1182" t="s">
        <v>272</v>
      </c>
      <c r="W1182">
        <v>555</v>
      </c>
    </row>
    <row r="1183" spans="1:23" x14ac:dyDescent="0.2">
      <c r="A1183" t="s">
        <v>942</v>
      </c>
      <c r="B1183" t="s">
        <v>943</v>
      </c>
      <c r="C1183" t="s">
        <v>3</v>
      </c>
      <c r="D1183" t="s">
        <v>370</v>
      </c>
      <c r="E1183">
        <v>0.6</v>
      </c>
      <c r="F1183">
        <v>5</v>
      </c>
      <c r="G1183">
        <v>3</v>
      </c>
      <c r="T1183" t="s">
        <v>991</v>
      </c>
      <c r="U1183" t="s">
        <v>1044</v>
      </c>
      <c r="V1183" t="s">
        <v>405</v>
      </c>
      <c r="W1183">
        <v>100</v>
      </c>
    </row>
    <row r="1184" spans="1:23" x14ac:dyDescent="0.2">
      <c r="A1184" t="s">
        <v>942</v>
      </c>
      <c r="B1184" t="s">
        <v>943</v>
      </c>
      <c r="C1184" t="s">
        <v>4</v>
      </c>
      <c r="D1184" t="s">
        <v>304</v>
      </c>
      <c r="E1184">
        <v>0.8</v>
      </c>
      <c r="F1184">
        <v>10.1</v>
      </c>
      <c r="G1184">
        <v>8.08</v>
      </c>
      <c r="T1184" t="s">
        <v>991</v>
      </c>
      <c r="U1184" t="s">
        <v>1045</v>
      </c>
      <c r="V1184" t="s">
        <v>402</v>
      </c>
      <c r="W1184">
        <v>60</v>
      </c>
    </row>
    <row r="1185" spans="1:23" x14ac:dyDescent="0.2">
      <c r="A1185" t="s">
        <v>942</v>
      </c>
      <c r="B1185" t="s">
        <v>943</v>
      </c>
      <c r="C1185" t="s">
        <v>5</v>
      </c>
      <c r="D1185" t="s">
        <v>305</v>
      </c>
      <c r="E1185">
        <v>0.8</v>
      </c>
      <c r="F1185">
        <v>11.5</v>
      </c>
      <c r="G1185">
        <v>9.1999999999999993</v>
      </c>
      <c r="T1185" t="s">
        <v>991</v>
      </c>
      <c r="U1185" t="s">
        <v>1046</v>
      </c>
      <c r="V1185" t="s">
        <v>1051</v>
      </c>
      <c r="W1185">
        <v>70</v>
      </c>
    </row>
    <row r="1186" spans="1:23" x14ac:dyDescent="0.2">
      <c r="A1186" t="s">
        <v>942</v>
      </c>
      <c r="B1186" t="s">
        <v>943</v>
      </c>
      <c r="C1186" t="s">
        <v>7</v>
      </c>
      <c r="D1186" t="s">
        <v>307</v>
      </c>
      <c r="E1186">
        <v>1</v>
      </c>
      <c r="F1186">
        <v>6.7</v>
      </c>
      <c r="G1186">
        <v>6.7</v>
      </c>
      <c r="T1186" t="s">
        <v>991</v>
      </c>
      <c r="U1186" t="s">
        <v>1047</v>
      </c>
      <c r="V1186" t="s">
        <v>1052</v>
      </c>
      <c r="W1186">
        <v>70</v>
      </c>
    </row>
    <row r="1187" spans="1:23" x14ac:dyDescent="0.2">
      <c r="A1187" t="s">
        <v>942</v>
      </c>
      <c r="B1187" t="s">
        <v>943</v>
      </c>
      <c r="C1187" t="s">
        <v>802</v>
      </c>
      <c r="D1187" t="s">
        <v>803</v>
      </c>
      <c r="E1187">
        <v>0.46</v>
      </c>
      <c r="F1187">
        <v>7</v>
      </c>
      <c r="G1187">
        <v>3.22</v>
      </c>
      <c r="T1187" t="s">
        <v>991</v>
      </c>
      <c r="U1187" t="s">
        <v>1048</v>
      </c>
      <c r="V1187" t="s">
        <v>1053</v>
      </c>
      <c r="W1187">
        <v>250</v>
      </c>
    </row>
    <row r="1188" spans="1:23" x14ac:dyDescent="0.2">
      <c r="A1188" t="s">
        <v>942</v>
      </c>
      <c r="B1188" t="s">
        <v>943</v>
      </c>
      <c r="C1188" t="s">
        <v>13</v>
      </c>
      <c r="D1188" t="s">
        <v>309</v>
      </c>
      <c r="E1188">
        <v>1.1000000000000001</v>
      </c>
      <c r="F1188">
        <v>7</v>
      </c>
      <c r="G1188">
        <v>7.7</v>
      </c>
      <c r="T1188" t="s">
        <v>991</v>
      </c>
      <c r="U1188" t="s">
        <v>1049</v>
      </c>
      <c r="V1188" t="s">
        <v>1054</v>
      </c>
      <c r="W1188">
        <v>750</v>
      </c>
    </row>
    <row r="1189" spans="1:23" x14ac:dyDescent="0.2">
      <c r="A1189" t="s">
        <v>942</v>
      </c>
      <c r="B1189" t="s">
        <v>943</v>
      </c>
      <c r="C1189" t="s">
        <v>110</v>
      </c>
      <c r="D1189" t="s">
        <v>314</v>
      </c>
      <c r="E1189">
        <v>0</v>
      </c>
      <c r="F1189">
        <v>0.1</v>
      </c>
      <c r="G1189">
        <v>0</v>
      </c>
      <c r="T1189" t="s">
        <v>991</v>
      </c>
      <c r="U1189" t="s">
        <v>1050</v>
      </c>
      <c r="V1189" t="s">
        <v>1055</v>
      </c>
      <c r="W1189">
        <v>0</v>
      </c>
    </row>
    <row r="1190" spans="1:23" x14ac:dyDescent="0.2">
      <c r="A1190" t="s">
        <v>942</v>
      </c>
      <c r="B1190" t="s">
        <v>943</v>
      </c>
      <c r="C1190" t="s">
        <v>120</v>
      </c>
      <c r="D1190" t="s">
        <v>340</v>
      </c>
      <c r="E1190">
        <v>0</v>
      </c>
      <c r="F1190">
        <v>0.1</v>
      </c>
      <c r="G1190">
        <v>0</v>
      </c>
      <c r="T1190" t="s">
        <v>993</v>
      </c>
      <c r="U1190" t="s">
        <v>1042</v>
      </c>
      <c r="V1190" t="s">
        <v>401</v>
      </c>
      <c r="W1190">
        <v>50</v>
      </c>
    </row>
    <row r="1191" spans="1:23" x14ac:dyDescent="0.2">
      <c r="A1191" t="s">
        <v>932</v>
      </c>
      <c r="B1191" t="s">
        <v>933</v>
      </c>
      <c r="C1191" t="s">
        <v>94</v>
      </c>
      <c r="D1191" t="s">
        <v>280</v>
      </c>
      <c r="E1191">
        <v>1</v>
      </c>
      <c r="F1191">
        <v>3.5</v>
      </c>
      <c r="G1191">
        <v>3.5</v>
      </c>
      <c r="T1191" t="s">
        <v>993</v>
      </c>
      <c r="U1191" t="s">
        <v>1043</v>
      </c>
      <c r="V1191" t="s">
        <v>272</v>
      </c>
      <c r="W1191">
        <v>555</v>
      </c>
    </row>
    <row r="1192" spans="1:23" x14ac:dyDescent="0.2">
      <c r="A1192" t="s">
        <v>932</v>
      </c>
      <c r="B1192" t="s">
        <v>933</v>
      </c>
      <c r="C1192" t="s">
        <v>56</v>
      </c>
      <c r="D1192" t="s">
        <v>287</v>
      </c>
      <c r="E1192">
        <v>0</v>
      </c>
      <c r="F1192">
        <v>90</v>
      </c>
      <c r="G1192">
        <v>0</v>
      </c>
      <c r="T1192" t="s">
        <v>993</v>
      </c>
      <c r="U1192" t="s">
        <v>1044</v>
      </c>
      <c r="V1192" t="s">
        <v>405</v>
      </c>
      <c r="W1192">
        <v>100</v>
      </c>
    </row>
    <row r="1193" spans="1:23" x14ac:dyDescent="0.2">
      <c r="A1193" t="s">
        <v>932</v>
      </c>
      <c r="B1193" t="s">
        <v>933</v>
      </c>
      <c r="C1193" t="s">
        <v>79</v>
      </c>
      <c r="D1193" t="s">
        <v>289</v>
      </c>
      <c r="E1193">
        <v>0</v>
      </c>
      <c r="F1193">
        <v>380</v>
      </c>
      <c r="G1193">
        <v>0</v>
      </c>
      <c r="T1193" t="s">
        <v>993</v>
      </c>
      <c r="U1193" t="s">
        <v>1045</v>
      </c>
      <c r="V1193" t="s">
        <v>402</v>
      </c>
      <c r="W1193">
        <v>60</v>
      </c>
    </row>
    <row r="1194" spans="1:23" x14ac:dyDescent="0.2">
      <c r="A1194" t="s">
        <v>932</v>
      </c>
      <c r="B1194" t="s">
        <v>933</v>
      </c>
      <c r="C1194" t="s">
        <v>49</v>
      </c>
      <c r="D1194" t="s">
        <v>290</v>
      </c>
      <c r="E1194">
        <v>0</v>
      </c>
      <c r="F1194">
        <v>248</v>
      </c>
      <c r="G1194">
        <v>0</v>
      </c>
      <c r="T1194" t="s">
        <v>993</v>
      </c>
      <c r="U1194" t="s">
        <v>1046</v>
      </c>
      <c r="V1194" t="s">
        <v>1051</v>
      </c>
      <c r="W1194">
        <v>70</v>
      </c>
    </row>
    <row r="1195" spans="1:23" x14ac:dyDescent="0.2">
      <c r="A1195" t="s">
        <v>932</v>
      </c>
      <c r="B1195" t="s">
        <v>933</v>
      </c>
      <c r="C1195" t="s">
        <v>592</v>
      </c>
      <c r="D1195" t="s">
        <v>593</v>
      </c>
      <c r="E1195">
        <v>2</v>
      </c>
      <c r="F1195">
        <v>4.7</v>
      </c>
      <c r="G1195">
        <v>9.4</v>
      </c>
      <c r="T1195" t="s">
        <v>993</v>
      </c>
      <c r="U1195" t="s">
        <v>1047</v>
      </c>
      <c r="V1195" t="s">
        <v>1052</v>
      </c>
      <c r="W1195">
        <v>70</v>
      </c>
    </row>
    <row r="1196" spans="1:23" x14ac:dyDescent="0.2">
      <c r="A1196" t="s">
        <v>932</v>
      </c>
      <c r="B1196" t="s">
        <v>933</v>
      </c>
      <c r="C1196" t="s">
        <v>598</v>
      </c>
      <c r="D1196" t="s">
        <v>599</v>
      </c>
      <c r="E1196">
        <v>2</v>
      </c>
      <c r="F1196">
        <v>5</v>
      </c>
      <c r="G1196">
        <v>10</v>
      </c>
      <c r="T1196" t="s">
        <v>993</v>
      </c>
      <c r="U1196" t="s">
        <v>1048</v>
      </c>
      <c r="V1196" t="s">
        <v>1053</v>
      </c>
      <c r="W1196">
        <v>250</v>
      </c>
    </row>
    <row r="1197" spans="1:23" x14ac:dyDescent="0.2">
      <c r="A1197" t="s">
        <v>932</v>
      </c>
      <c r="B1197" t="s">
        <v>933</v>
      </c>
      <c r="C1197" t="s">
        <v>642</v>
      </c>
      <c r="D1197" t="s">
        <v>643</v>
      </c>
      <c r="E1197">
        <v>1</v>
      </c>
      <c r="F1197">
        <v>25</v>
      </c>
      <c r="G1197">
        <v>25</v>
      </c>
      <c r="T1197" t="s">
        <v>993</v>
      </c>
      <c r="U1197" t="s">
        <v>1049</v>
      </c>
      <c r="V1197" t="s">
        <v>1054</v>
      </c>
      <c r="W1197">
        <v>750</v>
      </c>
    </row>
    <row r="1198" spans="1:23" x14ac:dyDescent="0.2">
      <c r="A1198" t="s">
        <v>932</v>
      </c>
      <c r="B1198" t="s">
        <v>933</v>
      </c>
      <c r="C1198" t="s">
        <v>644</v>
      </c>
      <c r="D1198" t="s">
        <v>645</v>
      </c>
      <c r="E1198">
        <v>1</v>
      </c>
      <c r="F1198">
        <v>25</v>
      </c>
      <c r="G1198">
        <v>25</v>
      </c>
      <c r="T1198" t="s">
        <v>993</v>
      </c>
      <c r="U1198" t="s">
        <v>1050</v>
      </c>
      <c r="V1198" t="s">
        <v>1055</v>
      </c>
      <c r="W1198">
        <v>0</v>
      </c>
    </row>
    <row r="1199" spans="1:23" x14ac:dyDescent="0.2">
      <c r="A1199" t="s">
        <v>932</v>
      </c>
      <c r="B1199" t="s">
        <v>933</v>
      </c>
      <c r="C1199" t="s">
        <v>42</v>
      </c>
      <c r="D1199" t="s">
        <v>299</v>
      </c>
      <c r="E1199">
        <v>2</v>
      </c>
      <c r="F1199">
        <v>2.5</v>
      </c>
      <c r="G1199">
        <v>5</v>
      </c>
      <c r="T1199" t="s">
        <v>995</v>
      </c>
      <c r="U1199" t="s">
        <v>1042</v>
      </c>
      <c r="V1199" t="s">
        <v>401</v>
      </c>
      <c r="W1199">
        <v>50</v>
      </c>
    </row>
    <row r="1200" spans="1:23" x14ac:dyDescent="0.2">
      <c r="A1200" t="s">
        <v>932</v>
      </c>
      <c r="B1200" t="s">
        <v>933</v>
      </c>
      <c r="C1200" t="s">
        <v>121</v>
      </c>
      <c r="D1200" t="s">
        <v>301</v>
      </c>
      <c r="E1200">
        <v>1</v>
      </c>
      <c r="F1200">
        <v>0.95</v>
      </c>
      <c r="G1200">
        <v>0.95</v>
      </c>
      <c r="T1200" t="s">
        <v>995</v>
      </c>
      <c r="U1200" t="s">
        <v>1043</v>
      </c>
      <c r="V1200" t="s">
        <v>272</v>
      </c>
      <c r="W1200">
        <v>510</v>
      </c>
    </row>
    <row r="1201" spans="1:23" x14ac:dyDescent="0.2">
      <c r="A1201" t="s">
        <v>932</v>
      </c>
      <c r="B1201" t="s">
        <v>933</v>
      </c>
      <c r="C1201" t="s">
        <v>122</v>
      </c>
      <c r="D1201" t="s">
        <v>302</v>
      </c>
      <c r="E1201">
        <v>1</v>
      </c>
      <c r="F1201">
        <v>4.2</v>
      </c>
      <c r="G1201">
        <v>4.2</v>
      </c>
      <c r="T1201" t="s">
        <v>995</v>
      </c>
      <c r="U1201" t="s">
        <v>1044</v>
      </c>
      <c r="V1201" t="s">
        <v>405</v>
      </c>
      <c r="W1201">
        <v>100</v>
      </c>
    </row>
    <row r="1202" spans="1:23" x14ac:dyDescent="0.2">
      <c r="A1202" t="s">
        <v>932</v>
      </c>
      <c r="B1202" t="s">
        <v>933</v>
      </c>
      <c r="C1202" t="s">
        <v>3</v>
      </c>
      <c r="D1202" t="s">
        <v>370</v>
      </c>
      <c r="E1202">
        <v>0.6</v>
      </c>
      <c r="F1202">
        <v>5</v>
      </c>
      <c r="G1202">
        <v>3</v>
      </c>
      <c r="T1202" t="s">
        <v>995</v>
      </c>
      <c r="U1202" t="s">
        <v>1045</v>
      </c>
      <c r="V1202" t="s">
        <v>402</v>
      </c>
      <c r="W1202">
        <v>60</v>
      </c>
    </row>
    <row r="1203" spans="1:23" x14ac:dyDescent="0.2">
      <c r="A1203" t="s">
        <v>932</v>
      </c>
      <c r="B1203" t="s">
        <v>933</v>
      </c>
      <c r="C1203" t="s">
        <v>4</v>
      </c>
      <c r="D1203" t="s">
        <v>304</v>
      </c>
      <c r="E1203">
        <v>0.8</v>
      </c>
      <c r="F1203">
        <v>10.1</v>
      </c>
      <c r="G1203">
        <v>8.08</v>
      </c>
      <c r="T1203" t="s">
        <v>995</v>
      </c>
      <c r="U1203" t="s">
        <v>1046</v>
      </c>
      <c r="V1203" t="s">
        <v>1051</v>
      </c>
      <c r="W1203">
        <v>70</v>
      </c>
    </row>
    <row r="1204" spans="1:23" x14ac:dyDescent="0.2">
      <c r="A1204" t="s">
        <v>932</v>
      </c>
      <c r="B1204" t="s">
        <v>933</v>
      </c>
      <c r="C1204" t="s">
        <v>5</v>
      </c>
      <c r="D1204" t="s">
        <v>305</v>
      </c>
      <c r="E1204">
        <v>0.8</v>
      </c>
      <c r="F1204">
        <v>11.5</v>
      </c>
      <c r="G1204">
        <v>9.1999999999999993</v>
      </c>
      <c r="T1204" t="s">
        <v>995</v>
      </c>
      <c r="U1204" t="s">
        <v>1047</v>
      </c>
      <c r="V1204" t="s">
        <v>1052</v>
      </c>
      <c r="W1204">
        <v>70</v>
      </c>
    </row>
    <row r="1205" spans="1:23" x14ac:dyDescent="0.2">
      <c r="A1205" t="s">
        <v>932</v>
      </c>
      <c r="B1205" t="s">
        <v>933</v>
      </c>
      <c r="C1205" t="s">
        <v>7</v>
      </c>
      <c r="D1205" t="s">
        <v>307</v>
      </c>
      <c r="E1205">
        <v>1</v>
      </c>
      <c r="F1205">
        <v>6.7</v>
      </c>
      <c r="G1205">
        <v>6.7</v>
      </c>
      <c r="T1205" t="s">
        <v>995</v>
      </c>
      <c r="U1205" t="s">
        <v>1048</v>
      </c>
      <c r="V1205" t="s">
        <v>1053</v>
      </c>
      <c r="W1205">
        <v>250</v>
      </c>
    </row>
    <row r="1206" spans="1:23" x14ac:dyDescent="0.2">
      <c r="A1206" t="s">
        <v>932</v>
      </c>
      <c r="B1206" t="s">
        <v>933</v>
      </c>
      <c r="C1206" t="s">
        <v>802</v>
      </c>
      <c r="D1206" t="s">
        <v>803</v>
      </c>
      <c r="E1206">
        <v>0.46</v>
      </c>
      <c r="F1206">
        <v>7</v>
      </c>
      <c r="G1206">
        <v>3.22</v>
      </c>
      <c r="T1206" t="s">
        <v>995</v>
      </c>
      <c r="U1206" t="s">
        <v>1049</v>
      </c>
      <c r="V1206" t="s">
        <v>1054</v>
      </c>
      <c r="W1206">
        <v>750</v>
      </c>
    </row>
    <row r="1207" spans="1:23" x14ac:dyDescent="0.2">
      <c r="A1207" t="s">
        <v>932</v>
      </c>
      <c r="B1207" t="s">
        <v>933</v>
      </c>
      <c r="C1207" t="s">
        <v>13</v>
      </c>
      <c r="D1207" t="s">
        <v>309</v>
      </c>
      <c r="E1207">
        <v>1.1000000000000001</v>
      </c>
      <c r="F1207">
        <v>7</v>
      </c>
      <c r="G1207">
        <v>7.7</v>
      </c>
      <c r="T1207" t="s">
        <v>995</v>
      </c>
      <c r="U1207" t="s">
        <v>1050</v>
      </c>
      <c r="V1207" t="s">
        <v>1055</v>
      </c>
      <c r="W1207">
        <v>0</v>
      </c>
    </row>
    <row r="1208" spans="1:23" x14ac:dyDescent="0.2">
      <c r="A1208" t="s">
        <v>932</v>
      </c>
      <c r="B1208" t="s">
        <v>933</v>
      </c>
      <c r="C1208" t="s">
        <v>105</v>
      </c>
      <c r="D1208" t="s">
        <v>313</v>
      </c>
      <c r="E1208">
        <v>0</v>
      </c>
      <c r="F1208">
        <v>0.1</v>
      </c>
      <c r="G1208">
        <v>0</v>
      </c>
      <c r="T1208" t="s">
        <v>997</v>
      </c>
      <c r="U1208" t="s">
        <v>1042</v>
      </c>
      <c r="V1208" t="s">
        <v>401</v>
      </c>
      <c r="W1208">
        <v>50</v>
      </c>
    </row>
    <row r="1209" spans="1:23" x14ac:dyDescent="0.2">
      <c r="A1209" t="s">
        <v>932</v>
      </c>
      <c r="B1209" t="s">
        <v>933</v>
      </c>
      <c r="C1209" t="s">
        <v>110</v>
      </c>
      <c r="D1209" t="s">
        <v>314</v>
      </c>
      <c r="E1209">
        <v>0</v>
      </c>
      <c r="F1209">
        <v>0.1</v>
      </c>
      <c r="G1209">
        <v>0</v>
      </c>
      <c r="T1209" t="s">
        <v>997</v>
      </c>
      <c r="U1209" t="s">
        <v>1043</v>
      </c>
      <c r="V1209" t="s">
        <v>272</v>
      </c>
      <c r="W1209">
        <v>510</v>
      </c>
    </row>
    <row r="1210" spans="1:23" x14ac:dyDescent="0.2">
      <c r="A1210" t="s">
        <v>936</v>
      </c>
      <c r="B1210" t="s">
        <v>937</v>
      </c>
      <c r="C1210" t="s">
        <v>94</v>
      </c>
      <c r="D1210" t="s">
        <v>280</v>
      </c>
      <c r="E1210">
        <v>1</v>
      </c>
      <c r="F1210">
        <v>3.5</v>
      </c>
      <c r="G1210">
        <v>3.5</v>
      </c>
      <c r="T1210" t="s">
        <v>997</v>
      </c>
      <c r="U1210" t="s">
        <v>1044</v>
      </c>
      <c r="V1210" t="s">
        <v>405</v>
      </c>
      <c r="W1210">
        <v>100</v>
      </c>
    </row>
    <row r="1211" spans="1:23" x14ac:dyDescent="0.2">
      <c r="A1211" t="s">
        <v>936</v>
      </c>
      <c r="B1211" t="s">
        <v>937</v>
      </c>
      <c r="C1211" t="s">
        <v>56</v>
      </c>
      <c r="D1211" t="s">
        <v>287</v>
      </c>
      <c r="E1211">
        <v>0</v>
      </c>
      <c r="F1211">
        <v>90</v>
      </c>
      <c r="G1211">
        <v>0</v>
      </c>
      <c r="T1211" t="s">
        <v>997</v>
      </c>
      <c r="U1211" t="s">
        <v>1045</v>
      </c>
      <c r="V1211" t="s">
        <v>402</v>
      </c>
      <c r="W1211">
        <v>60</v>
      </c>
    </row>
    <row r="1212" spans="1:23" x14ac:dyDescent="0.2">
      <c r="A1212" t="s">
        <v>936</v>
      </c>
      <c r="B1212" t="s">
        <v>937</v>
      </c>
      <c r="C1212" t="s">
        <v>80</v>
      </c>
      <c r="D1212" t="s">
        <v>317</v>
      </c>
      <c r="E1212">
        <v>0</v>
      </c>
      <c r="F1212">
        <v>380</v>
      </c>
      <c r="G1212">
        <v>0</v>
      </c>
      <c r="T1212" t="s">
        <v>997</v>
      </c>
      <c r="U1212" t="s">
        <v>1046</v>
      </c>
      <c r="V1212" t="s">
        <v>1051</v>
      </c>
      <c r="W1212">
        <v>70</v>
      </c>
    </row>
    <row r="1213" spans="1:23" x14ac:dyDescent="0.2">
      <c r="A1213" t="s">
        <v>936</v>
      </c>
      <c r="B1213" t="s">
        <v>937</v>
      </c>
      <c r="C1213" t="s">
        <v>49</v>
      </c>
      <c r="D1213" t="s">
        <v>290</v>
      </c>
      <c r="E1213">
        <v>0</v>
      </c>
      <c r="F1213">
        <v>248</v>
      </c>
      <c r="G1213">
        <v>0</v>
      </c>
      <c r="T1213" t="s">
        <v>997</v>
      </c>
      <c r="U1213" t="s">
        <v>1047</v>
      </c>
      <c r="V1213" t="s">
        <v>1052</v>
      </c>
      <c r="W1213">
        <v>70</v>
      </c>
    </row>
    <row r="1214" spans="1:23" x14ac:dyDescent="0.2">
      <c r="A1214" t="s">
        <v>936</v>
      </c>
      <c r="B1214" t="s">
        <v>937</v>
      </c>
      <c r="C1214" t="s">
        <v>592</v>
      </c>
      <c r="D1214" t="s">
        <v>593</v>
      </c>
      <c r="E1214">
        <v>2</v>
      </c>
      <c r="F1214">
        <v>4.7</v>
      </c>
      <c r="G1214">
        <v>9.4</v>
      </c>
      <c r="T1214" t="s">
        <v>997</v>
      </c>
      <c r="U1214" t="s">
        <v>1048</v>
      </c>
      <c r="V1214" t="s">
        <v>1053</v>
      </c>
      <c r="W1214">
        <v>250</v>
      </c>
    </row>
    <row r="1215" spans="1:23" x14ac:dyDescent="0.2">
      <c r="A1215" t="s">
        <v>936</v>
      </c>
      <c r="B1215" t="s">
        <v>937</v>
      </c>
      <c r="C1215" t="s">
        <v>598</v>
      </c>
      <c r="D1215" t="s">
        <v>599</v>
      </c>
      <c r="E1215">
        <v>2</v>
      </c>
      <c r="F1215">
        <v>5</v>
      </c>
      <c r="G1215">
        <v>10</v>
      </c>
      <c r="T1215" t="s">
        <v>997</v>
      </c>
      <c r="U1215" t="s">
        <v>1049</v>
      </c>
      <c r="V1215" t="s">
        <v>1054</v>
      </c>
      <c r="W1215">
        <v>750</v>
      </c>
    </row>
    <row r="1216" spans="1:23" x14ac:dyDescent="0.2">
      <c r="A1216" t="s">
        <v>936</v>
      </c>
      <c r="B1216" t="s">
        <v>937</v>
      </c>
      <c r="C1216" t="s">
        <v>642</v>
      </c>
      <c r="D1216" t="s">
        <v>643</v>
      </c>
      <c r="E1216">
        <v>1</v>
      </c>
      <c r="F1216">
        <v>25</v>
      </c>
      <c r="G1216">
        <v>25</v>
      </c>
      <c r="T1216" t="s">
        <v>997</v>
      </c>
      <c r="U1216" t="s">
        <v>1050</v>
      </c>
      <c r="V1216" t="s">
        <v>1055</v>
      </c>
      <c r="W1216">
        <v>0</v>
      </c>
    </row>
    <row r="1217" spans="1:23" x14ac:dyDescent="0.2">
      <c r="A1217" t="s">
        <v>936</v>
      </c>
      <c r="B1217" t="s">
        <v>937</v>
      </c>
      <c r="C1217" t="s">
        <v>644</v>
      </c>
      <c r="D1217" t="s">
        <v>645</v>
      </c>
      <c r="E1217">
        <v>1</v>
      </c>
      <c r="F1217">
        <v>25</v>
      </c>
      <c r="G1217">
        <v>25</v>
      </c>
      <c r="T1217" t="s">
        <v>999</v>
      </c>
      <c r="U1217" t="s">
        <v>1042</v>
      </c>
      <c r="V1217" t="s">
        <v>401</v>
      </c>
      <c r="W1217">
        <v>50</v>
      </c>
    </row>
    <row r="1218" spans="1:23" x14ac:dyDescent="0.2">
      <c r="A1218" t="s">
        <v>936</v>
      </c>
      <c r="B1218" t="s">
        <v>937</v>
      </c>
      <c r="C1218" t="s">
        <v>42</v>
      </c>
      <c r="D1218" t="s">
        <v>299</v>
      </c>
      <c r="E1218">
        <v>2</v>
      </c>
      <c r="F1218">
        <v>2.5</v>
      </c>
      <c r="G1218">
        <v>5</v>
      </c>
      <c r="T1218" t="s">
        <v>999</v>
      </c>
      <c r="U1218" t="s">
        <v>1043</v>
      </c>
      <c r="V1218" t="s">
        <v>272</v>
      </c>
      <c r="W1218">
        <v>510</v>
      </c>
    </row>
    <row r="1219" spans="1:23" x14ac:dyDescent="0.2">
      <c r="A1219" t="s">
        <v>936</v>
      </c>
      <c r="B1219" t="s">
        <v>937</v>
      </c>
      <c r="C1219" t="s">
        <v>121</v>
      </c>
      <c r="D1219" t="s">
        <v>301</v>
      </c>
      <c r="E1219">
        <v>1</v>
      </c>
      <c r="F1219">
        <v>0.95</v>
      </c>
      <c r="G1219">
        <v>0.95</v>
      </c>
      <c r="T1219" t="s">
        <v>999</v>
      </c>
      <c r="U1219" t="s">
        <v>1044</v>
      </c>
      <c r="V1219" t="s">
        <v>405</v>
      </c>
      <c r="W1219">
        <v>100</v>
      </c>
    </row>
    <row r="1220" spans="1:23" x14ac:dyDescent="0.2">
      <c r="A1220" t="s">
        <v>936</v>
      </c>
      <c r="B1220" t="s">
        <v>937</v>
      </c>
      <c r="C1220" t="s">
        <v>122</v>
      </c>
      <c r="D1220" t="s">
        <v>302</v>
      </c>
      <c r="E1220">
        <v>1</v>
      </c>
      <c r="F1220">
        <v>4.2</v>
      </c>
      <c r="G1220">
        <v>4.2</v>
      </c>
      <c r="T1220" t="s">
        <v>999</v>
      </c>
      <c r="U1220" t="s">
        <v>1045</v>
      </c>
      <c r="V1220" t="s">
        <v>402</v>
      </c>
      <c r="W1220">
        <v>60</v>
      </c>
    </row>
    <row r="1221" spans="1:23" x14ac:dyDescent="0.2">
      <c r="A1221" t="s">
        <v>936</v>
      </c>
      <c r="B1221" t="s">
        <v>937</v>
      </c>
      <c r="C1221" t="s">
        <v>3</v>
      </c>
      <c r="D1221" t="s">
        <v>370</v>
      </c>
      <c r="E1221">
        <v>0.6</v>
      </c>
      <c r="F1221">
        <v>5</v>
      </c>
      <c r="G1221">
        <v>3</v>
      </c>
      <c r="T1221" t="s">
        <v>999</v>
      </c>
      <c r="U1221" t="s">
        <v>1046</v>
      </c>
      <c r="V1221" t="s">
        <v>1051</v>
      </c>
      <c r="W1221">
        <v>70</v>
      </c>
    </row>
    <row r="1222" spans="1:23" x14ac:dyDescent="0.2">
      <c r="A1222" t="s">
        <v>936</v>
      </c>
      <c r="B1222" t="s">
        <v>937</v>
      </c>
      <c r="C1222" t="s">
        <v>4</v>
      </c>
      <c r="D1222" t="s">
        <v>304</v>
      </c>
      <c r="E1222">
        <v>0.8</v>
      </c>
      <c r="F1222">
        <v>10.1</v>
      </c>
      <c r="G1222">
        <v>8.08</v>
      </c>
      <c r="T1222" t="s">
        <v>999</v>
      </c>
      <c r="U1222" t="s">
        <v>1047</v>
      </c>
      <c r="V1222" t="s">
        <v>1052</v>
      </c>
      <c r="W1222">
        <v>70</v>
      </c>
    </row>
    <row r="1223" spans="1:23" x14ac:dyDescent="0.2">
      <c r="A1223" t="s">
        <v>936</v>
      </c>
      <c r="B1223" t="s">
        <v>937</v>
      </c>
      <c r="C1223" t="s">
        <v>5</v>
      </c>
      <c r="D1223" t="s">
        <v>305</v>
      </c>
      <c r="E1223">
        <v>0.8</v>
      </c>
      <c r="F1223">
        <v>11.5</v>
      </c>
      <c r="G1223">
        <v>9.1999999999999993</v>
      </c>
      <c r="T1223" t="s">
        <v>999</v>
      </c>
      <c r="U1223" t="s">
        <v>1048</v>
      </c>
      <c r="V1223" t="s">
        <v>1053</v>
      </c>
      <c r="W1223">
        <v>250</v>
      </c>
    </row>
    <row r="1224" spans="1:23" x14ac:dyDescent="0.2">
      <c r="A1224" t="s">
        <v>936</v>
      </c>
      <c r="B1224" t="s">
        <v>937</v>
      </c>
      <c r="C1224" t="s">
        <v>7</v>
      </c>
      <c r="D1224" t="s">
        <v>307</v>
      </c>
      <c r="E1224">
        <v>1</v>
      </c>
      <c r="F1224">
        <v>6.7</v>
      </c>
      <c r="G1224">
        <v>6.7</v>
      </c>
      <c r="T1224" t="s">
        <v>999</v>
      </c>
      <c r="U1224" t="s">
        <v>1049</v>
      </c>
      <c r="V1224" t="s">
        <v>1054</v>
      </c>
      <c r="W1224">
        <v>750</v>
      </c>
    </row>
    <row r="1225" spans="1:23" x14ac:dyDescent="0.2">
      <c r="A1225" t="s">
        <v>936</v>
      </c>
      <c r="B1225" t="s">
        <v>937</v>
      </c>
      <c r="C1225" t="s">
        <v>804</v>
      </c>
      <c r="D1225" t="s">
        <v>805</v>
      </c>
      <c r="E1225">
        <v>0.46</v>
      </c>
      <c r="F1225">
        <v>7</v>
      </c>
      <c r="G1225">
        <v>3.22</v>
      </c>
      <c r="T1225" t="s">
        <v>999</v>
      </c>
      <c r="U1225" t="s">
        <v>1050</v>
      </c>
      <c r="V1225" t="s">
        <v>1055</v>
      </c>
      <c r="W1225">
        <v>0</v>
      </c>
    </row>
    <row r="1226" spans="1:23" x14ac:dyDescent="0.2">
      <c r="A1226" t="s">
        <v>936</v>
      </c>
      <c r="B1226" t="s">
        <v>937</v>
      </c>
      <c r="C1226" t="s">
        <v>13</v>
      </c>
      <c r="D1226" t="s">
        <v>309</v>
      </c>
      <c r="E1226">
        <v>1.1000000000000001</v>
      </c>
      <c r="F1226">
        <v>7</v>
      </c>
      <c r="G1226">
        <v>7.7</v>
      </c>
      <c r="T1226" t="s">
        <v>1001</v>
      </c>
      <c r="U1226" t="s">
        <v>1042</v>
      </c>
      <c r="V1226" t="s">
        <v>401</v>
      </c>
      <c r="W1226">
        <v>50</v>
      </c>
    </row>
    <row r="1227" spans="1:23" x14ac:dyDescent="0.2">
      <c r="A1227" t="s">
        <v>936</v>
      </c>
      <c r="B1227" t="s">
        <v>937</v>
      </c>
      <c r="C1227" t="s">
        <v>110</v>
      </c>
      <c r="D1227" t="s">
        <v>314</v>
      </c>
      <c r="E1227">
        <v>0</v>
      </c>
      <c r="F1227">
        <v>0.1</v>
      </c>
      <c r="G1227">
        <v>0</v>
      </c>
      <c r="T1227" t="s">
        <v>1001</v>
      </c>
      <c r="U1227" t="s">
        <v>1043</v>
      </c>
      <c r="V1227" t="s">
        <v>272</v>
      </c>
      <c r="W1227">
        <v>510</v>
      </c>
    </row>
    <row r="1228" spans="1:23" x14ac:dyDescent="0.2">
      <c r="A1228" t="s">
        <v>936</v>
      </c>
      <c r="B1228" t="s">
        <v>937</v>
      </c>
      <c r="C1228" t="s">
        <v>113</v>
      </c>
      <c r="D1228" t="s">
        <v>318</v>
      </c>
      <c r="E1228">
        <v>0</v>
      </c>
      <c r="F1228">
        <v>0.1</v>
      </c>
      <c r="G1228">
        <v>0</v>
      </c>
      <c r="T1228" t="s">
        <v>1001</v>
      </c>
      <c r="U1228" t="s">
        <v>1044</v>
      </c>
      <c r="V1228" t="s">
        <v>405</v>
      </c>
      <c r="W1228">
        <v>100</v>
      </c>
    </row>
    <row r="1229" spans="1:23" x14ac:dyDescent="0.2">
      <c r="A1229" t="s">
        <v>934</v>
      </c>
      <c r="B1229" t="s">
        <v>935</v>
      </c>
      <c r="C1229" t="s">
        <v>94</v>
      </c>
      <c r="D1229" t="s">
        <v>280</v>
      </c>
      <c r="E1229">
        <v>1</v>
      </c>
      <c r="F1229">
        <v>3.5</v>
      </c>
      <c r="G1229">
        <v>3.5</v>
      </c>
      <c r="T1229" t="s">
        <v>1001</v>
      </c>
      <c r="U1229" t="s">
        <v>1045</v>
      </c>
      <c r="V1229" t="s">
        <v>402</v>
      </c>
      <c r="W1229">
        <v>60</v>
      </c>
    </row>
    <row r="1230" spans="1:23" x14ac:dyDescent="0.2">
      <c r="A1230" t="s">
        <v>934</v>
      </c>
      <c r="B1230" t="s">
        <v>935</v>
      </c>
      <c r="C1230" t="s">
        <v>52</v>
      </c>
      <c r="D1230" t="s">
        <v>321</v>
      </c>
      <c r="E1230">
        <v>0</v>
      </c>
      <c r="F1230">
        <v>120</v>
      </c>
      <c r="G1230">
        <v>0</v>
      </c>
      <c r="T1230" t="s">
        <v>1001</v>
      </c>
      <c r="U1230" t="s">
        <v>1046</v>
      </c>
      <c r="V1230" t="s">
        <v>1051</v>
      </c>
      <c r="W1230">
        <v>70</v>
      </c>
    </row>
    <row r="1231" spans="1:23" x14ac:dyDescent="0.2">
      <c r="A1231" t="s">
        <v>934</v>
      </c>
      <c r="B1231" t="s">
        <v>935</v>
      </c>
      <c r="C1231" t="s">
        <v>81</v>
      </c>
      <c r="D1231" t="s">
        <v>322</v>
      </c>
      <c r="E1231">
        <v>0</v>
      </c>
      <c r="F1231">
        <v>380</v>
      </c>
      <c r="G1231">
        <v>0</v>
      </c>
      <c r="T1231" t="s">
        <v>1001</v>
      </c>
      <c r="U1231" t="s">
        <v>1047</v>
      </c>
      <c r="V1231" t="s">
        <v>1052</v>
      </c>
      <c r="W1231">
        <v>70</v>
      </c>
    </row>
    <row r="1232" spans="1:23" x14ac:dyDescent="0.2">
      <c r="A1232" t="s">
        <v>934</v>
      </c>
      <c r="B1232" t="s">
        <v>935</v>
      </c>
      <c r="C1232" t="s">
        <v>49</v>
      </c>
      <c r="D1232" t="s">
        <v>290</v>
      </c>
      <c r="E1232">
        <v>0</v>
      </c>
      <c r="F1232">
        <v>248</v>
      </c>
      <c r="G1232">
        <v>0</v>
      </c>
      <c r="T1232" t="s">
        <v>1001</v>
      </c>
      <c r="U1232" t="s">
        <v>1048</v>
      </c>
      <c r="V1232" t="s">
        <v>1053</v>
      </c>
      <c r="W1232">
        <v>250</v>
      </c>
    </row>
    <row r="1233" spans="1:23" x14ac:dyDescent="0.2">
      <c r="A1233" t="s">
        <v>934</v>
      </c>
      <c r="B1233" t="s">
        <v>935</v>
      </c>
      <c r="C1233" t="s">
        <v>592</v>
      </c>
      <c r="D1233" t="s">
        <v>593</v>
      </c>
      <c r="E1233">
        <v>2</v>
      </c>
      <c r="F1233">
        <v>4.7</v>
      </c>
      <c r="G1233">
        <v>9.4</v>
      </c>
      <c r="T1233" t="s">
        <v>1001</v>
      </c>
      <c r="U1233" t="s">
        <v>1049</v>
      </c>
      <c r="V1233" t="s">
        <v>1054</v>
      </c>
      <c r="W1233">
        <v>750</v>
      </c>
    </row>
    <row r="1234" spans="1:23" x14ac:dyDescent="0.2">
      <c r="A1234" t="s">
        <v>934</v>
      </c>
      <c r="B1234" t="s">
        <v>935</v>
      </c>
      <c r="C1234" t="s">
        <v>598</v>
      </c>
      <c r="D1234" t="s">
        <v>599</v>
      </c>
      <c r="E1234">
        <v>2</v>
      </c>
      <c r="F1234">
        <v>5</v>
      </c>
      <c r="G1234">
        <v>10</v>
      </c>
      <c r="T1234" t="s">
        <v>1001</v>
      </c>
      <c r="U1234" t="s">
        <v>1050</v>
      </c>
      <c r="V1234" t="s">
        <v>1055</v>
      </c>
      <c r="W1234">
        <v>0</v>
      </c>
    </row>
    <row r="1235" spans="1:23" x14ac:dyDescent="0.2">
      <c r="A1235" t="s">
        <v>934</v>
      </c>
      <c r="B1235" t="s">
        <v>935</v>
      </c>
      <c r="C1235" t="s">
        <v>642</v>
      </c>
      <c r="D1235" t="s">
        <v>643</v>
      </c>
      <c r="E1235">
        <v>1</v>
      </c>
      <c r="F1235">
        <v>25</v>
      </c>
      <c r="G1235">
        <v>25</v>
      </c>
      <c r="T1235" t="s">
        <v>1003</v>
      </c>
      <c r="U1235" t="s">
        <v>1042</v>
      </c>
      <c r="V1235" t="s">
        <v>401</v>
      </c>
      <c r="W1235">
        <v>50</v>
      </c>
    </row>
    <row r="1236" spans="1:23" x14ac:dyDescent="0.2">
      <c r="A1236" t="s">
        <v>934</v>
      </c>
      <c r="B1236" t="s">
        <v>935</v>
      </c>
      <c r="C1236" t="s">
        <v>644</v>
      </c>
      <c r="D1236" t="s">
        <v>645</v>
      </c>
      <c r="E1236">
        <v>1</v>
      </c>
      <c r="F1236">
        <v>25</v>
      </c>
      <c r="G1236">
        <v>25</v>
      </c>
      <c r="T1236" t="s">
        <v>1003</v>
      </c>
      <c r="U1236" t="s">
        <v>1043</v>
      </c>
      <c r="V1236" t="s">
        <v>272</v>
      </c>
      <c r="W1236">
        <v>510</v>
      </c>
    </row>
    <row r="1237" spans="1:23" x14ac:dyDescent="0.2">
      <c r="A1237" t="s">
        <v>934</v>
      </c>
      <c r="B1237" t="s">
        <v>935</v>
      </c>
      <c r="C1237" t="s">
        <v>42</v>
      </c>
      <c r="D1237" t="s">
        <v>299</v>
      </c>
      <c r="E1237">
        <v>2</v>
      </c>
      <c r="F1237">
        <v>2.5</v>
      </c>
      <c r="G1237">
        <v>5</v>
      </c>
      <c r="T1237" t="s">
        <v>1003</v>
      </c>
      <c r="U1237" t="s">
        <v>1044</v>
      </c>
      <c r="V1237" t="s">
        <v>405</v>
      </c>
      <c r="W1237">
        <v>100</v>
      </c>
    </row>
    <row r="1238" spans="1:23" x14ac:dyDescent="0.2">
      <c r="A1238" t="s">
        <v>934</v>
      </c>
      <c r="B1238" t="s">
        <v>935</v>
      </c>
      <c r="C1238" t="s">
        <v>121</v>
      </c>
      <c r="D1238" t="s">
        <v>301</v>
      </c>
      <c r="E1238">
        <v>1</v>
      </c>
      <c r="F1238">
        <v>0.95</v>
      </c>
      <c r="G1238">
        <v>0.95</v>
      </c>
      <c r="T1238" t="s">
        <v>1003</v>
      </c>
      <c r="U1238" t="s">
        <v>1045</v>
      </c>
      <c r="V1238" t="s">
        <v>402</v>
      </c>
      <c r="W1238">
        <v>60</v>
      </c>
    </row>
    <row r="1239" spans="1:23" x14ac:dyDescent="0.2">
      <c r="A1239" t="s">
        <v>934</v>
      </c>
      <c r="B1239" t="s">
        <v>935</v>
      </c>
      <c r="C1239" t="s">
        <v>122</v>
      </c>
      <c r="D1239" t="s">
        <v>302</v>
      </c>
      <c r="E1239">
        <v>1</v>
      </c>
      <c r="F1239">
        <v>4.2</v>
      </c>
      <c r="G1239">
        <v>4.2</v>
      </c>
      <c r="T1239" t="s">
        <v>1003</v>
      </c>
      <c r="U1239" t="s">
        <v>1046</v>
      </c>
      <c r="V1239" t="s">
        <v>1051</v>
      </c>
      <c r="W1239">
        <v>70</v>
      </c>
    </row>
    <row r="1240" spans="1:23" x14ac:dyDescent="0.2">
      <c r="A1240" t="s">
        <v>934</v>
      </c>
      <c r="B1240" t="s">
        <v>935</v>
      </c>
      <c r="C1240" t="s">
        <v>3</v>
      </c>
      <c r="D1240" t="s">
        <v>370</v>
      </c>
      <c r="E1240">
        <v>0.6</v>
      </c>
      <c r="F1240">
        <v>5</v>
      </c>
      <c r="G1240">
        <v>3</v>
      </c>
      <c r="T1240" t="s">
        <v>1003</v>
      </c>
      <c r="U1240" t="s">
        <v>1047</v>
      </c>
      <c r="V1240" t="s">
        <v>1052</v>
      </c>
      <c r="W1240">
        <v>70</v>
      </c>
    </row>
    <row r="1241" spans="1:23" x14ac:dyDescent="0.2">
      <c r="A1241" t="s">
        <v>934</v>
      </c>
      <c r="B1241" t="s">
        <v>935</v>
      </c>
      <c r="C1241" t="s">
        <v>4</v>
      </c>
      <c r="D1241" t="s">
        <v>304</v>
      </c>
      <c r="E1241">
        <v>0.8</v>
      </c>
      <c r="F1241">
        <v>10.1</v>
      </c>
      <c r="G1241">
        <v>8.08</v>
      </c>
      <c r="T1241" t="s">
        <v>1003</v>
      </c>
      <c r="U1241" t="s">
        <v>1048</v>
      </c>
      <c r="V1241" t="s">
        <v>1053</v>
      </c>
      <c r="W1241">
        <v>250</v>
      </c>
    </row>
    <row r="1242" spans="1:23" x14ac:dyDescent="0.2">
      <c r="A1242" t="s">
        <v>934</v>
      </c>
      <c r="B1242" t="s">
        <v>935</v>
      </c>
      <c r="C1242" t="s">
        <v>5</v>
      </c>
      <c r="D1242" t="s">
        <v>305</v>
      </c>
      <c r="E1242">
        <v>0.8</v>
      </c>
      <c r="F1242">
        <v>11.5</v>
      </c>
      <c r="G1242">
        <v>9.1999999999999993</v>
      </c>
      <c r="T1242" t="s">
        <v>1003</v>
      </c>
      <c r="U1242" t="s">
        <v>1049</v>
      </c>
      <c r="V1242" t="s">
        <v>1054</v>
      </c>
      <c r="W1242">
        <v>750</v>
      </c>
    </row>
    <row r="1243" spans="1:23" x14ac:dyDescent="0.2">
      <c r="A1243" t="s">
        <v>934</v>
      </c>
      <c r="B1243" t="s">
        <v>935</v>
      </c>
      <c r="C1243" t="s">
        <v>7</v>
      </c>
      <c r="D1243" t="s">
        <v>307</v>
      </c>
      <c r="E1243">
        <v>1</v>
      </c>
      <c r="F1243">
        <v>6.7</v>
      </c>
      <c r="G1243">
        <v>6.7</v>
      </c>
      <c r="T1243" t="s">
        <v>1003</v>
      </c>
      <c r="U1243" t="s">
        <v>1050</v>
      </c>
      <c r="V1243" t="s">
        <v>1055</v>
      </c>
      <c r="W1243">
        <v>0</v>
      </c>
    </row>
    <row r="1244" spans="1:23" x14ac:dyDescent="0.2">
      <c r="A1244" t="s">
        <v>934</v>
      </c>
      <c r="B1244" t="s">
        <v>935</v>
      </c>
      <c r="C1244" t="s">
        <v>804</v>
      </c>
      <c r="D1244" t="s">
        <v>805</v>
      </c>
      <c r="E1244">
        <v>0.46</v>
      </c>
      <c r="F1244">
        <v>7</v>
      </c>
      <c r="G1244">
        <v>3.22</v>
      </c>
      <c r="T1244" t="s">
        <v>1005</v>
      </c>
      <c r="U1244" t="s">
        <v>1042</v>
      </c>
      <c r="V1244" t="s">
        <v>401</v>
      </c>
      <c r="W1244">
        <v>50</v>
      </c>
    </row>
    <row r="1245" spans="1:23" x14ac:dyDescent="0.2">
      <c r="A1245" t="s">
        <v>934</v>
      </c>
      <c r="B1245" t="s">
        <v>935</v>
      </c>
      <c r="C1245" t="s">
        <v>13</v>
      </c>
      <c r="D1245" t="s">
        <v>309</v>
      </c>
      <c r="E1245">
        <v>1.1000000000000001</v>
      </c>
      <c r="F1245">
        <v>7</v>
      </c>
      <c r="G1245">
        <v>7.7</v>
      </c>
      <c r="T1245" t="s">
        <v>1005</v>
      </c>
      <c r="U1245" t="s">
        <v>1043</v>
      </c>
      <c r="V1245" t="s">
        <v>272</v>
      </c>
      <c r="W1245">
        <v>495</v>
      </c>
    </row>
    <row r="1246" spans="1:23" x14ac:dyDescent="0.2">
      <c r="A1246" t="s">
        <v>934</v>
      </c>
      <c r="B1246" t="s">
        <v>935</v>
      </c>
      <c r="C1246" t="s">
        <v>108</v>
      </c>
      <c r="D1246" t="s">
        <v>323</v>
      </c>
      <c r="E1246">
        <v>0</v>
      </c>
      <c r="F1246">
        <v>0.1</v>
      </c>
      <c r="G1246">
        <v>0</v>
      </c>
      <c r="T1246" t="s">
        <v>1005</v>
      </c>
      <c r="U1246" t="s">
        <v>1044</v>
      </c>
      <c r="V1246" t="s">
        <v>405</v>
      </c>
      <c r="W1246">
        <v>100</v>
      </c>
    </row>
    <row r="1247" spans="1:23" x14ac:dyDescent="0.2">
      <c r="A1247" t="s">
        <v>984</v>
      </c>
      <c r="B1247" t="s">
        <v>199</v>
      </c>
      <c r="C1247" t="s">
        <v>94</v>
      </c>
      <c r="D1247" t="s">
        <v>280</v>
      </c>
      <c r="E1247">
        <v>1</v>
      </c>
      <c r="F1247">
        <v>3.5</v>
      </c>
      <c r="G1247">
        <v>3.5</v>
      </c>
      <c r="T1247" t="s">
        <v>1005</v>
      </c>
      <c r="U1247" t="s">
        <v>1045</v>
      </c>
      <c r="V1247" t="s">
        <v>402</v>
      </c>
      <c r="W1247">
        <v>60</v>
      </c>
    </row>
    <row r="1248" spans="1:23" x14ac:dyDescent="0.2">
      <c r="A1248" t="s">
        <v>984</v>
      </c>
      <c r="B1248" t="s">
        <v>199</v>
      </c>
      <c r="C1248" t="s">
        <v>95</v>
      </c>
      <c r="D1248" t="s">
        <v>281</v>
      </c>
      <c r="E1248">
        <v>1</v>
      </c>
      <c r="F1248">
        <v>2</v>
      </c>
      <c r="G1248">
        <v>2</v>
      </c>
      <c r="T1248" t="s">
        <v>1005</v>
      </c>
      <c r="U1248" t="s">
        <v>1046</v>
      </c>
      <c r="V1248" t="s">
        <v>1051</v>
      </c>
      <c r="W1248">
        <v>70</v>
      </c>
    </row>
    <row r="1249" spans="1:23" x14ac:dyDescent="0.2">
      <c r="A1249" t="s">
        <v>984</v>
      </c>
      <c r="B1249" t="s">
        <v>199</v>
      </c>
      <c r="C1249" t="s">
        <v>45</v>
      </c>
      <c r="D1249" t="s">
        <v>374</v>
      </c>
      <c r="E1249">
        <v>0</v>
      </c>
      <c r="F1249">
        <v>65</v>
      </c>
      <c r="G1249">
        <v>0</v>
      </c>
      <c r="T1249" t="s">
        <v>1005</v>
      </c>
      <c r="U1249" t="s">
        <v>1047</v>
      </c>
      <c r="V1249" t="s">
        <v>1052</v>
      </c>
      <c r="W1249">
        <v>70</v>
      </c>
    </row>
    <row r="1250" spans="1:23" x14ac:dyDescent="0.2">
      <c r="A1250" t="s">
        <v>984</v>
      </c>
      <c r="B1250" t="s">
        <v>199</v>
      </c>
      <c r="C1250" t="s">
        <v>52</v>
      </c>
      <c r="D1250" t="s">
        <v>321</v>
      </c>
      <c r="E1250">
        <v>0</v>
      </c>
      <c r="F1250">
        <v>120</v>
      </c>
      <c r="G1250">
        <v>0</v>
      </c>
      <c r="T1250" t="s">
        <v>1005</v>
      </c>
      <c r="U1250" t="s">
        <v>1048</v>
      </c>
      <c r="V1250" t="s">
        <v>1053</v>
      </c>
      <c r="W1250">
        <v>250</v>
      </c>
    </row>
    <row r="1251" spans="1:23" x14ac:dyDescent="0.2">
      <c r="A1251" t="s">
        <v>984</v>
      </c>
      <c r="B1251" t="s">
        <v>199</v>
      </c>
      <c r="C1251" t="s">
        <v>60</v>
      </c>
      <c r="D1251" t="s">
        <v>337</v>
      </c>
      <c r="E1251">
        <v>0</v>
      </c>
      <c r="F1251">
        <v>130</v>
      </c>
      <c r="G1251">
        <v>0</v>
      </c>
      <c r="T1251" t="s">
        <v>1005</v>
      </c>
      <c r="U1251" t="s">
        <v>1049</v>
      </c>
      <c r="V1251" t="s">
        <v>1054</v>
      </c>
      <c r="W1251">
        <v>750</v>
      </c>
    </row>
    <row r="1252" spans="1:23" x14ac:dyDescent="0.2">
      <c r="A1252" t="s">
        <v>984</v>
      </c>
      <c r="B1252" t="s">
        <v>199</v>
      </c>
      <c r="C1252" t="s">
        <v>61</v>
      </c>
      <c r="D1252" t="s">
        <v>341</v>
      </c>
      <c r="E1252">
        <v>0</v>
      </c>
      <c r="F1252">
        <v>190</v>
      </c>
      <c r="G1252">
        <v>0</v>
      </c>
      <c r="T1252" t="s">
        <v>1005</v>
      </c>
      <c r="U1252" t="s">
        <v>1050</v>
      </c>
      <c r="V1252" t="s">
        <v>1055</v>
      </c>
      <c r="W1252">
        <v>0</v>
      </c>
    </row>
    <row r="1253" spans="1:23" x14ac:dyDescent="0.2">
      <c r="A1253" t="s">
        <v>984</v>
      </c>
      <c r="B1253" t="s">
        <v>199</v>
      </c>
      <c r="C1253" t="s">
        <v>69</v>
      </c>
      <c r="D1253" t="s">
        <v>288</v>
      </c>
      <c r="E1253">
        <v>0</v>
      </c>
      <c r="F1253">
        <v>190</v>
      </c>
      <c r="G1253">
        <v>0</v>
      </c>
      <c r="T1253" t="s">
        <v>1007</v>
      </c>
      <c r="U1253" t="s">
        <v>1042</v>
      </c>
      <c r="V1253" t="s">
        <v>401</v>
      </c>
      <c r="W1253">
        <v>50</v>
      </c>
    </row>
    <row r="1254" spans="1:23" x14ac:dyDescent="0.2">
      <c r="A1254" t="s">
        <v>984</v>
      </c>
      <c r="B1254" t="s">
        <v>199</v>
      </c>
      <c r="C1254" t="s">
        <v>93</v>
      </c>
      <c r="D1254" t="s">
        <v>327</v>
      </c>
      <c r="E1254">
        <v>0</v>
      </c>
      <c r="F1254">
        <v>70</v>
      </c>
      <c r="G1254">
        <v>0</v>
      </c>
      <c r="T1254" t="s">
        <v>1007</v>
      </c>
      <c r="U1254" t="s">
        <v>1043</v>
      </c>
      <c r="V1254" t="s">
        <v>272</v>
      </c>
      <c r="W1254">
        <v>495</v>
      </c>
    </row>
    <row r="1255" spans="1:23" x14ac:dyDescent="0.2">
      <c r="A1255" t="s">
        <v>984</v>
      </c>
      <c r="B1255" t="s">
        <v>199</v>
      </c>
      <c r="C1255" t="s">
        <v>48</v>
      </c>
      <c r="D1255" t="s">
        <v>359</v>
      </c>
      <c r="E1255">
        <v>0</v>
      </c>
      <c r="F1255">
        <v>412</v>
      </c>
      <c r="G1255">
        <v>0</v>
      </c>
      <c r="T1255" t="s">
        <v>1007</v>
      </c>
      <c r="U1255" t="s">
        <v>1044</v>
      </c>
      <c r="V1255" t="s">
        <v>405</v>
      </c>
      <c r="W1255">
        <v>100</v>
      </c>
    </row>
    <row r="1256" spans="1:23" x14ac:dyDescent="0.2">
      <c r="A1256" t="s">
        <v>984</v>
      </c>
      <c r="B1256" t="s">
        <v>199</v>
      </c>
      <c r="C1256" t="s">
        <v>49</v>
      </c>
      <c r="D1256" t="s">
        <v>290</v>
      </c>
      <c r="E1256">
        <v>0</v>
      </c>
      <c r="F1256">
        <v>248</v>
      </c>
      <c r="G1256">
        <v>0</v>
      </c>
      <c r="T1256" t="s">
        <v>1007</v>
      </c>
      <c r="U1256" t="s">
        <v>1045</v>
      </c>
      <c r="V1256" t="s">
        <v>402</v>
      </c>
      <c r="W1256">
        <v>60</v>
      </c>
    </row>
    <row r="1257" spans="1:23" x14ac:dyDescent="0.2">
      <c r="A1257" t="s">
        <v>984</v>
      </c>
      <c r="B1257" t="s">
        <v>199</v>
      </c>
      <c r="C1257" t="s">
        <v>577</v>
      </c>
      <c r="D1257" t="s">
        <v>578</v>
      </c>
      <c r="E1257">
        <v>0</v>
      </c>
      <c r="F1257">
        <v>90</v>
      </c>
      <c r="G1257">
        <v>0</v>
      </c>
      <c r="T1257" t="s">
        <v>1007</v>
      </c>
      <c r="U1257" t="s">
        <v>1046</v>
      </c>
      <c r="V1257" t="s">
        <v>1051</v>
      </c>
      <c r="W1257">
        <v>70</v>
      </c>
    </row>
    <row r="1258" spans="1:23" x14ac:dyDescent="0.2">
      <c r="A1258" t="s">
        <v>984</v>
      </c>
      <c r="B1258" t="s">
        <v>199</v>
      </c>
      <c r="C1258" t="s">
        <v>19</v>
      </c>
      <c r="D1258" t="s">
        <v>329</v>
      </c>
      <c r="E1258">
        <v>1</v>
      </c>
      <c r="F1258">
        <v>2.9</v>
      </c>
      <c r="G1258">
        <v>2.9</v>
      </c>
      <c r="T1258" t="s">
        <v>1007</v>
      </c>
      <c r="U1258" t="s">
        <v>1047</v>
      </c>
      <c r="V1258" t="s">
        <v>1052</v>
      </c>
      <c r="W1258">
        <v>70</v>
      </c>
    </row>
    <row r="1259" spans="1:23" x14ac:dyDescent="0.2">
      <c r="A1259" t="s">
        <v>984</v>
      </c>
      <c r="B1259" t="s">
        <v>199</v>
      </c>
      <c r="C1259" t="s">
        <v>20</v>
      </c>
      <c r="D1259" t="s">
        <v>330</v>
      </c>
      <c r="E1259">
        <v>1</v>
      </c>
      <c r="F1259">
        <v>2.9</v>
      </c>
      <c r="G1259">
        <v>2.9</v>
      </c>
      <c r="T1259" t="s">
        <v>1007</v>
      </c>
      <c r="U1259" t="s">
        <v>1048</v>
      </c>
      <c r="V1259" t="s">
        <v>1053</v>
      </c>
      <c r="W1259">
        <v>250</v>
      </c>
    </row>
    <row r="1260" spans="1:23" x14ac:dyDescent="0.2">
      <c r="A1260" t="s">
        <v>984</v>
      </c>
      <c r="B1260" t="s">
        <v>199</v>
      </c>
      <c r="C1260" t="s">
        <v>22</v>
      </c>
      <c r="D1260" t="s">
        <v>331</v>
      </c>
      <c r="E1260">
        <v>2</v>
      </c>
      <c r="F1260">
        <v>2.5</v>
      </c>
      <c r="G1260">
        <v>5</v>
      </c>
      <c r="T1260" t="s">
        <v>1007</v>
      </c>
      <c r="U1260" t="s">
        <v>1049</v>
      </c>
      <c r="V1260" t="s">
        <v>1054</v>
      </c>
      <c r="W1260">
        <v>750</v>
      </c>
    </row>
    <row r="1261" spans="1:23" x14ac:dyDescent="0.2">
      <c r="A1261" t="s">
        <v>984</v>
      </c>
      <c r="B1261" t="s">
        <v>199</v>
      </c>
      <c r="C1261" t="s">
        <v>29</v>
      </c>
      <c r="D1261" t="s">
        <v>292</v>
      </c>
      <c r="E1261">
        <v>0.3</v>
      </c>
      <c r="F1261">
        <v>27</v>
      </c>
      <c r="G1261">
        <v>8.1</v>
      </c>
      <c r="T1261" t="s">
        <v>1007</v>
      </c>
      <c r="U1261" t="s">
        <v>1050</v>
      </c>
      <c r="V1261" t="s">
        <v>1055</v>
      </c>
      <c r="W1261">
        <v>0</v>
      </c>
    </row>
    <row r="1262" spans="1:23" x14ac:dyDescent="0.2">
      <c r="A1262" t="s">
        <v>984</v>
      </c>
      <c r="B1262" t="s">
        <v>199</v>
      </c>
      <c r="C1262" t="s">
        <v>30</v>
      </c>
      <c r="D1262" t="s">
        <v>332</v>
      </c>
      <c r="E1262">
        <v>1</v>
      </c>
      <c r="F1262">
        <v>6</v>
      </c>
      <c r="G1262">
        <v>6</v>
      </c>
      <c r="T1262" t="s">
        <v>1009</v>
      </c>
      <c r="U1262" t="s">
        <v>1042</v>
      </c>
      <c r="V1262" t="s">
        <v>401</v>
      </c>
      <c r="W1262">
        <v>50</v>
      </c>
    </row>
    <row r="1263" spans="1:23" x14ac:dyDescent="0.2">
      <c r="A1263" t="s">
        <v>984</v>
      </c>
      <c r="B1263" t="s">
        <v>199</v>
      </c>
      <c r="C1263" t="s">
        <v>638</v>
      </c>
      <c r="D1263" t="s">
        <v>639</v>
      </c>
      <c r="E1263">
        <v>2</v>
      </c>
      <c r="F1263">
        <v>25</v>
      </c>
      <c r="G1263">
        <v>50</v>
      </c>
      <c r="T1263" t="s">
        <v>1009</v>
      </c>
      <c r="U1263" t="s">
        <v>1043</v>
      </c>
      <c r="V1263" t="s">
        <v>272</v>
      </c>
      <c r="W1263">
        <v>495</v>
      </c>
    </row>
    <row r="1264" spans="1:23" x14ac:dyDescent="0.2">
      <c r="A1264" t="s">
        <v>984</v>
      </c>
      <c r="B1264" t="s">
        <v>199</v>
      </c>
      <c r="C1264" t="s">
        <v>640</v>
      </c>
      <c r="D1264" t="s">
        <v>641</v>
      </c>
      <c r="E1264">
        <v>2</v>
      </c>
      <c r="F1264">
        <v>45</v>
      </c>
      <c r="G1264">
        <v>90</v>
      </c>
      <c r="T1264" t="s">
        <v>1009</v>
      </c>
      <c r="U1264" t="s">
        <v>1044</v>
      </c>
      <c r="V1264" t="s">
        <v>405</v>
      </c>
      <c r="W1264">
        <v>100</v>
      </c>
    </row>
    <row r="1265" spans="1:23" x14ac:dyDescent="0.2">
      <c r="A1265" t="s">
        <v>984</v>
      </c>
      <c r="B1265" t="s">
        <v>199</v>
      </c>
      <c r="C1265" t="s">
        <v>121</v>
      </c>
      <c r="D1265" t="s">
        <v>301</v>
      </c>
      <c r="E1265">
        <v>1</v>
      </c>
      <c r="F1265">
        <v>0.95</v>
      </c>
      <c r="G1265">
        <v>0.95</v>
      </c>
      <c r="T1265" t="s">
        <v>1009</v>
      </c>
      <c r="U1265" t="s">
        <v>1045</v>
      </c>
      <c r="V1265" t="s">
        <v>402</v>
      </c>
      <c r="W1265">
        <v>60</v>
      </c>
    </row>
    <row r="1266" spans="1:23" x14ac:dyDescent="0.2">
      <c r="A1266" t="s">
        <v>984</v>
      </c>
      <c r="B1266" t="s">
        <v>199</v>
      </c>
      <c r="C1266" t="s">
        <v>122</v>
      </c>
      <c r="D1266" t="s">
        <v>302</v>
      </c>
      <c r="E1266">
        <v>1</v>
      </c>
      <c r="F1266">
        <v>4.2</v>
      </c>
      <c r="G1266">
        <v>4.2</v>
      </c>
      <c r="T1266" t="s">
        <v>1009</v>
      </c>
      <c r="U1266" t="s">
        <v>1046</v>
      </c>
      <c r="V1266" t="s">
        <v>1051</v>
      </c>
      <c r="W1266">
        <v>70</v>
      </c>
    </row>
    <row r="1267" spans="1:23" x14ac:dyDescent="0.2">
      <c r="A1267" t="s">
        <v>984</v>
      </c>
      <c r="B1267" t="s">
        <v>199</v>
      </c>
      <c r="C1267" t="s">
        <v>2</v>
      </c>
      <c r="D1267" t="s">
        <v>303</v>
      </c>
      <c r="E1267">
        <v>0.6</v>
      </c>
      <c r="F1267">
        <v>5.0999999999999996</v>
      </c>
      <c r="G1267">
        <v>3.06</v>
      </c>
      <c r="T1267" t="s">
        <v>1009</v>
      </c>
      <c r="U1267" t="s">
        <v>1047</v>
      </c>
      <c r="V1267" t="s">
        <v>1052</v>
      </c>
      <c r="W1267">
        <v>70</v>
      </c>
    </row>
    <row r="1268" spans="1:23" x14ac:dyDescent="0.2">
      <c r="A1268" t="s">
        <v>984</v>
      </c>
      <c r="B1268" t="s">
        <v>199</v>
      </c>
      <c r="C1268" t="s">
        <v>4</v>
      </c>
      <c r="D1268" t="s">
        <v>304</v>
      </c>
      <c r="E1268">
        <v>1.3</v>
      </c>
      <c r="F1268">
        <v>10.1</v>
      </c>
      <c r="G1268">
        <v>13.13</v>
      </c>
      <c r="T1268" t="s">
        <v>1009</v>
      </c>
      <c r="U1268" t="s">
        <v>1048</v>
      </c>
      <c r="V1268" t="s">
        <v>1053</v>
      </c>
      <c r="W1268">
        <v>250</v>
      </c>
    </row>
    <row r="1269" spans="1:23" x14ac:dyDescent="0.2">
      <c r="A1269" t="s">
        <v>984</v>
      </c>
      <c r="B1269" t="s">
        <v>199</v>
      </c>
      <c r="C1269" t="s">
        <v>5</v>
      </c>
      <c r="D1269" t="s">
        <v>305</v>
      </c>
      <c r="E1269">
        <v>0.2</v>
      </c>
      <c r="F1269">
        <v>11.5</v>
      </c>
      <c r="G1269">
        <v>2.2999999999999998</v>
      </c>
      <c r="T1269" t="s">
        <v>1009</v>
      </c>
      <c r="U1269" t="s">
        <v>1049</v>
      </c>
      <c r="V1269" t="s">
        <v>1054</v>
      </c>
      <c r="W1269">
        <v>750</v>
      </c>
    </row>
    <row r="1270" spans="1:23" x14ac:dyDescent="0.2">
      <c r="A1270" t="s">
        <v>984</v>
      </c>
      <c r="B1270" t="s">
        <v>199</v>
      </c>
      <c r="C1270" t="s">
        <v>6</v>
      </c>
      <c r="D1270" t="s">
        <v>306</v>
      </c>
      <c r="E1270">
        <v>0.4</v>
      </c>
      <c r="F1270">
        <v>16.8</v>
      </c>
      <c r="G1270">
        <v>6.72</v>
      </c>
      <c r="T1270" t="s">
        <v>1009</v>
      </c>
      <c r="U1270" t="s">
        <v>1050</v>
      </c>
      <c r="V1270" t="s">
        <v>1055</v>
      </c>
      <c r="W1270">
        <v>0</v>
      </c>
    </row>
    <row r="1271" spans="1:23" x14ac:dyDescent="0.2">
      <c r="A1271" t="s">
        <v>984</v>
      </c>
      <c r="B1271" t="s">
        <v>199</v>
      </c>
      <c r="C1271" t="s">
        <v>1038</v>
      </c>
      <c r="D1271" t="s">
        <v>1039</v>
      </c>
      <c r="E1271">
        <v>0.26</v>
      </c>
      <c r="F1271">
        <v>0</v>
      </c>
      <c r="G1271">
        <v>0</v>
      </c>
      <c r="T1271" t="s">
        <v>1011</v>
      </c>
      <c r="U1271" t="s">
        <v>1042</v>
      </c>
      <c r="V1271" t="s">
        <v>401</v>
      </c>
      <c r="W1271">
        <v>50</v>
      </c>
    </row>
    <row r="1272" spans="1:23" x14ac:dyDescent="0.2">
      <c r="A1272" t="s">
        <v>984</v>
      </c>
      <c r="B1272" t="s">
        <v>199</v>
      </c>
      <c r="C1272" t="s">
        <v>105</v>
      </c>
      <c r="D1272" t="s">
        <v>313</v>
      </c>
      <c r="E1272">
        <v>0</v>
      </c>
      <c r="F1272">
        <v>0.1</v>
      </c>
      <c r="G1272">
        <v>0</v>
      </c>
      <c r="T1272" t="s">
        <v>1011</v>
      </c>
      <c r="U1272" t="s">
        <v>1043</v>
      </c>
      <c r="V1272" t="s">
        <v>272</v>
      </c>
      <c r="W1272">
        <v>495</v>
      </c>
    </row>
    <row r="1273" spans="1:23" x14ac:dyDescent="0.2">
      <c r="A1273" t="s">
        <v>984</v>
      </c>
      <c r="B1273" t="s">
        <v>199</v>
      </c>
      <c r="C1273" t="s">
        <v>108</v>
      </c>
      <c r="D1273" t="s">
        <v>323</v>
      </c>
      <c r="E1273">
        <v>0</v>
      </c>
      <c r="F1273">
        <v>0.1</v>
      </c>
      <c r="G1273">
        <v>0</v>
      </c>
      <c r="T1273" t="s">
        <v>1011</v>
      </c>
      <c r="U1273" t="s">
        <v>1044</v>
      </c>
      <c r="V1273" t="s">
        <v>405</v>
      </c>
      <c r="W1273">
        <v>100</v>
      </c>
    </row>
    <row r="1274" spans="1:23" x14ac:dyDescent="0.2">
      <c r="A1274" t="s">
        <v>144</v>
      </c>
      <c r="B1274" t="s">
        <v>261</v>
      </c>
      <c r="C1274" t="s">
        <v>94</v>
      </c>
      <c r="D1274" t="s">
        <v>280</v>
      </c>
      <c r="E1274">
        <v>1</v>
      </c>
      <c r="F1274">
        <v>3.5</v>
      </c>
      <c r="G1274">
        <v>3.5</v>
      </c>
      <c r="T1274" t="s">
        <v>1011</v>
      </c>
      <c r="U1274" t="s">
        <v>1045</v>
      </c>
      <c r="V1274" t="s">
        <v>402</v>
      </c>
      <c r="W1274">
        <v>60</v>
      </c>
    </row>
    <row r="1275" spans="1:23" x14ac:dyDescent="0.2">
      <c r="A1275" t="s">
        <v>144</v>
      </c>
      <c r="B1275" t="s">
        <v>261</v>
      </c>
      <c r="C1275" t="s">
        <v>95</v>
      </c>
      <c r="D1275" t="s">
        <v>281</v>
      </c>
      <c r="E1275">
        <v>1</v>
      </c>
      <c r="F1275">
        <v>2</v>
      </c>
      <c r="G1275">
        <v>2</v>
      </c>
      <c r="T1275" t="s">
        <v>1011</v>
      </c>
      <c r="U1275" t="s">
        <v>1046</v>
      </c>
      <c r="V1275" t="s">
        <v>1051</v>
      </c>
      <c r="W1275">
        <v>70</v>
      </c>
    </row>
    <row r="1276" spans="1:23" x14ac:dyDescent="0.2">
      <c r="A1276" t="s">
        <v>144</v>
      </c>
      <c r="B1276" t="s">
        <v>261</v>
      </c>
      <c r="C1276" t="s">
        <v>44</v>
      </c>
      <c r="D1276" t="s">
        <v>324</v>
      </c>
      <c r="E1276">
        <v>0.25</v>
      </c>
      <c r="F1276">
        <v>65</v>
      </c>
      <c r="G1276">
        <v>16.25</v>
      </c>
      <c r="T1276" t="s">
        <v>1011</v>
      </c>
      <c r="U1276" t="s">
        <v>1047</v>
      </c>
      <c r="V1276" t="s">
        <v>1052</v>
      </c>
      <c r="W1276">
        <v>70</v>
      </c>
    </row>
    <row r="1277" spans="1:23" x14ac:dyDescent="0.2">
      <c r="A1277" t="s">
        <v>144</v>
      </c>
      <c r="B1277" t="s">
        <v>261</v>
      </c>
      <c r="C1277" t="s">
        <v>53</v>
      </c>
      <c r="D1277" t="s">
        <v>325</v>
      </c>
      <c r="E1277">
        <v>1.2</v>
      </c>
      <c r="F1277">
        <v>120</v>
      </c>
      <c r="G1277">
        <v>144</v>
      </c>
      <c r="T1277" t="s">
        <v>1011</v>
      </c>
      <c r="U1277" t="s">
        <v>1048</v>
      </c>
      <c r="V1277" t="s">
        <v>1053</v>
      </c>
      <c r="W1277">
        <v>250</v>
      </c>
    </row>
    <row r="1278" spans="1:23" x14ac:dyDescent="0.2">
      <c r="A1278" t="s">
        <v>144</v>
      </c>
      <c r="B1278" t="s">
        <v>261</v>
      </c>
      <c r="C1278" t="s">
        <v>60</v>
      </c>
      <c r="D1278" t="s">
        <v>337</v>
      </c>
      <c r="E1278">
        <v>0.2</v>
      </c>
      <c r="F1278">
        <v>130</v>
      </c>
      <c r="G1278">
        <v>26</v>
      </c>
      <c r="T1278" t="s">
        <v>1011</v>
      </c>
      <c r="U1278" t="s">
        <v>1049</v>
      </c>
      <c r="V1278" t="s">
        <v>1054</v>
      </c>
      <c r="W1278">
        <v>750</v>
      </c>
    </row>
    <row r="1279" spans="1:23" x14ac:dyDescent="0.2">
      <c r="A1279" t="s">
        <v>144</v>
      </c>
      <c r="B1279" t="s">
        <v>261</v>
      </c>
      <c r="C1279" t="s">
        <v>61</v>
      </c>
      <c r="D1279" t="s">
        <v>341</v>
      </c>
      <c r="E1279">
        <v>0.2</v>
      </c>
      <c r="F1279">
        <v>190</v>
      </c>
      <c r="G1279">
        <v>38</v>
      </c>
      <c r="T1279" t="s">
        <v>1011</v>
      </c>
      <c r="U1279" t="s">
        <v>1050</v>
      </c>
      <c r="V1279" t="s">
        <v>1055</v>
      </c>
      <c r="W1279">
        <v>0</v>
      </c>
    </row>
    <row r="1280" spans="1:23" x14ac:dyDescent="0.2">
      <c r="A1280" t="s">
        <v>144</v>
      </c>
      <c r="B1280" t="s">
        <v>261</v>
      </c>
      <c r="C1280" t="s">
        <v>70</v>
      </c>
      <c r="D1280" t="s">
        <v>342</v>
      </c>
      <c r="E1280">
        <v>0.75</v>
      </c>
      <c r="F1280">
        <v>145</v>
      </c>
      <c r="G1280">
        <v>108.75</v>
      </c>
      <c r="T1280" t="s">
        <v>1012</v>
      </c>
      <c r="U1280" t="s">
        <v>1042</v>
      </c>
      <c r="V1280" t="s">
        <v>401</v>
      </c>
      <c r="W1280">
        <v>50</v>
      </c>
    </row>
    <row r="1281" spans="1:23" x14ac:dyDescent="0.2">
      <c r="A1281" t="s">
        <v>144</v>
      </c>
      <c r="B1281" t="s">
        <v>261</v>
      </c>
      <c r="C1281" t="s">
        <v>93</v>
      </c>
      <c r="D1281" t="s">
        <v>327</v>
      </c>
      <c r="E1281">
        <v>0.15</v>
      </c>
      <c r="F1281">
        <v>70</v>
      </c>
      <c r="G1281">
        <v>10.5</v>
      </c>
      <c r="T1281" t="s">
        <v>1012</v>
      </c>
      <c r="U1281" t="s">
        <v>1043</v>
      </c>
      <c r="V1281" t="s">
        <v>272</v>
      </c>
      <c r="W1281">
        <v>375</v>
      </c>
    </row>
    <row r="1282" spans="1:23" x14ac:dyDescent="0.2">
      <c r="A1282" t="s">
        <v>144</v>
      </c>
      <c r="B1282" t="s">
        <v>261</v>
      </c>
      <c r="C1282" t="s">
        <v>47</v>
      </c>
      <c r="D1282" t="s">
        <v>328</v>
      </c>
      <c r="E1282">
        <v>0.1</v>
      </c>
      <c r="F1282">
        <v>235</v>
      </c>
      <c r="G1282">
        <v>23.5</v>
      </c>
      <c r="T1282" t="s">
        <v>1012</v>
      </c>
      <c r="U1282" t="s">
        <v>1044</v>
      </c>
      <c r="V1282" t="s">
        <v>405</v>
      </c>
      <c r="W1282">
        <v>100</v>
      </c>
    </row>
    <row r="1283" spans="1:23" x14ac:dyDescent="0.2">
      <c r="A1283" t="s">
        <v>144</v>
      </c>
      <c r="B1283" t="s">
        <v>261</v>
      </c>
      <c r="C1283" t="s">
        <v>49</v>
      </c>
      <c r="D1283" t="s">
        <v>290</v>
      </c>
      <c r="E1283">
        <v>7.4999999999999997E-2</v>
      </c>
      <c r="F1283">
        <v>248</v>
      </c>
      <c r="G1283">
        <v>18.600000000000001</v>
      </c>
      <c r="T1283" t="s">
        <v>1012</v>
      </c>
      <c r="U1283" t="s">
        <v>1045</v>
      </c>
      <c r="V1283" t="s">
        <v>402</v>
      </c>
      <c r="W1283">
        <v>60</v>
      </c>
    </row>
    <row r="1284" spans="1:23" x14ac:dyDescent="0.2">
      <c r="A1284" t="s">
        <v>144</v>
      </c>
      <c r="B1284" t="s">
        <v>261</v>
      </c>
      <c r="C1284" t="s">
        <v>19</v>
      </c>
      <c r="D1284" t="s">
        <v>329</v>
      </c>
      <c r="E1284">
        <v>1</v>
      </c>
      <c r="F1284">
        <v>2.9</v>
      </c>
      <c r="G1284">
        <v>2.9</v>
      </c>
      <c r="T1284" t="s">
        <v>1012</v>
      </c>
      <c r="U1284" t="s">
        <v>1046</v>
      </c>
      <c r="V1284" t="s">
        <v>1051</v>
      </c>
      <c r="W1284">
        <v>70</v>
      </c>
    </row>
    <row r="1285" spans="1:23" x14ac:dyDescent="0.2">
      <c r="A1285" t="s">
        <v>144</v>
      </c>
      <c r="B1285" t="s">
        <v>261</v>
      </c>
      <c r="C1285" t="s">
        <v>20</v>
      </c>
      <c r="D1285" t="s">
        <v>330</v>
      </c>
      <c r="E1285">
        <v>1</v>
      </c>
      <c r="F1285">
        <v>2.9</v>
      </c>
      <c r="G1285">
        <v>2.9</v>
      </c>
      <c r="T1285" t="s">
        <v>1012</v>
      </c>
      <c r="U1285" t="s">
        <v>1047</v>
      </c>
      <c r="V1285" t="s">
        <v>1052</v>
      </c>
      <c r="W1285">
        <v>70</v>
      </c>
    </row>
    <row r="1286" spans="1:23" x14ac:dyDescent="0.2">
      <c r="A1286" t="s">
        <v>144</v>
      </c>
      <c r="B1286" t="s">
        <v>261</v>
      </c>
      <c r="C1286" t="s">
        <v>22</v>
      </c>
      <c r="D1286" t="s">
        <v>331</v>
      </c>
      <c r="E1286">
        <v>2</v>
      </c>
      <c r="F1286">
        <v>2.5</v>
      </c>
      <c r="G1286">
        <v>5</v>
      </c>
      <c r="T1286" t="s">
        <v>1012</v>
      </c>
      <c r="U1286" t="s">
        <v>1048</v>
      </c>
      <c r="V1286" t="s">
        <v>1053</v>
      </c>
      <c r="W1286">
        <v>250</v>
      </c>
    </row>
    <row r="1287" spans="1:23" x14ac:dyDescent="0.2">
      <c r="A1287" t="s">
        <v>144</v>
      </c>
      <c r="B1287" t="s">
        <v>261</v>
      </c>
      <c r="C1287" t="s">
        <v>29</v>
      </c>
      <c r="D1287" t="s">
        <v>292</v>
      </c>
      <c r="E1287">
        <v>0.8</v>
      </c>
      <c r="F1287">
        <v>27</v>
      </c>
      <c r="G1287">
        <v>21.6</v>
      </c>
      <c r="T1287" t="s">
        <v>1012</v>
      </c>
      <c r="U1287" t="s">
        <v>1049</v>
      </c>
      <c r="V1287" t="s">
        <v>1054</v>
      </c>
      <c r="W1287">
        <v>750</v>
      </c>
    </row>
    <row r="1288" spans="1:23" x14ac:dyDescent="0.2">
      <c r="A1288" t="s">
        <v>144</v>
      </c>
      <c r="B1288" t="s">
        <v>261</v>
      </c>
      <c r="C1288" t="s">
        <v>30</v>
      </c>
      <c r="D1288" t="s">
        <v>332</v>
      </c>
      <c r="E1288">
        <v>2</v>
      </c>
      <c r="F1288">
        <v>6</v>
      </c>
      <c r="G1288">
        <v>12</v>
      </c>
      <c r="T1288" t="s">
        <v>1012</v>
      </c>
      <c r="U1288" t="s">
        <v>1050</v>
      </c>
      <c r="V1288" t="s">
        <v>1055</v>
      </c>
      <c r="W1288">
        <v>0</v>
      </c>
    </row>
    <row r="1289" spans="1:23" x14ac:dyDescent="0.2">
      <c r="A1289" t="s">
        <v>144</v>
      </c>
      <c r="B1289" t="s">
        <v>261</v>
      </c>
      <c r="C1289" t="s">
        <v>104</v>
      </c>
      <c r="D1289" t="s">
        <v>343</v>
      </c>
      <c r="E1289">
        <v>1.4999999999999999E-2</v>
      </c>
      <c r="F1289">
        <v>890</v>
      </c>
      <c r="G1289">
        <v>13.35</v>
      </c>
      <c r="T1289" t="s">
        <v>1013</v>
      </c>
      <c r="U1289" t="s">
        <v>1042</v>
      </c>
      <c r="V1289" t="s">
        <v>401</v>
      </c>
      <c r="W1289">
        <v>50</v>
      </c>
    </row>
    <row r="1290" spans="1:23" x14ac:dyDescent="0.2">
      <c r="A1290" t="s">
        <v>144</v>
      </c>
      <c r="B1290" t="s">
        <v>261</v>
      </c>
      <c r="C1290" t="s">
        <v>121</v>
      </c>
      <c r="D1290" t="s">
        <v>301</v>
      </c>
      <c r="E1290">
        <v>1</v>
      </c>
      <c r="F1290">
        <v>0.95</v>
      </c>
      <c r="G1290">
        <v>0.95</v>
      </c>
      <c r="T1290" t="s">
        <v>1013</v>
      </c>
      <c r="U1290" t="s">
        <v>1043</v>
      </c>
      <c r="V1290" t="s">
        <v>272</v>
      </c>
      <c r="W1290">
        <v>375</v>
      </c>
    </row>
    <row r="1291" spans="1:23" x14ac:dyDescent="0.2">
      <c r="A1291" t="s">
        <v>144</v>
      </c>
      <c r="B1291" t="s">
        <v>261</v>
      </c>
      <c r="C1291" t="s">
        <v>122</v>
      </c>
      <c r="D1291" t="s">
        <v>302</v>
      </c>
      <c r="E1291">
        <v>1</v>
      </c>
      <c r="F1291">
        <v>4.2</v>
      </c>
      <c r="G1291">
        <v>4.2</v>
      </c>
      <c r="T1291" t="s">
        <v>1013</v>
      </c>
      <c r="U1291" t="s">
        <v>1044</v>
      </c>
      <c r="V1291" t="s">
        <v>405</v>
      </c>
      <c r="W1291">
        <v>100</v>
      </c>
    </row>
    <row r="1292" spans="1:23" x14ac:dyDescent="0.2">
      <c r="A1292" t="s">
        <v>144</v>
      </c>
      <c r="B1292" t="s">
        <v>261</v>
      </c>
      <c r="C1292" t="s">
        <v>4</v>
      </c>
      <c r="D1292" t="s">
        <v>304</v>
      </c>
      <c r="E1292">
        <v>2.2000000000000002</v>
      </c>
      <c r="F1292">
        <v>10.1</v>
      </c>
      <c r="G1292">
        <v>22.22</v>
      </c>
      <c r="T1292" t="s">
        <v>1013</v>
      </c>
      <c r="U1292" t="s">
        <v>1045</v>
      </c>
      <c r="V1292" t="s">
        <v>402</v>
      </c>
      <c r="W1292">
        <v>60</v>
      </c>
    </row>
    <row r="1293" spans="1:23" x14ac:dyDescent="0.2">
      <c r="A1293" t="s">
        <v>144</v>
      </c>
      <c r="B1293" t="s">
        <v>261</v>
      </c>
      <c r="C1293" t="s">
        <v>5</v>
      </c>
      <c r="D1293" t="s">
        <v>305</v>
      </c>
      <c r="E1293">
        <v>2.6</v>
      </c>
      <c r="F1293">
        <v>11.5</v>
      </c>
      <c r="G1293">
        <v>29.9</v>
      </c>
      <c r="T1293" t="s">
        <v>1013</v>
      </c>
      <c r="U1293" t="s">
        <v>1046</v>
      </c>
      <c r="V1293" t="s">
        <v>1051</v>
      </c>
      <c r="W1293">
        <v>70</v>
      </c>
    </row>
    <row r="1294" spans="1:23" x14ac:dyDescent="0.2">
      <c r="A1294" t="s">
        <v>144</v>
      </c>
      <c r="B1294" t="s">
        <v>261</v>
      </c>
      <c r="C1294" t="s">
        <v>105</v>
      </c>
      <c r="D1294" t="s">
        <v>313</v>
      </c>
      <c r="E1294">
        <v>150</v>
      </c>
      <c r="F1294">
        <v>0.1</v>
      </c>
      <c r="G1294">
        <v>15</v>
      </c>
      <c r="T1294" t="s">
        <v>1013</v>
      </c>
      <c r="U1294" t="s">
        <v>1047</v>
      </c>
      <c r="V1294" t="s">
        <v>1052</v>
      </c>
      <c r="W1294">
        <v>70</v>
      </c>
    </row>
    <row r="1295" spans="1:23" x14ac:dyDescent="0.2">
      <c r="A1295" t="s">
        <v>144</v>
      </c>
      <c r="B1295" t="s">
        <v>261</v>
      </c>
      <c r="C1295" t="s">
        <v>107</v>
      </c>
      <c r="D1295" t="s">
        <v>316</v>
      </c>
      <c r="E1295">
        <v>20</v>
      </c>
      <c r="F1295">
        <v>0.1</v>
      </c>
      <c r="G1295">
        <v>2</v>
      </c>
      <c r="T1295" t="s">
        <v>1013</v>
      </c>
      <c r="U1295" t="s">
        <v>1048</v>
      </c>
      <c r="V1295" t="s">
        <v>1053</v>
      </c>
      <c r="W1295">
        <v>250</v>
      </c>
    </row>
    <row r="1296" spans="1:23" x14ac:dyDescent="0.2">
      <c r="A1296" t="s">
        <v>132</v>
      </c>
      <c r="B1296" t="s">
        <v>250</v>
      </c>
      <c r="C1296" t="s">
        <v>94</v>
      </c>
      <c r="D1296" t="s">
        <v>280</v>
      </c>
      <c r="E1296">
        <v>1</v>
      </c>
      <c r="F1296">
        <v>3.5</v>
      </c>
      <c r="G1296">
        <v>3.5</v>
      </c>
      <c r="T1296" t="s">
        <v>1013</v>
      </c>
      <c r="U1296" t="s">
        <v>1049</v>
      </c>
      <c r="V1296" t="s">
        <v>1054</v>
      </c>
      <c r="W1296">
        <v>750</v>
      </c>
    </row>
    <row r="1297" spans="1:23" x14ac:dyDescent="0.2">
      <c r="A1297" t="s">
        <v>132</v>
      </c>
      <c r="B1297" t="s">
        <v>250</v>
      </c>
      <c r="C1297" t="s">
        <v>95</v>
      </c>
      <c r="D1297" t="s">
        <v>281</v>
      </c>
      <c r="E1297">
        <v>1</v>
      </c>
      <c r="F1297">
        <v>2</v>
      </c>
      <c r="G1297">
        <v>2</v>
      </c>
      <c r="T1297" t="s">
        <v>1013</v>
      </c>
      <c r="U1297" t="s">
        <v>1050</v>
      </c>
      <c r="V1297" t="s">
        <v>1055</v>
      </c>
      <c r="W1297">
        <v>0</v>
      </c>
    </row>
    <row r="1298" spans="1:23" x14ac:dyDescent="0.2">
      <c r="A1298" t="s">
        <v>132</v>
      </c>
      <c r="B1298" t="s">
        <v>250</v>
      </c>
      <c r="C1298" t="s">
        <v>44</v>
      </c>
      <c r="D1298" t="s">
        <v>324</v>
      </c>
      <c r="E1298">
        <v>0.25</v>
      </c>
      <c r="F1298">
        <v>65</v>
      </c>
      <c r="G1298">
        <v>16.25</v>
      </c>
      <c r="T1298" t="s">
        <v>1014</v>
      </c>
      <c r="U1298" t="s">
        <v>1042</v>
      </c>
      <c r="V1298" t="s">
        <v>401</v>
      </c>
      <c r="W1298">
        <v>50</v>
      </c>
    </row>
    <row r="1299" spans="1:23" x14ac:dyDescent="0.2">
      <c r="A1299" t="s">
        <v>132</v>
      </c>
      <c r="B1299" t="s">
        <v>250</v>
      </c>
      <c r="C1299" t="s">
        <v>53</v>
      </c>
      <c r="D1299" t="s">
        <v>325</v>
      </c>
      <c r="E1299">
        <v>1.2</v>
      </c>
      <c r="F1299">
        <v>120</v>
      </c>
      <c r="G1299">
        <v>144</v>
      </c>
      <c r="T1299" t="s">
        <v>1014</v>
      </c>
      <c r="U1299" t="s">
        <v>1043</v>
      </c>
      <c r="V1299" t="s">
        <v>272</v>
      </c>
      <c r="W1299">
        <v>375</v>
      </c>
    </row>
    <row r="1300" spans="1:23" x14ac:dyDescent="0.2">
      <c r="A1300" t="s">
        <v>132</v>
      </c>
      <c r="B1300" t="s">
        <v>250</v>
      </c>
      <c r="C1300" t="s">
        <v>60</v>
      </c>
      <c r="D1300" t="s">
        <v>337</v>
      </c>
      <c r="E1300">
        <v>0.2</v>
      </c>
      <c r="F1300">
        <v>130</v>
      </c>
      <c r="G1300">
        <v>26</v>
      </c>
      <c r="T1300" t="s">
        <v>1014</v>
      </c>
      <c r="U1300" t="s">
        <v>1044</v>
      </c>
      <c r="V1300" t="s">
        <v>405</v>
      </c>
      <c r="W1300">
        <v>100</v>
      </c>
    </row>
    <row r="1301" spans="1:23" x14ac:dyDescent="0.2">
      <c r="A1301" t="s">
        <v>132</v>
      </c>
      <c r="B1301" t="s">
        <v>250</v>
      </c>
      <c r="C1301" t="s">
        <v>61</v>
      </c>
      <c r="D1301" t="s">
        <v>341</v>
      </c>
      <c r="E1301">
        <v>0.2</v>
      </c>
      <c r="F1301">
        <v>190</v>
      </c>
      <c r="G1301">
        <v>38</v>
      </c>
      <c r="T1301" t="s">
        <v>1014</v>
      </c>
      <c r="U1301" t="s">
        <v>1045</v>
      </c>
      <c r="V1301" t="s">
        <v>402</v>
      </c>
      <c r="W1301">
        <v>60</v>
      </c>
    </row>
    <row r="1302" spans="1:23" x14ac:dyDescent="0.2">
      <c r="A1302" t="s">
        <v>132</v>
      </c>
      <c r="B1302" t="s">
        <v>250</v>
      </c>
      <c r="C1302" t="s">
        <v>70</v>
      </c>
      <c r="D1302" t="s">
        <v>342</v>
      </c>
      <c r="E1302">
        <v>0.75</v>
      </c>
      <c r="F1302">
        <v>145</v>
      </c>
      <c r="G1302">
        <v>108.75</v>
      </c>
      <c r="T1302" t="s">
        <v>1014</v>
      </c>
      <c r="U1302" t="s">
        <v>1046</v>
      </c>
      <c r="V1302" t="s">
        <v>1051</v>
      </c>
      <c r="W1302">
        <v>70</v>
      </c>
    </row>
    <row r="1303" spans="1:23" x14ac:dyDescent="0.2">
      <c r="A1303" t="s">
        <v>132</v>
      </c>
      <c r="B1303" t="s">
        <v>250</v>
      </c>
      <c r="C1303" t="s">
        <v>93</v>
      </c>
      <c r="D1303" t="s">
        <v>327</v>
      </c>
      <c r="E1303">
        <v>0.15</v>
      </c>
      <c r="F1303">
        <v>70</v>
      </c>
      <c r="G1303">
        <v>10.5</v>
      </c>
      <c r="T1303" t="s">
        <v>1014</v>
      </c>
      <c r="U1303" t="s">
        <v>1047</v>
      </c>
      <c r="V1303" t="s">
        <v>1052</v>
      </c>
      <c r="W1303">
        <v>70</v>
      </c>
    </row>
    <row r="1304" spans="1:23" x14ac:dyDescent="0.2">
      <c r="A1304" t="s">
        <v>132</v>
      </c>
      <c r="B1304" t="s">
        <v>250</v>
      </c>
      <c r="C1304" t="s">
        <v>47</v>
      </c>
      <c r="D1304" t="s">
        <v>328</v>
      </c>
      <c r="E1304">
        <v>0.1</v>
      </c>
      <c r="F1304">
        <v>235</v>
      </c>
      <c r="G1304">
        <v>23.5</v>
      </c>
      <c r="T1304" t="s">
        <v>1014</v>
      </c>
      <c r="U1304" t="s">
        <v>1048</v>
      </c>
      <c r="V1304" t="s">
        <v>1053</v>
      </c>
      <c r="W1304">
        <v>250</v>
      </c>
    </row>
    <row r="1305" spans="1:23" x14ac:dyDescent="0.2">
      <c r="A1305" t="s">
        <v>132</v>
      </c>
      <c r="B1305" t="s">
        <v>250</v>
      </c>
      <c r="C1305" t="s">
        <v>49</v>
      </c>
      <c r="D1305" t="s">
        <v>290</v>
      </c>
      <c r="E1305">
        <v>7.4999999999999997E-2</v>
      </c>
      <c r="F1305">
        <v>248</v>
      </c>
      <c r="G1305">
        <v>18.600000000000001</v>
      </c>
      <c r="T1305" t="s">
        <v>1014</v>
      </c>
      <c r="U1305" t="s">
        <v>1049</v>
      </c>
      <c r="V1305" t="s">
        <v>1054</v>
      </c>
      <c r="W1305">
        <v>750</v>
      </c>
    </row>
    <row r="1306" spans="1:23" x14ac:dyDescent="0.2">
      <c r="A1306" t="s">
        <v>132</v>
      </c>
      <c r="B1306" t="s">
        <v>250</v>
      </c>
      <c r="C1306" t="s">
        <v>19</v>
      </c>
      <c r="D1306" t="s">
        <v>329</v>
      </c>
      <c r="E1306">
        <v>1</v>
      </c>
      <c r="F1306">
        <v>2.9</v>
      </c>
      <c r="G1306">
        <v>2.9</v>
      </c>
      <c r="T1306" t="s">
        <v>1014</v>
      </c>
      <c r="U1306" t="s">
        <v>1050</v>
      </c>
      <c r="V1306" t="s">
        <v>1055</v>
      </c>
      <c r="W1306">
        <v>0</v>
      </c>
    </row>
    <row r="1307" spans="1:23" x14ac:dyDescent="0.2">
      <c r="A1307" t="s">
        <v>132</v>
      </c>
      <c r="B1307" t="s">
        <v>250</v>
      </c>
      <c r="C1307" t="s">
        <v>20</v>
      </c>
      <c r="D1307" t="s">
        <v>330</v>
      </c>
      <c r="E1307">
        <v>1</v>
      </c>
      <c r="F1307">
        <v>2.9</v>
      </c>
      <c r="G1307">
        <v>2.9</v>
      </c>
      <c r="T1307" t="s">
        <v>1015</v>
      </c>
      <c r="U1307" t="s">
        <v>1042</v>
      </c>
      <c r="V1307" t="s">
        <v>401</v>
      </c>
      <c r="W1307">
        <v>50</v>
      </c>
    </row>
    <row r="1308" spans="1:23" x14ac:dyDescent="0.2">
      <c r="A1308" t="s">
        <v>132</v>
      </c>
      <c r="B1308" t="s">
        <v>250</v>
      </c>
      <c r="C1308" t="s">
        <v>22</v>
      </c>
      <c r="D1308" t="s">
        <v>331</v>
      </c>
      <c r="E1308">
        <v>2</v>
      </c>
      <c r="F1308">
        <v>2.5</v>
      </c>
      <c r="G1308">
        <v>5</v>
      </c>
      <c r="T1308" t="s">
        <v>1015</v>
      </c>
      <c r="U1308" t="s">
        <v>1043</v>
      </c>
      <c r="V1308" t="s">
        <v>272</v>
      </c>
      <c r="W1308">
        <v>375</v>
      </c>
    </row>
    <row r="1309" spans="1:23" x14ac:dyDescent="0.2">
      <c r="A1309" t="s">
        <v>132</v>
      </c>
      <c r="B1309" t="s">
        <v>250</v>
      </c>
      <c r="C1309" t="s">
        <v>29</v>
      </c>
      <c r="D1309" t="s">
        <v>292</v>
      </c>
      <c r="E1309">
        <v>0.8</v>
      </c>
      <c r="F1309">
        <v>27</v>
      </c>
      <c r="G1309">
        <v>21.6</v>
      </c>
      <c r="T1309" t="s">
        <v>1015</v>
      </c>
      <c r="U1309" t="s">
        <v>1044</v>
      </c>
      <c r="V1309" t="s">
        <v>405</v>
      </c>
      <c r="W1309">
        <v>100</v>
      </c>
    </row>
    <row r="1310" spans="1:23" x14ac:dyDescent="0.2">
      <c r="A1310" t="s">
        <v>132</v>
      </c>
      <c r="B1310" t="s">
        <v>250</v>
      </c>
      <c r="C1310" t="s">
        <v>30</v>
      </c>
      <c r="D1310" t="s">
        <v>332</v>
      </c>
      <c r="E1310">
        <v>2</v>
      </c>
      <c r="F1310">
        <v>6</v>
      </c>
      <c r="G1310">
        <v>12</v>
      </c>
      <c r="T1310" t="s">
        <v>1015</v>
      </c>
      <c r="U1310" t="s">
        <v>1045</v>
      </c>
      <c r="V1310" t="s">
        <v>402</v>
      </c>
      <c r="W1310">
        <v>60</v>
      </c>
    </row>
    <row r="1311" spans="1:23" x14ac:dyDescent="0.2">
      <c r="A1311" t="s">
        <v>132</v>
      </c>
      <c r="B1311" t="s">
        <v>250</v>
      </c>
      <c r="C1311" t="s">
        <v>41</v>
      </c>
      <c r="D1311" t="s">
        <v>344</v>
      </c>
      <c r="E1311">
        <v>1</v>
      </c>
      <c r="F1311">
        <v>1200</v>
      </c>
      <c r="G1311">
        <v>1200</v>
      </c>
      <c r="T1311" t="s">
        <v>1015</v>
      </c>
      <c r="U1311" t="s">
        <v>1046</v>
      </c>
      <c r="V1311" t="s">
        <v>1051</v>
      </c>
      <c r="W1311">
        <v>70</v>
      </c>
    </row>
    <row r="1312" spans="1:23" x14ac:dyDescent="0.2">
      <c r="A1312" t="s">
        <v>132</v>
      </c>
      <c r="B1312" t="s">
        <v>250</v>
      </c>
      <c r="C1312" t="s">
        <v>104</v>
      </c>
      <c r="D1312" t="s">
        <v>343</v>
      </c>
      <c r="E1312">
        <v>1.4999999999999999E-2</v>
      </c>
      <c r="F1312">
        <v>890</v>
      </c>
      <c r="G1312">
        <v>13.35</v>
      </c>
      <c r="T1312" t="s">
        <v>1015</v>
      </c>
      <c r="U1312" t="s">
        <v>1047</v>
      </c>
      <c r="V1312" t="s">
        <v>1052</v>
      </c>
      <c r="W1312">
        <v>70</v>
      </c>
    </row>
    <row r="1313" spans="1:23" x14ac:dyDescent="0.2">
      <c r="A1313" t="s">
        <v>132</v>
      </c>
      <c r="B1313" t="s">
        <v>250</v>
      </c>
      <c r="C1313" t="s">
        <v>121</v>
      </c>
      <c r="D1313" t="s">
        <v>301</v>
      </c>
      <c r="E1313">
        <v>1</v>
      </c>
      <c r="F1313">
        <v>0.95</v>
      </c>
      <c r="G1313">
        <v>0.95</v>
      </c>
      <c r="T1313" t="s">
        <v>1015</v>
      </c>
      <c r="U1313" t="s">
        <v>1048</v>
      </c>
      <c r="V1313" t="s">
        <v>1053</v>
      </c>
      <c r="W1313">
        <v>250</v>
      </c>
    </row>
    <row r="1314" spans="1:23" x14ac:dyDescent="0.2">
      <c r="A1314" t="s">
        <v>132</v>
      </c>
      <c r="B1314" t="s">
        <v>250</v>
      </c>
      <c r="C1314" t="s">
        <v>122</v>
      </c>
      <c r="D1314" t="s">
        <v>302</v>
      </c>
      <c r="E1314">
        <v>1</v>
      </c>
      <c r="F1314">
        <v>4.2</v>
      </c>
      <c r="G1314">
        <v>4.2</v>
      </c>
      <c r="T1314" t="s">
        <v>1015</v>
      </c>
      <c r="U1314" t="s">
        <v>1049</v>
      </c>
      <c r="V1314" t="s">
        <v>1054</v>
      </c>
      <c r="W1314">
        <v>750</v>
      </c>
    </row>
    <row r="1315" spans="1:23" x14ac:dyDescent="0.2">
      <c r="A1315" t="s">
        <v>132</v>
      </c>
      <c r="B1315" t="s">
        <v>250</v>
      </c>
      <c r="C1315" t="s">
        <v>4</v>
      </c>
      <c r="D1315" t="s">
        <v>304</v>
      </c>
      <c r="E1315">
        <v>2.2000000000000002</v>
      </c>
      <c r="F1315">
        <v>10.1</v>
      </c>
      <c r="G1315">
        <v>22.22</v>
      </c>
      <c r="T1315" t="s">
        <v>1015</v>
      </c>
      <c r="U1315" t="s">
        <v>1050</v>
      </c>
      <c r="V1315" t="s">
        <v>1055</v>
      </c>
      <c r="W1315">
        <v>0</v>
      </c>
    </row>
    <row r="1316" spans="1:23" x14ac:dyDescent="0.2">
      <c r="A1316" t="s">
        <v>132</v>
      </c>
      <c r="B1316" t="s">
        <v>250</v>
      </c>
      <c r="C1316" t="s">
        <v>5</v>
      </c>
      <c r="D1316" t="s">
        <v>305</v>
      </c>
      <c r="E1316">
        <v>2.6</v>
      </c>
      <c r="F1316">
        <v>11.5</v>
      </c>
      <c r="G1316">
        <v>29.9</v>
      </c>
      <c r="T1316" t="s">
        <v>1016</v>
      </c>
      <c r="U1316" t="s">
        <v>1042</v>
      </c>
      <c r="V1316" t="s">
        <v>401</v>
      </c>
      <c r="W1316">
        <v>50</v>
      </c>
    </row>
    <row r="1317" spans="1:23" x14ac:dyDescent="0.2">
      <c r="A1317" t="s">
        <v>132</v>
      </c>
      <c r="B1317" t="s">
        <v>250</v>
      </c>
      <c r="C1317" t="s">
        <v>105</v>
      </c>
      <c r="D1317" t="s">
        <v>313</v>
      </c>
      <c r="E1317">
        <v>150</v>
      </c>
      <c r="F1317">
        <v>0.1</v>
      </c>
      <c r="G1317">
        <v>15</v>
      </c>
      <c r="T1317" t="s">
        <v>1016</v>
      </c>
      <c r="U1317" t="s">
        <v>1043</v>
      </c>
      <c r="V1317" t="s">
        <v>272</v>
      </c>
      <c r="W1317">
        <v>375</v>
      </c>
    </row>
    <row r="1318" spans="1:23" x14ac:dyDescent="0.2">
      <c r="A1318" t="s">
        <v>132</v>
      </c>
      <c r="B1318" t="s">
        <v>250</v>
      </c>
      <c r="C1318" t="s">
        <v>107</v>
      </c>
      <c r="D1318" t="s">
        <v>316</v>
      </c>
      <c r="E1318">
        <v>20</v>
      </c>
      <c r="F1318">
        <v>0.1</v>
      </c>
      <c r="G1318">
        <v>2</v>
      </c>
      <c r="T1318" t="s">
        <v>1016</v>
      </c>
      <c r="U1318" t="s">
        <v>1044</v>
      </c>
      <c r="V1318" t="s">
        <v>405</v>
      </c>
      <c r="W1318">
        <v>100</v>
      </c>
    </row>
    <row r="1319" spans="1:23" x14ac:dyDescent="0.2">
      <c r="A1319" t="s">
        <v>149</v>
      </c>
      <c r="B1319" t="s">
        <v>1031</v>
      </c>
      <c r="C1319" t="s">
        <v>94</v>
      </c>
      <c r="D1319" t="s">
        <v>280</v>
      </c>
      <c r="E1319">
        <v>1</v>
      </c>
      <c r="F1319">
        <v>3.5</v>
      </c>
      <c r="G1319">
        <v>3.5</v>
      </c>
      <c r="T1319" t="s">
        <v>1016</v>
      </c>
      <c r="U1319" t="s">
        <v>1045</v>
      </c>
      <c r="V1319" t="s">
        <v>402</v>
      </c>
      <c r="W1319">
        <v>60</v>
      </c>
    </row>
    <row r="1320" spans="1:23" x14ac:dyDescent="0.2">
      <c r="A1320" t="s">
        <v>149</v>
      </c>
      <c r="B1320" t="s">
        <v>1031</v>
      </c>
      <c r="C1320" t="s">
        <v>95</v>
      </c>
      <c r="D1320" t="s">
        <v>281</v>
      </c>
      <c r="E1320">
        <v>1</v>
      </c>
      <c r="F1320">
        <v>2</v>
      </c>
      <c r="G1320">
        <v>2</v>
      </c>
      <c r="T1320" t="s">
        <v>1016</v>
      </c>
      <c r="U1320" t="s">
        <v>1046</v>
      </c>
      <c r="V1320" t="s">
        <v>1051</v>
      </c>
      <c r="W1320">
        <v>70</v>
      </c>
    </row>
    <row r="1321" spans="1:23" x14ac:dyDescent="0.2">
      <c r="A1321" t="s">
        <v>149</v>
      </c>
      <c r="B1321" t="s">
        <v>1031</v>
      </c>
      <c r="C1321" t="s">
        <v>44</v>
      </c>
      <c r="D1321" t="s">
        <v>324</v>
      </c>
      <c r="E1321">
        <v>0.25</v>
      </c>
      <c r="F1321">
        <v>65</v>
      </c>
      <c r="G1321">
        <v>16.25</v>
      </c>
      <c r="T1321" t="s">
        <v>1016</v>
      </c>
      <c r="U1321" t="s">
        <v>1047</v>
      </c>
      <c r="V1321" t="s">
        <v>1052</v>
      </c>
      <c r="W1321">
        <v>70</v>
      </c>
    </row>
    <row r="1322" spans="1:23" x14ac:dyDescent="0.2">
      <c r="A1322" t="s">
        <v>149</v>
      </c>
      <c r="B1322" t="s">
        <v>1031</v>
      </c>
      <c r="C1322" t="s">
        <v>53</v>
      </c>
      <c r="D1322" t="s">
        <v>325</v>
      </c>
      <c r="E1322">
        <v>1.2</v>
      </c>
      <c r="F1322">
        <v>120</v>
      </c>
      <c r="G1322">
        <v>144</v>
      </c>
      <c r="T1322" t="s">
        <v>1016</v>
      </c>
      <c r="U1322" t="s">
        <v>1048</v>
      </c>
      <c r="V1322" t="s">
        <v>1053</v>
      </c>
      <c r="W1322">
        <v>250</v>
      </c>
    </row>
    <row r="1323" spans="1:23" x14ac:dyDescent="0.2">
      <c r="A1323" t="s">
        <v>149</v>
      </c>
      <c r="B1323" t="s">
        <v>1031</v>
      </c>
      <c r="C1323" t="s">
        <v>60</v>
      </c>
      <c r="D1323" t="s">
        <v>337</v>
      </c>
      <c r="E1323">
        <v>0.2</v>
      </c>
      <c r="F1323">
        <v>130</v>
      </c>
      <c r="G1323">
        <v>26</v>
      </c>
      <c r="T1323" t="s">
        <v>1016</v>
      </c>
      <c r="U1323" t="s">
        <v>1049</v>
      </c>
      <c r="V1323" t="s">
        <v>1054</v>
      </c>
      <c r="W1323">
        <v>750</v>
      </c>
    </row>
    <row r="1324" spans="1:23" x14ac:dyDescent="0.2">
      <c r="A1324" t="s">
        <v>149</v>
      </c>
      <c r="B1324" t="s">
        <v>1031</v>
      </c>
      <c r="C1324" t="s">
        <v>61</v>
      </c>
      <c r="D1324" t="s">
        <v>341</v>
      </c>
      <c r="E1324">
        <v>0.85</v>
      </c>
      <c r="F1324">
        <v>190</v>
      </c>
      <c r="G1324">
        <v>161.5</v>
      </c>
      <c r="T1324" t="s">
        <v>1016</v>
      </c>
      <c r="U1324" t="s">
        <v>1050</v>
      </c>
      <c r="V1324" t="s">
        <v>1055</v>
      </c>
      <c r="W1324">
        <v>0</v>
      </c>
    </row>
    <row r="1325" spans="1:23" x14ac:dyDescent="0.2">
      <c r="A1325" t="s">
        <v>149</v>
      </c>
      <c r="B1325" t="s">
        <v>1031</v>
      </c>
      <c r="C1325" t="s">
        <v>69</v>
      </c>
      <c r="D1325" t="s">
        <v>288</v>
      </c>
      <c r="E1325">
        <v>0.1</v>
      </c>
      <c r="F1325">
        <v>190</v>
      </c>
      <c r="G1325">
        <v>19</v>
      </c>
      <c r="T1325" t="s">
        <v>1017</v>
      </c>
      <c r="U1325" t="s">
        <v>1042</v>
      </c>
      <c r="V1325" t="s">
        <v>401</v>
      </c>
      <c r="W1325">
        <v>50</v>
      </c>
    </row>
    <row r="1326" spans="1:23" x14ac:dyDescent="0.2">
      <c r="A1326" t="s">
        <v>149</v>
      </c>
      <c r="B1326" t="s">
        <v>1031</v>
      </c>
      <c r="C1326" t="s">
        <v>93</v>
      </c>
      <c r="D1326" t="s">
        <v>327</v>
      </c>
      <c r="E1326">
        <v>0.15</v>
      </c>
      <c r="F1326">
        <v>70</v>
      </c>
      <c r="G1326">
        <v>10.5</v>
      </c>
      <c r="T1326" t="s">
        <v>1017</v>
      </c>
      <c r="U1326" t="s">
        <v>1043</v>
      </c>
      <c r="V1326" t="s">
        <v>272</v>
      </c>
      <c r="W1326">
        <v>375</v>
      </c>
    </row>
    <row r="1327" spans="1:23" x14ac:dyDescent="0.2">
      <c r="A1327" t="s">
        <v>149</v>
      </c>
      <c r="B1327" t="s">
        <v>1031</v>
      </c>
      <c r="C1327" t="s">
        <v>47</v>
      </c>
      <c r="D1327" t="s">
        <v>328</v>
      </c>
      <c r="E1327">
        <v>0.1</v>
      </c>
      <c r="F1327">
        <v>235</v>
      </c>
      <c r="G1327">
        <v>23.5</v>
      </c>
      <c r="T1327" t="s">
        <v>1017</v>
      </c>
      <c r="U1327" t="s">
        <v>1044</v>
      </c>
      <c r="V1327" t="s">
        <v>405</v>
      </c>
      <c r="W1327">
        <v>100</v>
      </c>
    </row>
    <row r="1328" spans="1:23" x14ac:dyDescent="0.2">
      <c r="A1328" t="s">
        <v>149</v>
      </c>
      <c r="B1328" t="s">
        <v>1031</v>
      </c>
      <c r="C1328" t="s">
        <v>49</v>
      </c>
      <c r="D1328" t="s">
        <v>290</v>
      </c>
      <c r="E1328">
        <v>7.4999999999999997E-2</v>
      </c>
      <c r="F1328">
        <v>248</v>
      </c>
      <c r="G1328">
        <v>18.600000000000001</v>
      </c>
      <c r="T1328" t="s">
        <v>1017</v>
      </c>
      <c r="U1328" t="s">
        <v>1045</v>
      </c>
      <c r="V1328" t="s">
        <v>402</v>
      </c>
      <c r="W1328">
        <v>60</v>
      </c>
    </row>
    <row r="1329" spans="1:23" x14ac:dyDescent="0.2">
      <c r="A1329" t="s">
        <v>149</v>
      </c>
      <c r="B1329" t="s">
        <v>1031</v>
      </c>
      <c r="C1329" t="s">
        <v>22</v>
      </c>
      <c r="D1329" t="s">
        <v>331</v>
      </c>
      <c r="E1329">
        <v>2</v>
      </c>
      <c r="F1329">
        <v>2.5</v>
      </c>
      <c r="G1329">
        <v>5</v>
      </c>
      <c r="T1329" t="s">
        <v>1017</v>
      </c>
      <c r="U1329" t="s">
        <v>1046</v>
      </c>
      <c r="V1329" t="s">
        <v>1051</v>
      </c>
      <c r="W1329">
        <v>70</v>
      </c>
    </row>
    <row r="1330" spans="1:23" x14ac:dyDescent="0.2">
      <c r="A1330" t="s">
        <v>149</v>
      </c>
      <c r="B1330" t="s">
        <v>1031</v>
      </c>
      <c r="C1330" t="s">
        <v>29</v>
      </c>
      <c r="D1330" t="s">
        <v>292</v>
      </c>
      <c r="E1330">
        <v>0.8</v>
      </c>
      <c r="F1330">
        <v>27</v>
      </c>
      <c r="G1330">
        <v>21.6</v>
      </c>
      <c r="T1330" t="s">
        <v>1017</v>
      </c>
      <c r="U1330" t="s">
        <v>1047</v>
      </c>
      <c r="V1330" t="s">
        <v>1052</v>
      </c>
      <c r="W1330">
        <v>70</v>
      </c>
    </row>
    <row r="1331" spans="1:23" x14ac:dyDescent="0.2">
      <c r="A1331" t="s">
        <v>149</v>
      </c>
      <c r="B1331" t="s">
        <v>1031</v>
      </c>
      <c r="C1331" t="s">
        <v>30</v>
      </c>
      <c r="D1331" t="s">
        <v>332</v>
      </c>
      <c r="E1331">
        <v>2</v>
      </c>
      <c r="F1331">
        <v>6</v>
      </c>
      <c r="G1331">
        <v>12</v>
      </c>
      <c r="T1331" t="s">
        <v>1017</v>
      </c>
      <c r="U1331" t="s">
        <v>1048</v>
      </c>
      <c r="V1331" t="s">
        <v>1053</v>
      </c>
      <c r="W1331">
        <v>250</v>
      </c>
    </row>
    <row r="1332" spans="1:23" x14ac:dyDescent="0.2">
      <c r="A1332" t="s">
        <v>149</v>
      </c>
      <c r="B1332" t="s">
        <v>1031</v>
      </c>
      <c r="C1332" t="s">
        <v>32</v>
      </c>
      <c r="D1332" t="s">
        <v>345</v>
      </c>
      <c r="E1332">
        <v>1</v>
      </c>
      <c r="F1332">
        <v>100</v>
      </c>
      <c r="G1332">
        <v>100</v>
      </c>
      <c r="T1332" t="s">
        <v>1017</v>
      </c>
      <c r="U1332" t="s">
        <v>1049</v>
      </c>
      <c r="V1332" t="s">
        <v>1054</v>
      </c>
      <c r="W1332">
        <v>750</v>
      </c>
    </row>
    <row r="1333" spans="1:23" x14ac:dyDescent="0.2">
      <c r="A1333" t="s">
        <v>149</v>
      </c>
      <c r="B1333" t="s">
        <v>1031</v>
      </c>
      <c r="C1333" t="s">
        <v>104</v>
      </c>
      <c r="D1333" t="s">
        <v>343</v>
      </c>
      <c r="E1333">
        <v>1.4999999999999999E-2</v>
      </c>
      <c r="F1333">
        <v>890</v>
      </c>
      <c r="G1333">
        <v>13.35</v>
      </c>
      <c r="T1333" t="s">
        <v>1017</v>
      </c>
      <c r="U1333" t="s">
        <v>1050</v>
      </c>
      <c r="V1333" t="s">
        <v>1055</v>
      </c>
      <c r="W1333">
        <v>0</v>
      </c>
    </row>
    <row r="1334" spans="1:23" x14ac:dyDescent="0.2">
      <c r="A1334" t="s">
        <v>149</v>
      </c>
      <c r="B1334" t="s">
        <v>1031</v>
      </c>
      <c r="C1334" t="s">
        <v>121</v>
      </c>
      <c r="D1334" t="s">
        <v>301</v>
      </c>
      <c r="E1334">
        <v>1</v>
      </c>
      <c r="F1334">
        <v>0.95</v>
      </c>
      <c r="G1334">
        <v>0.95</v>
      </c>
      <c r="T1334" t="s">
        <v>1018</v>
      </c>
      <c r="U1334" t="s">
        <v>1042</v>
      </c>
      <c r="V1334" t="s">
        <v>401</v>
      </c>
      <c r="W1334">
        <v>50</v>
      </c>
    </row>
    <row r="1335" spans="1:23" x14ac:dyDescent="0.2">
      <c r="A1335" t="s">
        <v>149</v>
      </c>
      <c r="B1335" t="s">
        <v>1031</v>
      </c>
      <c r="C1335" t="s">
        <v>122</v>
      </c>
      <c r="D1335" t="s">
        <v>302</v>
      </c>
      <c r="E1335">
        <v>1</v>
      </c>
      <c r="F1335">
        <v>4.2</v>
      </c>
      <c r="G1335">
        <v>4.2</v>
      </c>
      <c r="T1335" t="s">
        <v>1018</v>
      </c>
      <c r="U1335" t="s">
        <v>1043</v>
      </c>
      <c r="V1335" t="s">
        <v>272</v>
      </c>
      <c r="W1335">
        <v>375</v>
      </c>
    </row>
    <row r="1336" spans="1:23" x14ac:dyDescent="0.2">
      <c r="A1336" t="s">
        <v>149</v>
      </c>
      <c r="B1336" t="s">
        <v>1031</v>
      </c>
      <c r="C1336" t="s">
        <v>4</v>
      </c>
      <c r="D1336" t="s">
        <v>304</v>
      </c>
      <c r="E1336">
        <v>2.8</v>
      </c>
      <c r="F1336">
        <v>10.1</v>
      </c>
      <c r="G1336">
        <v>28.28</v>
      </c>
      <c r="T1336" t="s">
        <v>1018</v>
      </c>
      <c r="U1336" t="s">
        <v>1044</v>
      </c>
      <c r="V1336" t="s">
        <v>405</v>
      </c>
      <c r="W1336">
        <v>100</v>
      </c>
    </row>
    <row r="1337" spans="1:23" x14ac:dyDescent="0.2">
      <c r="A1337" t="s">
        <v>149</v>
      </c>
      <c r="B1337" t="s">
        <v>1031</v>
      </c>
      <c r="C1337" t="s">
        <v>5</v>
      </c>
      <c r="D1337" t="s">
        <v>305</v>
      </c>
      <c r="E1337">
        <v>2.7</v>
      </c>
      <c r="F1337">
        <v>11.5</v>
      </c>
      <c r="G1337">
        <v>31.05</v>
      </c>
      <c r="T1337" t="s">
        <v>1018</v>
      </c>
      <c r="U1337" t="s">
        <v>1045</v>
      </c>
      <c r="V1337" t="s">
        <v>402</v>
      </c>
      <c r="W1337">
        <v>60</v>
      </c>
    </row>
    <row r="1338" spans="1:23" x14ac:dyDescent="0.2">
      <c r="A1338" t="s">
        <v>149</v>
      </c>
      <c r="B1338" t="s">
        <v>1031</v>
      </c>
      <c r="C1338" t="s">
        <v>6</v>
      </c>
      <c r="D1338" t="s">
        <v>306</v>
      </c>
      <c r="E1338">
        <v>0.5</v>
      </c>
      <c r="F1338">
        <v>16.8</v>
      </c>
      <c r="G1338">
        <v>8.4</v>
      </c>
      <c r="T1338" t="s">
        <v>1018</v>
      </c>
      <c r="U1338" t="s">
        <v>1046</v>
      </c>
      <c r="V1338" t="s">
        <v>1051</v>
      </c>
      <c r="W1338">
        <v>70</v>
      </c>
    </row>
    <row r="1339" spans="1:23" x14ac:dyDescent="0.2">
      <c r="A1339" t="s">
        <v>149</v>
      </c>
      <c r="B1339" t="s">
        <v>1031</v>
      </c>
      <c r="C1339" t="s">
        <v>14</v>
      </c>
      <c r="D1339" t="s">
        <v>310</v>
      </c>
      <c r="E1339">
        <v>0.05</v>
      </c>
      <c r="F1339">
        <v>18</v>
      </c>
      <c r="G1339">
        <v>0.9</v>
      </c>
      <c r="T1339" t="s">
        <v>1018</v>
      </c>
      <c r="U1339" t="s">
        <v>1047</v>
      </c>
      <c r="V1339" t="s">
        <v>1052</v>
      </c>
      <c r="W1339">
        <v>70</v>
      </c>
    </row>
    <row r="1340" spans="1:23" x14ac:dyDescent="0.2">
      <c r="A1340" t="s">
        <v>149</v>
      </c>
      <c r="B1340" t="s">
        <v>1031</v>
      </c>
      <c r="C1340" t="s">
        <v>15</v>
      </c>
      <c r="D1340" t="s">
        <v>311</v>
      </c>
      <c r="E1340">
        <v>0.05</v>
      </c>
      <c r="F1340">
        <v>18</v>
      </c>
      <c r="G1340">
        <v>0.9</v>
      </c>
      <c r="T1340" t="s">
        <v>1018</v>
      </c>
      <c r="U1340" t="s">
        <v>1048</v>
      </c>
      <c r="V1340" t="s">
        <v>1053</v>
      </c>
      <c r="W1340">
        <v>250</v>
      </c>
    </row>
    <row r="1341" spans="1:23" x14ac:dyDescent="0.2">
      <c r="A1341" t="s">
        <v>149</v>
      </c>
      <c r="B1341" t="s">
        <v>1031</v>
      </c>
      <c r="C1341" t="s">
        <v>105</v>
      </c>
      <c r="D1341" t="s">
        <v>313</v>
      </c>
      <c r="E1341">
        <v>150</v>
      </c>
      <c r="F1341">
        <v>0.1</v>
      </c>
      <c r="G1341">
        <v>15</v>
      </c>
      <c r="T1341" t="s">
        <v>1018</v>
      </c>
      <c r="U1341" t="s">
        <v>1049</v>
      </c>
      <c r="V1341" t="s">
        <v>1054</v>
      </c>
      <c r="W1341">
        <v>750</v>
      </c>
    </row>
    <row r="1342" spans="1:23" x14ac:dyDescent="0.2">
      <c r="A1342" t="s">
        <v>149</v>
      </c>
      <c r="B1342" t="s">
        <v>1031</v>
      </c>
      <c r="C1342" t="s">
        <v>107</v>
      </c>
      <c r="D1342" t="s">
        <v>316</v>
      </c>
      <c r="E1342">
        <v>20</v>
      </c>
      <c r="F1342">
        <v>0.1</v>
      </c>
      <c r="G1342">
        <v>2</v>
      </c>
      <c r="T1342" t="s">
        <v>1018</v>
      </c>
      <c r="U1342" t="s">
        <v>1050</v>
      </c>
      <c r="V1342" t="s">
        <v>1055</v>
      </c>
      <c r="W1342">
        <v>0</v>
      </c>
    </row>
    <row r="1343" spans="1:23" x14ac:dyDescent="0.2">
      <c r="A1343" t="s">
        <v>188</v>
      </c>
      <c r="B1343" t="s">
        <v>249</v>
      </c>
      <c r="C1343" t="s">
        <v>94</v>
      </c>
      <c r="D1343" t="s">
        <v>280</v>
      </c>
      <c r="E1343">
        <v>1</v>
      </c>
      <c r="F1343">
        <v>3.5</v>
      </c>
      <c r="G1343">
        <v>3.5</v>
      </c>
      <c r="T1343" t="s">
        <v>1019</v>
      </c>
      <c r="U1343" t="s">
        <v>1042</v>
      </c>
      <c r="V1343" t="s">
        <v>401</v>
      </c>
      <c r="W1343">
        <v>50</v>
      </c>
    </row>
    <row r="1344" spans="1:23" x14ac:dyDescent="0.2">
      <c r="A1344" t="s">
        <v>188</v>
      </c>
      <c r="B1344" t="s">
        <v>249</v>
      </c>
      <c r="C1344" t="s">
        <v>95</v>
      </c>
      <c r="D1344" t="s">
        <v>281</v>
      </c>
      <c r="E1344">
        <v>1</v>
      </c>
      <c r="F1344">
        <v>2</v>
      </c>
      <c r="G1344">
        <v>2</v>
      </c>
      <c r="T1344" t="s">
        <v>1019</v>
      </c>
      <c r="U1344" t="s">
        <v>1043</v>
      </c>
      <c r="V1344" t="s">
        <v>272</v>
      </c>
      <c r="W1344">
        <v>375</v>
      </c>
    </row>
    <row r="1345" spans="1:23" x14ac:dyDescent="0.2">
      <c r="A1345" t="s">
        <v>188</v>
      </c>
      <c r="B1345" t="s">
        <v>249</v>
      </c>
      <c r="C1345" t="s">
        <v>44</v>
      </c>
      <c r="D1345" t="s">
        <v>324</v>
      </c>
      <c r="E1345">
        <v>0.3</v>
      </c>
      <c r="F1345">
        <v>65</v>
      </c>
      <c r="G1345">
        <v>19.5</v>
      </c>
      <c r="T1345" t="s">
        <v>1019</v>
      </c>
      <c r="U1345" t="s">
        <v>1044</v>
      </c>
      <c r="V1345" t="s">
        <v>405</v>
      </c>
      <c r="W1345">
        <v>100</v>
      </c>
    </row>
    <row r="1346" spans="1:23" x14ac:dyDescent="0.2">
      <c r="A1346" t="s">
        <v>188</v>
      </c>
      <c r="B1346" t="s">
        <v>249</v>
      </c>
      <c r="C1346" t="s">
        <v>55</v>
      </c>
      <c r="D1346" t="s">
        <v>371</v>
      </c>
      <c r="E1346">
        <v>1.2</v>
      </c>
      <c r="F1346">
        <v>120</v>
      </c>
      <c r="G1346">
        <v>144</v>
      </c>
      <c r="T1346" t="s">
        <v>1019</v>
      </c>
      <c r="U1346" t="s">
        <v>1045</v>
      </c>
      <c r="V1346" t="s">
        <v>402</v>
      </c>
      <c r="W1346">
        <v>60</v>
      </c>
    </row>
    <row r="1347" spans="1:23" x14ac:dyDescent="0.2">
      <c r="A1347" t="s">
        <v>188</v>
      </c>
      <c r="B1347" t="s">
        <v>249</v>
      </c>
      <c r="C1347" t="s">
        <v>60</v>
      </c>
      <c r="D1347" t="s">
        <v>337</v>
      </c>
      <c r="E1347">
        <v>0.2</v>
      </c>
      <c r="F1347">
        <v>130</v>
      </c>
      <c r="G1347">
        <v>26</v>
      </c>
      <c r="T1347" t="s">
        <v>1019</v>
      </c>
      <c r="U1347" t="s">
        <v>1046</v>
      </c>
      <c r="V1347" t="s">
        <v>1051</v>
      </c>
      <c r="W1347">
        <v>70</v>
      </c>
    </row>
    <row r="1348" spans="1:23" x14ac:dyDescent="0.2">
      <c r="A1348" t="s">
        <v>188</v>
      </c>
      <c r="B1348" t="s">
        <v>249</v>
      </c>
      <c r="C1348" t="s">
        <v>69</v>
      </c>
      <c r="D1348" t="s">
        <v>288</v>
      </c>
      <c r="E1348">
        <v>0.19</v>
      </c>
      <c r="F1348">
        <v>190</v>
      </c>
      <c r="G1348">
        <v>36.1</v>
      </c>
      <c r="T1348" t="s">
        <v>1019</v>
      </c>
      <c r="U1348" t="s">
        <v>1047</v>
      </c>
      <c r="V1348" t="s">
        <v>1052</v>
      </c>
      <c r="W1348">
        <v>70</v>
      </c>
    </row>
    <row r="1349" spans="1:23" x14ac:dyDescent="0.2">
      <c r="A1349" t="s">
        <v>188</v>
      </c>
      <c r="B1349" t="s">
        <v>249</v>
      </c>
      <c r="C1349" t="s">
        <v>84</v>
      </c>
      <c r="D1349" t="s">
        <v>346</v>
      </c>
      <c r="E1349">
        <v>0.75</v>
      </c>
      <c r="F1349">
        <v>190</v>
      </c>
      <c r="G1349">
        <v>142.5</v>
      </c>
      <c r="T1349" t="s">
        <v>1019</v>
      </c>
      <c r="U1349" t="s">
        <v>1048</v>
      </c>
      <c r="V1349" t="s">
        <v>1053</v>
      </c>
      <c r="W1349">
        <v>250</v>
      </c>
    </row>
    <row r="1350" spans="1:23" x14ac:dyDescent="0.2">
      <c r="A1350" t="s">
        <v>188</v>
      </c>
      <c r="B1350" t="s">
        <v>249</v>
      </c>
      <c r="C1350" t="s">
        <v>93</v>
      </c>
      <c r="D1350" t="s">
        <v>327</v>
      </c>
      <c r="E1350">
        <v>0.125</v>
      </c>
      <c r="F1350">
        <v>70</v>
      </c>
      <c r="G1350">
        <v>8.75</v>
      </c>
      <c r="T1350" t="s">
        <v>1019</v>
      </c>
      <c r="U1350" t="s">
        <v>1049</v>
      </c>
      <c r="V1350" t="s">
        <v>1054</v>
      </c>
      <c r="W1350">
        <v>750</v>
      </c>
    </row>
    <row r="1351" spans="1:23" x14ac:dyDescent="0.2">
      <c r="A1351" t="s">
        <v>188</v>
      </c>
      <c r="B1351" t="s">
        <v>249</v>
      </c>
      <c r="C1351" t="s">
        <v>47</v>
      </c>
      <c r="D1351" t="s">
        <v>328</v>
      </c>
      <c r="E1351">
        <v>0.08</v>
      </c>
      <c r="F1351">
        <v>235</v>
      </c>
      <c r="G1351">
        <v>18.8</v>
      </c>
      <c r="T1351" t="s">
        <v>1019</v>
      </c>
      <c r="U1351" t="s">
        <v>1050</v>
      </c>
      <c r="V1351" t="s">
        <v>1055</v>
      </c>
      <c r="W1351">
        <v>0</v>
      </c>
    </row>
    <row r="1352" spans="1:23" x14ac:dyDescent="0.2">
      <c r="A1352" t="s">
        <v>188</v>
      </c>
      <c r="B1352" t="s">
        <v>249</v>
      </c>
      <c r="C1352" t="s">
        <v>49</v>
      </c>
      <c r="D1352" t="s">
        <v>290</v>
      </c>
      <c r="E1352">
        <v>7.4999999999999997E-2</v>
      </c>
      <c r="F1352">
        <v>248</v>
      </c>
      <c r="G1352">
        <v>18.600000000000001</v>
      </c>
      <c r="T1352" t="s">
        <v>1020</v>
      </c>
      <c r="U1352" t="s">
        <v>1042</v>
      </c>
      <c r="V1352" t="s">
        <v>401</v>
      </c>
      <c r="W1352">
        <v>50</v>
      </c>
    </row>
    <row r="1353" spans="1:23" x14ac:dyDescent="0.2">
      <c r="A1353" t="s">
        <v>188</v>
      </c>
      <c r="B1353" t="s">
        <v>249</v>
      </c>
      <c r="C1353" t="s">
        <v>22</v>
      </c>
      <c r="D1353" t="s">
        <v>331</v>
      </c>
      <c r="E1353">
        <v>2</v>
      </c>
      <c r="F1353">
        <v>2.5</v>
      </c>
      <c r="G1353">
        <v>5</v>
      </c>
      <c r="T1353" t="s">
        <v>1020</v>
      </c>
      <c r="U1353" t="s">
        <v>1043</v>
      </c>
      <c r="V1353" t="s">
        <v>272</v>
      </c>
      <c r="W1353">
        <v>375</v>
      </c>
    </row>
    <row r="1354" spans="1:23" x14ac:dyDescent="0.2">
      <c r="A1354" t="s">
        <v>188</v>
      </c>
      <c r="B1354" t="s">
        <v>249</v>
      </c>
      <c r="C1354" t="s">
        <v>29</v>
      </c>
      <c r="D1354" t="s">
        <v>292</v>
      </c>
      <c r="E1354">
        <v>0.8</v>
      </c>
      <c r="F1354">
        <v>27</v>
      </c>
      <c r="G1354">
        <v>21.6</v>
      </c>
      <c r="T1354" t="s">
        <v>1020</v>
      </c>
      <c r="U1354" t="s">
        <v>1044</v>
      </c>
      <c r="V1354" t="s">
        <v>405</v>
      </c>
      <c r="W1354">
        <v>100</v>
      </c>
    </row>
    <row r="1355" spans="1:23" x14ac:dyDescent="0.2">
      <c r="A1355" t="s">
        <v>188</v>
      </c>
      <c r="B1355" t="s">
        <v>249</v>
      </c>
      <c r="C1355" t="s">
        <v>30</v>
      </c>
      <c r="D1355" t="s">
        <v>332</v>
      </c>
      <c r="E1355">
        <v>2</v>
      </c>
      <c r="F1355">
        <v>6</v>
      </c>
      <c r="G1355">
        <v>12</v>
      </c>
      <c r="T1355" t="s">
        <v>1020</v>
      </c>
      <c r="U1355" t="s">
        <v>1045</v>
      </c>
      <c r="V1355" t="s">
        <v>402</v>
      </c>
      <c r="W1355">
        <v>60</v>
      </c>
    </row>
    <row r="1356" spans="1:23" x14ac:dyDescent="0.2">
      <c r="A1356" t="s">
        <v>188</v>
      </c>
      <c r="B1356" t="s">
        <v>249</v>
      </c>
      <c r="C1356" t="s">
        <v>35</v>
      </c>
      <c r="D1356" t="s">
        <v>295</v>
      </c>
      <c r="E1356">
        <v>1</v>
      </c>
      <c r="F1356">
        <v>18</v>
      </c>
      <c r="G1356">
        <v>18</v>
      </c>
      <c r="T1356" t="s">
        <v>1020</v>
      </c>
      <c r="U1356" t="s">
        <v>1046</v>
      </c>
      <c r="V1356" t="s">
        <v>1051</v>
      </c>
      <c r="W1356">
        <v>70</v>
      </c>
    </row>
    <row r="1357" spans="1:23" x14ac:dyDescent="0.2">
      <c r="A1357" t="s">
        <v>188</v>
      </c>
      <c r="B1357" t="s">
        <v>249</v>
      </c>
      <c r="C1357" t="s">
        <v>101</v>
      </c>
      <c r="D1357" t="s">
        <v>333</v>
      </c>
      <c r="E1357">
        <v>0.18</v>
      </c>
      <c r="F1357">
        <v>1200</v>
      </c>
      <c r="G1357">
        <v>216</v>
      </c>
      <c r="T1357" t="s">
        <v>1020</v>
      </c>
      <c r="U1357" t="s">
        <v>1047</v>
      </c>
      <c r="V1357" t="s">
        <v>1052</v>
      </c>
      <c r="W1357">
        <v>70</v>
      </c>
    </row>
    <row r="1358" spans="1:23" x14ac:dyDescent="0.2">
      <c r="A1358" t="s">
        <v>188</v>
      </c>
      <c r="B1358" t="s">
        <v>249</v>
      </c>
      <c r="C1358" t="s">
        <v>121</v>
      </c>
      <c r="D1358" t="s">
        <v>301</v>
      </c>
      <c r="E1358">
        <v>1</v>
      </c>
      <c r="F1358">
        <v>0.95</v>
      </c>
      <c r="G1358">
        <v>0.95</v>
      </c>
      <c r="T1358" t="s">
        <v>1020</v>
      </c>
      <c r="U1358" t="s">
        <v>1048</v>
      </c>
      <c r="V1358" t="s">
        <v>1053</v>
      </c>
      <c r="W1358">
        <v>250</v>
      </c>
    </row>
    <row r="1359" spans="1:23" x14ac:dyDescent="0.2">
      <c r="A1359" t="s">
        <v>188</v>
      </c>
      <c r="B1359" t="s">
        <v>249</v>
      </c>
      <c r="C1359" t="s">
        <v>122</v>
      </c>
      <c r="D1359" t="s">
        <v>302</v>
      </c>
      <c r="E1359">
        <v>1</v>
      </c>
      <c r="F1359">
        <v>4.2</v>
      </c>
      <c r="G1359">
        <v>4.2</v>
      </c>
      <c r="T1359" t="s">
        <v>1020</v>
      </c>
      <c r="U1359" t="s">
        <v>1049</v>
      </c>
      <c r="V1359" t="s">
        <v>1054</v>
      </c>
      <c r="W1359">
        <v>750</v>
      </c>
    </row>
    <row r="1360" spans="1:23" x14ac:dyDescent="0.2">
      <c r="A1360" t="s">
        <v>188</v>
      </c>
      <c r="B1360" t="s">
        <v>249</v>
      </c>
      <c r="C1360" t="s">
        <v>4</v>
      </c>
      <c r="D1360" t="s">
        <v>304</v>
      </c>
      <c r="E1360">
        <v>2.2000000000000002</v>
      </c>
      <c r="F1360">
        <v>10.1</v>
      </c>
      <c r="G1360">
        <v>22.22</v>
      </c>
      <c r="T1360" t="s">
        <v>1020</v>
      </c>
      <c r="U1360" t="s">
        <v>1050</v>
      </c>
      <c r="V1360" t="s">
        <v>1055</v>
      </c>
      <c r="W1360">
        <v>0</v>
      </c>
    </row>
    <row r="1361" spans="1:23" x14ac:dyDescent="0.2">
      <c r="A1361" t="s">
        <v>188</v>
      </c>
      <c r="B1361" t="s">
        <v>249</v>
      </c>
      <c r="C1361" t="s">
        <v>5</v>
      </c>
      <c r="D1361" t="s">
        <v>305</v>
      </c>
      <c r="E1361">
        <v>0.2</v>
      </c>
      <c r="F1361">
        <v>11.5</v>
      </c>
      <c r="G1361">
        <v>2.2999999999999998</v>
      </c>
      <c r="T1361" t="s">
        <v>1021</v>
      </c>
      <c r="U1361" t="s">
        <v>1042</v>
      </c>
      <c r="V1361" t="s">
        <v>401</v>
      </c>
      <c r="W1361">
        <v>50</v>
      </c>
    </row>
    <row r="1362" spans="1:23" x14ac:dyDescent="0.2">
      <c r="A1362" t="s">
        <v>188</v>
      </c>
      <c r="B1362" t="s">
        <v>249</v>
      </c>
      <c r="C1362" t="s">
        <v>9</v>
      </c>
      <c r="D1362" t="s">
        <v>347</v>
      </c>
      <c r="E1362">
        <v>2.5</v>
      </c>
      <c r="F1362">
        <v>16.5</v>
      </c>
      <c r="G1362">
        <v>41.25</v>
      </c>
      <c r="T1362" t="s">
        <v>1021</v>
      </c>
      <c r="U1362" t="s">
        <v>1043</v>
      </c>
      <c r="V1362" t="s">
        <v>272</v>
      </c>
      <c r="W1362">
        <v>375</v>
      </c>
    </row>
    <row r="1363" spans="1:23" x14ac:dyDescent="0.2">
      <c r="A1363" t="s">
        <v>188</v>
      </c>
      <c r="B1363" t="s">
        <v>249</v>
      </c>
      <c r="C1363" t="s">
        <v>105</v>
      </c>
      <c r="D1363" t="s">
        <v>313</v>
      </c>
      <c r="E1363">
        <v>100</v>
      </c>
      <c r="F1363">
        <v>0.1</v>
      </c>
      <c r="G1363">
        <v>10</v>
      </c>
      <c r="T1363" t="s">
        <v>1021</v>
      </c>
      <c r="U1363" t="s">
        <v>1044</v>
      </c>
      <c r="V1363" t="s">
        <v>405</v>
      </c>
      <c r="W1363">
        <v>100</v>
      </c>
    </row>
    <row r="1364" spans="1:23" x14ac:dyDescent="0.2">
      <c r="A1364" t="s">
        <v>188</v>
      </c>
      <c r="B1364" t="s">
        <v>249</v>
      </c>
      <c r="C1364" t="s">
        <v>111</v>
      </c>
      <c r="D1364" t="s">
        <v>320</v>
      </c>
      <c r="E1364">
        <v>20</v>
      </c>
      <c r="F1364">
        <v>0.1</v>
      </c>
      <c r="G1364">
        <v>2</v>
      </c>
      <c r="T1364" t="s">
        <v>1021</v>
      </c>
      <c r="U1364" t="s">
        <v>1045</v>
      </c>
      <c r="V1364" t="s">
        <v>402</v>
      </c>
      <c r="W1364">
        <v>60</v>
      </c>
    </row>
    <row r="1365" spans="1:23" x14ac:dyDescent="0.2">
      <c r="A1365" t="s">
        <v>189</v>
      </c>
      <c r="B1365" t="s">
        <v>245</v>
      </c>
      <c r="C1365" t="s">
        <v>94</v>
      </c>
      <c r="D1365" t="s">
        <v>280</v>
      </c>
      <c r="E1365">
        <v>1</v>
      </c>
      <c r="F1365">
        <v>3.5</v>
      </c>
      <c r="G1365">
        <v>3.5</v>
      </c>
      <c r="T1365" t="s">
        <v>1021</v>
      </c>
      <c r="U1365" t="s">
        <v>1046</v>
      </c>
      <c r="V1365" t="s">
        <v>1051</v>
      </c>
      <c r="W1365">
        <v>70</v>
      </c>
    </row>
    <row r="1366" spans="1:23" x14ac:dyDescent="0.2">
      <c r="A1366" t="s">
        <v>189</v>
      </c>
      <c r="B1366" t="s">
        <v>245</v>
      </c>
      <c r="C1366" t="s">
        <v>95</v>
      </c>
      <c r="D1366" t="s">
        <v>281</v>
      </c>
      <c r="E1366">
        <v>1</v>
      </c>
      <c r="F1366">
        <v>2</v>
      </c>
      <c r="G1366">
        <v>2</v>
      </c>
      <c r="T1366" t="s">
        <v>1021</v>
      </c>
      <c r="U1366" t="s">
        <v>1047</v>
      </c>
      <c r="V1366" t="s">
        <v>1052</v>
      </c>
      <c r="W1366">
        <v>70</v>
      </c>
    </row>
    <row r="1367" spans="1:23" x14ac:dyDescent="0.2">
      <c r="A1367" t="s">
        <v>189</v>
      </c>
      <c r="B1367" t="s">
        <v>245</v>
      </c>
      <c r="C1367" t="s">
        <v>44</v>
      </c>
      <c r="D1367" t="s">
        <v>324</v>
      </c>
      <c r="E1367">
        <v>0.3</v>
      </c>
      <c r="F1367">
        <v>65</v>
      </c>
      <c r="G1367">
        <v>19.5</v>
      </c>
      <c r="T1367" t="s">
        <v>1021</v>
      </c>
      <c r="U1367" t="s">
        <v>1048</v>
      </c>
      <c r="V1367" t="s">
        <v>1053</v>
      </c>
      <c r="W1367">
        <v>250</v>
      </c>
    </row>
    <row r="1368" spans="1:23" x14ac:dyDescent="0.2">
      <c r="A1368" t="s">
        <v>189</v>
      </c>
      <c r="B1368" t="s">
        <v>245</v>
      </c>
      <c r="C1368" t="s">
        <v>55</v>
      </c>
      <c r="D1368" t="s">
        <v>371</v>
      </c>
      <c r="E1368">
        <v>1.2</v>
      </c>
      <c r="F1368">
        <v>120</v>
      </c>
      <c r="G1368">
        <v>144</v>
      </c>
      <c r="T1368" t="s">
        <v>1021</v>
      </c>
      <c r="U1368" t="s">
        <v>1049</v>
      </c>
      <c r="V1368" t="s">
        <v>1054</v>
      </c>
      <c r="W1368">
        <v>750</v>
      </c>
    </row>
    <row r="1369" spans="1:23" x14ac:dyDescent="0.2">
      <c r="A1369" t="s">
        <v>189</v>
      </c>
      <c r="B1369" t="s">
        <v>245</v>
      </c>
      <c r="C1369" t="s">
        <v>60</v>
      </c>
      <c r="D1369" t="s">
        <v>337</v>
      </c>
      <c r="E1369">
        <v>0.2</v>
      </c>
      <c r="F1369">
        <v>130</v>
      </c>
      <c r="G1369">
        <v>26</v>
      </c>
      <c r="T1369" t="s">
        <v>1021</v>
      </c>
      <c r="U1369" t="s">
        <v>1050</v>
      </c>
      <c r="V1369" t="s">
        <v>1055</v>
      </c>
      <c r="W1369">
        <v>0</v>
      </c>
    </row>
    <row r="1370" spans="1:23" x14ac:dyDescent="0.2">
      <c r="A1370" t="s">
        <v>189</v>
      </c>
      <c r="B1370" t="s">
        <v>245</v>
      </c>
      <c r="C1370" t="s">
        <v>69</v>
      </c>
      <c r="D1370" t="s">
        <v>288</v>
      </c>
      <c r="E1370">
        <v>0.19</v>
      </c>
      <c r="F1370">
        <v>190</v>
      </c>
      <c r="G1370">
        <v>36.1</v>
      </c>
      <c r="T1370" t="s">
        <v>1022</v>
      </c>
      <c r="U1370" t="s">
        <v>1042</v>
      </c>
      <c r="V1370" t="s">
        <v>401</v>
      </c>
      <c r="W1370">
        <v>50</v>
      </c>
    </row>
    <row r="1371" spans="1:23" x14ac:dyDescent="0.2">
      <c r="A1371" t="s">
        <v>189</v>
      </c>
      <c r="B1371" t="s">
        <v>245</v>
      </c>
      <c r="C1371" t="s">
        <v>87</v>
      </c>
      <c r="D1371" t="s">
        <v>348</v>
      </c>
      <c r="E1371">
        <v>0.75</v>
      </c>
      <c r="F1371">
        <v>190</v>
      </c>
      <c r="G1371">
        <v>142.5</v>
      </c>
      <c r="T1371" t="s">
        <v>1022</v>
      </c>
      <c r="U1371" t="s">
        <v>1043</v>
      </c>
      <c r="V1371" t="s">
        <v>272</v>
      </c>
      <c r="W1371">
        <v>375</v>
      </c>
    </row>
    <row r="1372" spans="1:23" x14ac:dyDescent="0.2">
      <c r="A1372" t="s">
        <v>189</v>
      </c>
      <c r="B1372" t="s">
        <v>245</v>
      </c>
      <c r="C1372" t="s">
        <v>93</v>
      </c>
      <c r="D1372" t="s">
        <v>327</v>
      </c>
      <c r="E1372">
        <v>0.125</v>
      </c>
      <c r="F1372">
        <v>70</v>
      </c>
      <c r="G1372">
        <v>8.75</v>
      </c>
      <c r="T1372" t="s">
        <v>1022</v>
      </c>
      <c r="U1372" t="s">
        <v>1044</v>
      </c>
      <c r="V1372" t="s">
        <v>405</v>
      </c>
      <c r="W1372">
        <v>100</v>
      </c>
    </row>
    <row r="1373" spans="1:23" x14ac:dyDescent="0.2">
      <c r="A1373" t="s">
        <v>189</v>
      </c>
      <c r="B1373" t="s">
        <v>245</v>
      </c>
      <c r="C1373" t="s">
        <v>47</v>
      </c>
      <c r="D1373" t="s">
        <v>328</v>
      </c>
      <c r="E1373">
        <v>0.08</v>
      </c>
      <c r="F1373">
        <v>235</v>
      </c>
      <c r="G1373">
        <v>18.8</v>
      </c>
      <c r="T1373" t="s">
        <v>1022</v>
      </c>
      <c r="U1373" t="s">
        <v>1045</v>
      </c>
      <c r="V1373" t="s">
        <v>402</v>
      </c>
      <c r="W1373">
        <v>60</v>
      </c>
    </row>
    <row r="1374" spans="1:23" x14ac:dyDescent="0.2">
      <c r="A1374" t="s">
        <v>189</v>
      </c>
      <c r="B1374" t="s">
        <v>245</v>
      </c>
      <c r="C1374" t="s">
        <v>49</v>
      </c>
      <c r="D1374" t="s">
        <v>290</v>
      </c>
      <c r="E1374">
        <v>7.4999999999999997E-2</v>
      </c>
      <c r="F1374">
        <v>248</v>
      </c>
      <c r="G1374">
        <v>18.600000000000001</v>
      </c>
      <c r="T1374" t="s">
        <v>1022</v>
      </c>
      <c r="U1374" t="s">
        <v>1046</v>
      </c>
      <c r="V1374" t="s">
        <v>1051</v>
      </c>
      <c r="W1374">
        <v>70</v>
      </c>
    </row>
    <row r="1375" spans="1:23" x14ac:dyDescent="0.2">
      <c r="A1375" t="s">
        <v>189</v>
      </c>
      <c r="B1375" t="s">
        <v>245</v>
      </c>
      <c r="C1375" t="s">
        <v>22</v>
      </c>
      <c r="D1375" t="s">
        <v>331</v>
      </c>
      <c r="E1375">
        <v>2</v>
      </c>
      <c r="F1375">
        <v>2.5</v>
      </c>
      <c r="G1375">
        <v>5</v>
      </c>
      <c r="T1375" t="s">
        <v>1022</v>
      </c>
      <c r="U1375" t="s">
        <v>1047</v>
      </c>
      <c r="V1375" t="s">
        <v>1052</v>
      </c>
      <c r="W1375">
        <v>70</v>
      </c>
    </row>
    <row r="1376" spans="1:23" x14ac:dyDescent="0.2">
      <c r="A1376" t="s">
        <v>189</v>
      </c>
      <c r="B1376" t="s">
        <v>245</v>
      </c>
      <c r="C1376" t="s">
        <v>29</v>
      </c>
      <c r="D1376" t="s">
        <v>292</v>
      </c>
      <c r="E1376">
        <v>0.8</v>
      </c>
      <c r="F1376">
        <v>27</v>
      </c>
      <c r="G1376">
        <v>21.6</v>
      </c>
      <c r="T1376" t="s">
        <v>1022</v>
      </c>
      <c r="U1376" t="s">
        <v>1048</v>
      </c>
      <c r="V1376" t="s">
        <v>1053</v>
      </c>
      <c r="W1376">
        <v>250</v>
      </c>
    </row>
    <row r="1377" spans="1:23" x14ac:dyDescent="0.2">
      <c r="A1377" t="s">
        <v>189</v>
      </c>
      <c r="B1377" t="s">
        <v>245</v>
      </c>
      <c r="C1377" t="s">
        <v>30</v>
      </c>
      <c r="D1377" t="s">
        <v>332</v>
      </c>
      <c r="E1377">
        <v>2</v>
      </c>
      <c r="F1377">
        <v>6</v>
      </c>
      <c r="G1377">
        <v>12</v>
      </c>
      <c r="T1377" t="s">
        <v>1022</v>
      </c>
      <c r="U1377" t="s">
        <v>1049</v>
      </c>
      <c r="V1377" t="s">
        <v>1054</v>
      </c>
      <c r="W1377">
        <v>750</v>
      </c>
    </row>
    <row r="1378" spans="1:23" x14ac:dyDescent="0.2">
      <c r="A1378" t="s">
        <v>189</v>
      </c>
      <c r="B1378" t="s">
        <v>245</v>
      </c>
      <c r="C1378" t="s">
        <v>35</v>
      </c>
      <c r="D1378" t="s">
        <v>295</v>
      </c>
      <c r="E1378">
        <v>1</v>
      </c>
      <c r="F1378">
        <v>18</v>
      </c>
      <c r="G1378">
        <v>18</v>
      </c>
      <c r="T1378" t="s">
        <v>1022</v>
      </c>
      <c r="U1378" t="s">
        <v>1050</v>
      </c>
      <c r="V1378" t="s">
        <v>1055</v>
      </c>
      <c r="W1378">
        <v>0</v>
      </c>
    </row>
    <row r="1379" spans="1:23" x14ac:dyDescent="0.2">
      <c r="A1379" t="s">
        <v>189</v>
      </c>
      <c r="B1379" t="s">
        <v>245</v>
      </c>
      <c r="C1379" t="s">
        <v>103</v>
      </c>
      <c r="D1379" t="s">
        <v>349</v>
      </c>
      <c r="E1379">
        <v>1.4999999999999999E-2</v>
      </c>
      <c r="F1379">
        <v>890</v>
      </c>
      <c r="G1379">
        <v>13.35</v>
      </c>
      <c r="T1379" t="s">
        <v>1024</v>
      </c>
      <c r="U1379" t="s">
        <v>1042</v>
      </c>
      <c r="V1379" t="s">
        <v>401</v>
      </c>
      <c r="W1379">
        <v>50</v>
      </c>
    </row>
    <row r="1380" spans="1:23" x14ac:dyDescent="0.2">
      <c r="A1380" t="s">
        <v>189</v>
      </c>
      <c r="B1380" t="s">
        <v>245</v>
      </c>
      <c r="C1380" t="s">
        <v>121</v>
      </c>
      <c r="D1380" t="s">
        <v>301</v>
      </c>
      <c r="E1380">
        <v>1</v>
      </c>
      <c r="F1380">
        <v>0.95</v>
      </c>
      <c r="G1380">
        <v>0.95</v>
      </c>
      <c r="T1380" t="s">
        <v>1024</v>
      </c>
      <c r="U1380" t="s">
        <v>1043</v>
      </c>
      <c r="V1380" t="s">
        <v>272</v>
      </c>
      <c r="W1380">
        <v>1</v>
      </c>
    </row>
    <row r="1381" spans="1:23" x14ac:dyDescent="0.2">
      <c r="A1381" t="s">
        <v>189</v>
      </c>
      <c r="B1381" t="s">
        <v>245</v>
      </c>
      <c r="C1381" t="s">
        <v>122</v>
      </c>
      <c r="D1381" t="s">
        <v>302</v>
      </c>
      <c r="E1381">
        <v>1</v>
      </c>
      <c r="F1381">
        <v>4.2</v>
      </c>
      <c r="G1381">
        <v>4.2</v>
      </c>
      <c r="T1381" t="s">
        <v>1024</v>
      </c>
      <c r="U1381" t="s">
        <v>1044</v>
      </c>
      <c r="V1381" t="s">
        <v>405</v>
      </c>
      <c r="W1381">
        <v>100</v>
      </c>
    </row>
    <row r="1382" spans="1:23" x14ac:dyDescent="0.2">
      <c r="A1382" t="s">
        <v>189</v>
      </c>
      <c r="B1382" t="s">
        <v>245</v>
      </c>
      <c r="C1382" t="s">
        <v>4</v>
      </c>
      <c r="D1382" t="s">
        <v>304</v>
      </c>
      <c r="E1382">
        <v>2.2000000000000002</v>
      </c>
      <c r="F1382">
        <v>10.1</v>
      </c>
      <c r="G1382">
        <v>22.22</v>
      </c>
      <c r="T1382" t="s">
        <v>1024</v>
      </c>
      <c r="U1382" t="s">
        <v>1045</v>
      </c>
      <c r="V1382" t="s">
        <v>402</v>
      </c>
      <c r="W1382">
        <v>60</v>
      </c>
    </row>
    <row r="1383" spans="1:23" x14ac:dyDescent="0.2">
      <c r="A1383" t="s">
        <v>189</v>
      </c>
      <c r="B1383" t="s">
        <v>245</v>
      </c>
      <c r="C1383" t="s">
        <v>5</v>
      </c>
      <c r="D1383" t="s">
        <v>305</v>
      </c>
      <c r="E1383">
        <v>0.2</v>
      </c>
      <c r="F1383">
        <v>11.5</v>
      </c>
      <c r="G1383">
        <v>2.2999999999999998</v>
      </c>
      <c r="T1383" t="s">
        <v>1024</v>
      </c>
      <c r="U1383" t="s">
        <v>1046</v>
      </c>
      <c r="V1383" t="s">
        <v>1051</v>
      </c>
      <c r="W1383">
        <v>70</v>
      </c>
    </row>
    <row r="1384" spans="1:23" x14ac:dyDescent="0.2">
      <c r="A1384" t="s">
        <v>189</v>
      </c>
      <c r="B1384" t="s">
        <v>245</v>
      </c>
      <c r="C1384" t="s">
        <v>9</v>
      </c>
      <c r="D1384" t="s">
        <v>347</v>
      </c>
      <c r="E1384">
        <v>2.5</v>
      </c>
      <c r="F1384">
        <v>16.5</v>
      </c>
      <c r="G1384">
        <v>41.25</v>
      </c>
      <c r="T1384" t="s">
        <v>1024</v>
      </c>
      <c r="U1384" t="s">
        <v>1047</v>
      </c>
      <c r="V1384" t="s">
        <v>1052</v>
      </c>
      <c r="W1384">
        <v>70</v>
      </c>
    </row>
    <row r="1385" spans="1:23" x14ac:dyDescent="0.2">
      <c r="A1385" t="s">
        <v>189</v>
      </c>
      <c r="B1385" t="s">
        <v>245</v>
      </c>
      <c r="C1385" t="s">
        <v>105</v>
      </c>
      <c r="D1385" t="s">
        <v>313</v>
      </c>
      <c r="E1385">
        <v>100</v>
      </c>
      <c r="F1385">
        <v>0.1</v>
      </c>
      <c r="G1385">
        <v>10</v>
      </c>
      <c r="T1385" t="s">
        <v>1024</v>
      </c>
      <c r="U1385" t="s">
        <v>1048</v>
      </c>
      <c r="V1385" t="s">
        <v>1053</v>
      </c>
      <c r="W1385">
        <v>250</v>
      </c>
    </row>
    <row r="1386" spans="1:23" x14ac:dyDescent="0.2">
      <c r="A1386" t="s">
        <v>189</v>
      </c>
      <c r="B1386" t="s">
        <v>245</v>
      </c>
      <c r="C1386" t="s">
        <v>111</v>
      </c>
      <c r="D1386" t="s">
        <v>320</v>
      </c>
      <c r="E1386">
        <v>20</v>
      </c>
      <c r="F1386">
        <v>0.1</v>
      </c>
      <c r="G1386">
        <v>2</v>
      </c>
      <c r="T1386" t="s">
        <v>1024</v>
      </c>
      <c r="U1386" t="s">
        <v>1049</v>
      </c>
      <c r="V1386" t="s">
        <v>1054</v>
      </c>
      <c r="W1386">
        <v>750</v>
      </c>
    </row>
    <row r="1387" spans="1:23" x14ac:dyDescent="0.2">
      <c r="A1387" t="s">
        <v>189</v>
      </c>
      <c r="B1387" t="s">
        <v>245</v>
      </c>
      <c r="C1387" t="s">
        <v>114</v>
      </c>
      <c r="D1387" t="s">
        <v>350</v>
      </c>
      <c r="E1387">
        <v>20</v>
      </c>
      <c r="F1387">
        <v>0.1</v>
      </c>
      <c r="G1387">
        <v>2</v>
      </c>
      <c r="T1387" t="s">
        <v>1024</v>
      </c>
      <c r="U1387" t="s">
        <v>1050</v>
      </c>
      <c r="V1387" t="s">
        <v>1055</v>
      </c>
      <c r="W1387">
        <v>0</v>
      </c>
    </row>
    <row r="1388" spans="1:23" x14ac:dyDescent="0.2">
      <c r="A1388" t="s">
        <v>148</v>
      </c>
      <c r="B1388" t="s">
        <v>253</v>
      </c>
      <c r="C1388" t="s">
        <v>94</v>
      </c>
      <c r="D1388" t="s">
        <v>280</v>
      </c>
      <c r="E1388">
        <v>1</v>
      </c>
      <c r="F1388">
        <v>3.5</v>
      </c>
      <c r="G1388">
        <v>3.5</v>
      </c>
      <c r="T1388" t="s">
        <v>1025</v>
      </c>
      <c r="U1388" t="s">
        <v>1042</v>
      </c>
      <c r="V1388" t="s">
        <v>401</v>
      </c>
      <c r="W1388">
        <v>50</v>
      </c>
    </row>
    <row r="1389" spans="1:23" x14ac:dyDescent="0.2">
      <c r="A1389" t="s">
        <v>148</v>
      </c>
      <c r="B1389" t="s">
        <v>253</v>
      </c>
      <c r="C1389" t="s">
        <v>95</v>
      </c>
      <c r="D1389" t="s">
        <v>281</v>
      </c>
      <c r="E1389">
        <v>1</v>
      </c>
      <c r="F1389">
        <v>2</v>
      </c>
      <c r="G1389">
        <v>2</v>
      </c>
      <c r="T1389" t="s">
        <v>1025</v>
      </c>
      <c r="U1389" t="s">
        <v>1043</v>
      </c>
      <c r="V1389" t="s">
        <v>272</v>
      </c>
      <c r="W1389">
        <v>375</v>
      </c>
    </row>
    <row r="1390" spans="1:23" x14ac:dyDescent="0.2">
      <c r="A1390" t="s">
        <v>148</v>
      </c>
      <c r="B1390" t="s">
        <v>253</v>
      </c>
      <c r="C1390" t="s">
        <v>44</v>
      </c>
      <c r="D1390" t="s">
        <v>324</v>
      </c>
      <c r="E1390">
        <v>0.25</v>
      </c>
      <c r="F1390">
        <v>65</v>
      </c>
      <c r="G1390">
        <v>16.25</v>
      </c>
      <c r="T1390" t="s">
        <v>1025</v>
      </c>
      <c r="U1390" t="s">
        <v>1044</v>
      </c>
      <c r="V1390" t="s">
        <v>405</v>
      </c>
      <c r="W1390">
        <v>100</v>
      </c>
    </row>
    <row r="1391" spans="1:23" x14ac:dyDescent="0.2">
      <c r="A1391" t="s">
        <v>148</v>
      </c>
      <c r="B1391" t="s">
        <v>253</v>
      </c>
      <c r="C1391" t="s">
        <v>53</v>
      </c>
      <c r="D1391" t="s">
        <v>325</v>
      </c>
      <c r="E1391">
        <v>1.2</v>
      </c>
      <c r="F1391">
        <v>120</v>
      </c>
      <c r="G1391">
        <v>144</v>
      </c>
      <c r="T1391" t="s">
        <v>1025</v>
      </c>
      <c r="U1391" t="s">
        <v>1045</v>
      </c>
      <c r="V1391" t="s">
        <v>402</v>
      </c>
      <c r="W1391">
        <v>60</v>
      </c>
    </row>
    <row r="1392" spans="1:23" x14ac:dyDescent="0.2">
      <c r="A1392" t="s">
        <v>148</v>
      </c>
      <c r="B1392" t="s">
        <v>253</v>
      </c>
      <c r="C1392" t="s">
        <v>60</v>
      </c>
      <c r="D1392" t="s">
        <v>337</v>
      </c>
      <c r="E1392">
        <v>0.2</v>
      </c>
      <c r="F1392">
        <v>130</v>
      </c>
      <c r="G1392">
        <v>26</v>
      </c>
      <c r="T1392" t="s">
        <v>1025</v>
      </c>
      <c r="U1392" t="s">
        <v>1046</v>
      </c>
      <c r="V1392" t="s">
        <v>1051</v>
      </c>
      <c r="W1392">
        <v>70</v>
      </c>
    </row>
    <row r="1393" spans="1:23" x14ac:dyDescent="0.2">
      <c r="A1393" t="s">
        <v>148</v>
      </c>
      <c r="B1393" t="s">
        <v>253</v>
      </c>
      <c r="C1393" t="s">
        <v>61</v>
      </c>
      <c r="D1393" t="s">
        <v>341</v>
      </c>
      <c r="E1393">
        <v>0.2</v>
      </c>
      <c r="F1393">
        <v>190</v>
      </c>
      <c r="G1393">
        <v>38</v>
      </c>
      <c r="T1393" t="s">
        <v>1025</v>
      </c>
      <c r="U1393" t="s">
        <v>1047</v>
      </c>
      <c r="V1393" t="s">
        <v>1052</v>
      </c>
      <c r="W1393">
        <v>70</v>
      </c>
    </row>
    <row r="1394" spans="1:23" x14ac:dyDescent="0.2">
      <c r="A1394" t="s">
        <v>148</v>
      </c>
      <c r="B1394" t="s">
        <v>253</v>
      </c>
      <c r="C1394" t="s">
        <v>65</v>
      </c>
      <c r="D1394" t="s">
        <v>351</v>
      </c>
      <c r="E1394">
        <v>0.65</v>
      </c>
      <c r="F1394">
        <v>190</v>
      </c>
      <c r="G1394">
        <v>123.5</v>
      </c>
      <c r="T1394" t="s">
        <v>1025</v>
      </c>
      <c r="U1394" t="s">
        <v>1048</v>
      </c>
      <c r="V1394" t="s">
        <v>1053</v>
      </c>
      <c r="W1394">
        <v>250</v>
      </c>
    </row>
    <row r="1395" spans="1:23" x14ac:dyDescent="0.2">
      <c r="A1395" t="s">
        <v>148</v>
      </c>
      <c r="B1395" t="s">
        <v>253</v>
      </c>
      <c r="C1395" t="s">
        <v>69</v>
      </c>
      <c r="D1395" t="s">
        <v>288</v>
      </c>
      <c r="E1395">
        <v>0.1</v>
      </c>
      <c r="F1395">
        <v>190</v>
      </c>
      <c r="G1395">
        <v>19</v>
      </c>
      <c r="T1395" t="s">
        <v>1025</v>
      </c>
      <c r="U1395" t="s">
        <v>1049</v>
      </c>
      <c r="V1395" t="s">
        <v>1054</v>
      </c>
      <c r="W1395">
        <v>750</v>
      </c>
    </row>
    <row r="1396" spans="1:23" x14ac:dyDescent="0.2">
      <c r="A1396" t="s">
        <v>148</v>
      </c>
      <c r="B1396" t="s">
        <v>253</v>
      </c>
      <c r="C1396" t="s">
        <v>93</v>
      </c>
      <c r="D1396" t="s">
        <v>327</v>
      </c>
      <c r="E1396">
        <v>0.15</v>
      </c>
      <c r="F1396">
        <v>70</v>
      </c>
      <c r="G1396">
        <v>10.5</v>
      </c>
      <c r="T1396" t="s">
        <v>1025</v>
      </c>
      <c r="U1396" t="s">
        <v>1050</v>
      </c>
      <c r="V1396" t="s">
        <v>1055</v>
      </c>
      <c r="W1396">
        <v>0</v>
      </c>
    </row>
    <row r="1397" spans="1:23" x14ac:dyDescent="0.2">
      <c r="A1397" t="s">
        <v>148</v>
      </c>
      <c r="B1397" t="s">
        <v>253</v>
      </c>
      <c r="C1397" t="s">
        <v>47</v>
      </c>
      <c r="D1397" t="s">
        <v>328</v>
      </c>
      <c r="E1397">
        <v>0.1</v>
      </c>
      <c r="F1397">
        <v>235</v>
      </c>
      <c r="G1397">
        <v>23.5</v>
      </c>
      <c r="T1397" t="s">
        <v>1026</v>
      </c>
      <c r="U1397" t="s">
        <v>1042</v>
      </c>
      <c r="V1397" t="s">
        <v>401</v>
      </c>
      <c r="W1397">
        <v>50</v>
      </c>
    </row>
    <row r="1398" spans="1:23" x14ac:dyDescent="0.2">
      <c r="A1398" t="s">
        <v>148</v>
      </c>
      <c r="B1398" t="s">
        <v>253</v>
      </c>
      <c r="C1398" t="s">
        <v>49</v>
      </c>
      <c r="D1398" t="s">
        <v>290</v>
      </c>
      <c r="E1398">
        <v>7.4999999999999997E-2</v>
      </c>
      <c r="F1398">
        <v>248</v>
      </c>
      <c r="G1398">
        <v>18.600000000000001</v>
      </c>
      <c r="T1398" t="s">
        <v>1026</v>
      </c>
      <c r="U1398" t="s">
        <v>1043</v>
      </c>
      <c r="V1398" t="s">
        <v>272</v>
      </c>
      <c r="W1398">
        <v>375</v>
      </c>
    </row>
    <row r="1399" spans="1:23" x14ac:dyDescent="0.2">
      <c r="A1399" t="s">
        <v>148</v>
      </c>
      <c r="B1399" t="s">
        <v>253</v>
      </c>
      <c r="C1399" t="s">
        <v>19</v>
      </c>
      <c r="D1399" t="s">
        <v>329</v>
      </c>
      <c r="E1399">
        <v>1</v>
      </c>
      <c r="F1399">
        <v>2.9</v>
      </c>
      <c r="G1399">
        <v>2.9</v>
      </c>
      <c r="T1399" t="s">
        <v>1026</v>
      </c>
      <c r="U1399" t="s">
        <v>1044</v>
      </c>
      <c r="V1399" t="s">
        <v>405</v>
      </c>
      <c r="W1399">
        <v>100</v>
      </c>
    </row>
    <row r="1400" spans="1:23" x14ac:dyDescent="0.2">
      <c r="A1400" t="s">
        <v>148</v>
      </c>
      <c r="B1400" t="s">
        <v>253</v>
      </c>
      <c r="C1400" t="s">
        <v>20</v>
      </c>
      <c r="D1400" t="s">
        <v>330</v>
      </c>
      <c r="E1400">
        <v>1</v>
      </c>
      <c r="F1400">
        <v>2.9</v>
      </c>
      <c r="G1400">
        <v>2.9</v>
      </c>
      <c r="T1400" t="s">
        <v>1026</v>
      </c>
      <c r="U1400" t="s">
        <v>1045</v>
      </c>
      <c r="V1400" t="s">
        <v>402</v>
      </c>
      <c r="W1400">
        <v>60</v>
      </c>
    </row>
    <row r="1401" spans="1:23" x14ac:dyDescent="0.2">
      <c r="A1401" t="s">
        <v>148</v>
      </c>
      <c r="B1401" t="s">
        <v>253</v>
      </c>
      <c r="C1401" t="s">
        <v>22</v>
      </c>
      <c r="D1401" t="s">
        <v>331</v>
      </c>
      <c r="E1401">
        <v>2</v>
      </c>
      <c r="F1401">
        <v>2.5</v>
      </c>
      <c r="G1401">
        <v>5</v>
      </c>
      <c r="T1401" t="s">
        <v>1026</v>
      </c>
      <c r="U1401" t="s">
        <v>1046</v>
      </c>
      <c r="V1401" t="s">
        <v>1051</v>
      </c>
      <c r="W1401">
        <v>70</v>
      </c>
    </row>
    <row r="1402" spans="1:23" x14ac:dyDescent="0.2">
      <c r="A1402" t="s">
        <v>148</v>
      </c>
      <c r="B1402" t="s">
        <v>253</v>
      </c>
      <c r="C1402" t="s">
        <v>29</v>
      </c>
      <c r="D1402" t="s">
        <v>292</v>
      </c>
      <c r="E1402">
        <v>0.8</v>
      </c>
      <c r="F1402">
        <v>27</v>
      </c>
      <c r="G1402">
        <v>21.6</v>
      </c>
      <c r="T1402" t="s">
        <v>1026</v>
      </c>
      <c r="U1402" t="s">
        <v>1047</v>
      </c>
      <c r="V1402" t="s">
        <v>1052</v>
      </c>
      <c r="W1402">
        <v>70</v>
      </c>
    </row>
    <row r="1403" spans="1:23" x14ac:dyDescent="0.2">
      <c r="A1403" t="s">
        <v>148</v>
      </c>
      <c r="B1403" t="s">
        <v>253</v>
      </c>
      <c r="C1403" t="s">
        <v>30</v>
      </c>
      <c r="D1403" t="s">
        <v>332</v>
      </c>
      <c r="E1403">
        <v>2</v>
      </c>
      <c r="F1403">
        <v>6</v>
      </c>
      <c r="G1403">
        <v>12</v>
      </c>
      <c r="T1403" t="s">
        <v>1026</v>
      </c>
      <c r="U1403" t="s">
        <v>1048</v>
      </c>
      <c r="V1403" t="s">
        <v>1053</v>
      </c>
      <c r="W1403">
        <v>250</v>
      </c>
    </row>
    <row r="1404" spans="1:23" x14ac:dyDescent="0.2">
      <c r="A1404" t="s">
        <v>148</v>
      </c>
      <c r="B1404" t="s">
        <v>253</v>
      </c>
      <c r="C1404" t="s">
        <v>104</v>
      </c>
      <c r="D1404" t="s">
        <v>343</v>
      </c>
      <c r="E1404">
        <v>1.4999999999999999E-2</v>
      </c>
      <c r="F1404">
        <v>890</v>
      </c>
      <c r="G1404">
        <v>13.35</v>
      </c>
      <c r="T1404" t="s">
        <v>1026</v>
      </c>
      <c r="U1404" t="s">
        <v>1049</v>
      </c>
      <c r="V1404" t="s">
        <v>1054</v>
      </c>
      <c r="W1404">
        <v>750</v>
      </c>
    </row>
    <row r="1405" spans="1:23" x14ac:dyDescent="0.2">
      <c r="A1405" t="s">
        <v>148</v>
      </c>
      <c r="B1405" t="s">
        <v>253</v>
      </c>
      <c r="C1405" t="s">
        <v>121</v>
      </c>
      <c r="D1405" t="s">
        <v>301</v>
      </c>
      <c r="E1405">
        <v>1</v>
      </c>
      <c r="F1405">
        <v>0.95</v>
      </c>
      <c r="G1405">
        <v>0.95</v>
      </c>
      <c r="T1405" t="s">
        <v>1026</v>
      </c>
      <c r="U1405" t="s">
        <v>1050</v>
      </c>
      <c r="V1405" t="s">
        <v>1055</v>
      </c>
      <c r="W1405">
        <v>0</v>
      </c>
    </row>
    <row r="1406" spans="1:23" x14ac:dyDescent="0.2">
      <c r="A1406" t="s">
        <v>148</v>
      </c>
      <c r="B1406" t="s">
        <v>253</v>
      </c>
      <c r="C1406" t="s">
        <v>122</v>
      </c>
      <c r="D1406" t="s">
        <v>302</v>
      </c>
      <c r="E1406">
        <v>1</v>
      </c>
      <c r="F1406">
        <v>4.2</v>
      </c>
      <c r="G1406">
        <v>4.2</v>
      </c>
      <c r="T1406" t="s">
        <v>1027</v>
      </c>
      <c r="U1406" t="s">
        <v>1042</v>
      </c>
      <c r="V1406" t="s">
        <v>401</v>
      </c>
      <c r="W1406">
        <v>50</v>
      </c>
    </row>
    <row r="1407" spans="1:23" x14ac:dyDescent="0.2">
      <c r="A1407" t="s">
        <v>148</v>
      </c>
      <c r="B1407" t="s">
        <v>253</v>
      </c>
      <c r="C1407" t="s">
        <v>4</v>
      </c>
      <c r="D1407" t="s">
        <v>304</v>
      </c>
      <c r="E1407">
        <v>2.2000000000000002</v>
      </c>
      <c r="F1407">
        <v>10.1</v>
      </c>
      <c r="G1407">
        <v>22.22</v>
      </c>
      <c r="T1407" t="s">
        <v>1027</v>
      </c>
      <c r="U1407" t="s">
        <v>1043</v>
      </c>
      <c r="V1407" t="s">
        <v>272</v>
      </c>
      <c r="W1407">
        <v>375</v>
      </c>
    </row>
    <row r="1408" spans="1:23" x14ac:dyDescent="0.2">
      <c r="A1408" t="s">
        <v>148</v>
      </c>
      <c r="B1408" t="s">
        <v>253</v>
      </c>
      <c r="C1408" t="s">
        <v>5</v>
      </c>
      <c r="D1408" t="s">
        <v>305</v>
      </c>
      <c r="E1408">
        <v>2.6</v>
      </c>
      <c r="F1408">
        <v>11.5</v>
      </c>
      <c r="G1408">
        <v>29.9</v>
      </c>
      <c r="T1408" t="s">
        <v>1027</v>
      </c>
      <c r="U1408" t="s">
        <v>1044</v>
      </c>
      <c r="V1408" t="s">
        <v>405</v>
      </c>
      <c r="W1408">
        <v>100</v>
      </c>
    </row>
    <row r="1409" spans="1:23" x14ac:dyDescent="0.2">
      <c r="A1409" t="s">
        <v>148</v>
      </c>
      <c r="B1409" t="s">
        <v>253</v>
      </c>
      <c r="C1409" t="s">
        <v>105</v>
      </c>
      <c r="D1409" t="s">
        <v>313</v>
      </c>
      <c r="E1409">
        <v>20</v>
      </c>
      <c r="F1409">
        <v>0.1</v>
      </c>
      <c r="G1409">
        <v>2</v>
      </c>
      <c r="T1409" t="s">
        <v>1027</v>
      </c>
      <c r="U1409" t="s">
        <v>1045</v>
      </c>
      <c r="V1409" t="s">
        <v>402</v>
      </c>
      <c r="W1409">
        <v>60</v>
      </c>
    </row>
    <row r="1410" spans="1:23" x14ac:dyDescent="0.2">
      <c r="A1410" t="s">
        <v>148</v>
      </c>
      <c r="B1410" t="s">
        <v>253</v>
      </c>
      <c r="C1410" t="s">
        <v>107</v>
      </c>
      <c r="D1410" t="s">
        <v>316</v>
      </c>
      <c r="E1410">
        <v>20</v>
      </c>
      <c r="F1410">
        <v>0.1</v>
      </c>
      <c r="G1410">
        <v>2</v>
      </c>
      <c r="T1410" t="s">
        <v>1027</v>
      </c>
      <c r="U1410" t="s">
        <v>1046</v>
      </c>
      <c r="V1410" t="s">
        <v>1051</v>
      </c>
      <c r="W1410">
        <v>70</v>
      </c>
    </row>
    <row r="1411" spans="1:23" x14ac:dyDescent="0.2">
      <c r="A1411" t="s">
        <v>148</v>
      </c>
      <c r="B1411" t="s">
        <v>253</v>
      </c>
      <c r="C1411" t="s">
        <v>117</v>
      </c>
      <c r="D1411" t="s">
        <v>352</v>
      </c>
      <c r="E1411">
        <v>100</v>
      </c>
      <c r="F1411">
        <v>0.1</v>
      </c>
      <c r="G1411">
        <v>10</v>
      </c>
      <c r="T1411" t="s">
        <v>1027</v>
      </c>
      <c r="U1411" t="s">
        <v>1047</v>
      </c>
      <c r="V1411" t="s">
        <v>1052</v>
      </c>
      <c r="W1411">
        <v>70</v>
      </c>
    </row>
    <row r="1412" spans="1:23" x14ac:dyDescent="0.2">
      <c r="A1412" t="s">
        <v>146</v>
      </c>
      <c r="B1412" t="s">
        <v>247</v>
      </c>
      <c r="C1412" t="s">
        <v>94</v>
      </c>
      <c r="D1412" t="s">
        <v>280</v>
      </c>
      <c r="E1412">
        <v>1</v>
      </c>
      <c r="F1412">
        <v>3.5</v>
      </c>
      <c r="G1412">
        <v>3.5</v>
      </c>
      <c r="T1412" t="s">
        <v>1027</v>
      </c>
      <c r="U1412" t="s">
        <v>1048</v>
      </c>
      <c r="V1412" t="s">
        <v>1053</v>
      </c>
      <c r="W1412">
        <v>250</v>
      </c>
    </row>
    <row r="1413" spans="1:23" x14ac:dyDescent="0.2">
      <c r="A1413" t="s">
        <v>146</v>
      </c>
      <c r="B1413" t="s">
        <v>247</v>
      </c>
      <c r="C1413" t="s">
        <v>95</v>
      </c>
      <c r="D1413" t="s">
        <v>281</v>
      </c>
      <c r="E1413">
        <v>1</v>
      </c>
      <c r="F1413">
        <v>2</v>
      </c>
      <c r="G1413">
        <v>2</v>
      </c>
      <c r="T1413" t="s">
        <v>1027</v>
      </c>
      <c r="U1413" t="s">
        <v>1049</v>
      </c>
      <c r="V1413" t="s">
        <v>1054</v>
      </c>
      <c r="W1413">
        <v>750</v>
      </c>
    </row>
    <row r="1414" spans="1:23" x14ac:dyDescent="0.2">
      <c r="A1414" t="s">
        <v>146</v>
      </c>
      <c r="B1414" t="s">
        <v>247</v>
      </c>
      <c r="C1414" t="s">
        <v>44</v>
      </c>
      <c r="D1414" t="s">
        <v>324</v>
      </c>
      <c r="E1414">
        <v>0.25</v>
      </c>
      <c r="F1414">
        <v>65</v>
      </c>
      <c r="G1414">
        <v>16.25</v>
      </c>
      <c r="T1414" t="s">
        <v>1027</v>
      </c>
      <c r="U1414" t="s">
        <v>1050</v>
      </c>
      <c r="V1414" t="s">
        <v>1055</v>
      </c>
      <c r="W1414">
        <v>0</v>
      </c>
    </row>
    <row r="1415" spans="1:23" x14ac:dyDescent="0.2">
      <c r="A1415" t="s">
        <v>146</v>
      </c>
      <c r="B1415" t="s">
        <v>247</v>
      </c>
      <c r="C1415" t="s">
        <v>53</v>
      </c>
      <c r="D1415" t="s">
        <v>325</v>
      </c>
      <c r="E1415">
        <v>1.2</v>
      </c>
      <c r="F1415">
        <v>120</v>
      </c>
      <c r="G1415">
        <v>144</v>
      </c>
      <c r="T1415" t="s">
        <v>1028</v>
      </c>
      <c r="U1415" t="s">
        <v>1042</v>
      </c>
      <c r="V1415" t="s">
        <v>401</v>
      </c>
      <c r="W1415">
        <v>50</v>
      </c>
    </row>
    <row r="1416" spans="1:23" x14ac:dyDescent="0.2">
      <c r="A1416" t="s">
        <v>146</v>
      </c>
      <c r="B1416" t="s">
        <v>247</v>
      </c>
      <c r="C1416" t="s">
        <v>60</v>
      </c>
      <c r="D1416" t="s">
        <v>337</v>
      </c>
      <c r="E1416">
        <v>0.2</v>
      </c>
      <c r="F1416">
        <v>130</v>
      </c>
      <c r="G1416">
        <v>26</v>
      </c>
      <c r="T1416" t="s">
        <v>1028</v>
      </c>
      <c r="U1416" t="s">
        <v>1043</v>
      </c>
      <c r="V1416" t="s">
        <v>272</v>
      </c>
      <c r="W1416">
        <v>390</v>
      </c>
    </row>
    <row r="1417" spans="1:23" x14ac:dyDescent="0.2">
      <c r="A1417" t="s">
        <v>146</v>
      </c>
      <c r="B1417" t="s">
        <v>247</v>
      </c>
      <c r="C1417" t="s">
        <v>61</v>
      </c>
      <c r="D1417" t="s">
        <v>341</v>
      </c>
      <c r="E1417">
        <v>0.2</v>
      </c>
      <c r="F1417">
        <v>190</v>
      </c>
      <c r="G1417">
        <v>38</v>
      </c>
      <c r="T1417" t="s">
        <v>1028</v>
      </c>
      <c r="U1417" t="s">
        <v>1044</v>
      </c>
      <c r="V1417" t="s">
        <v>405</v>
      </c>
      <c r="W1417">
        <v>100</v>
      </c>
    </row>
    <row r="1418" spans="1:23" x14ac:dyDescent="0.2">
      <c r="A1418" t="s">
        <v>146</v>
      </c>
      <c r="B1418" t="s">
        <v>247</v>
      </c>
      <c r="C1418" t="s">
        <v>66</v>
      </c>
      <c r="D1418" t="s">
        <v>353</v>
      </c>
      <c r="E1418">
        <v>0.65</v>
      </c>
      <c r="F1418">
        <v>190</v>
      </c>
      <c r="G1418">
        <v>123.5</v>
      </c>
      <c r="T1418" t="s">
        <v>1028</v>
      </c>
      <c r="U1418" t="s">
        <v>1045</v>
      </c>
      <c r="V1418" t="s">
        <v>402</v>
      </c>
      <c r="W1418">
        <v>60</v>
      </c>
    </row>
    <row r="1419" spans="1:23" x14ac:dyDescent="0.2">
      <c r="A1419" t="s">
        <v>146</v>
      </c>
      <c r="B1419" t="s">
        <v>247</v>
      </c>
      <c r="C1419" t="s">
        <v>69</v>
      </c>
      <c r="D1419" t="s">
        <v>288</v>
      </c>
      <c r="E1419">
        <v>0.1</v>
      </c>
      <c r="F1419">
        <v>190</v>
      </c>
      <c r="G1419">
        <v>19</v>
      </c>
      <c r="T1419" t="s">
        <v>1028</v>
      </c>
      <c r="U1419" t="s">
        <v>1046</v>
      </c>
      <c r="V1419" t="s">
        <v>1051</v>
      </c>
      <c r="W1419">
        <v>70</v>
      </c>
    </row>
    <row r="1420" spans="1:23" x14ac:dyDescent="0.2">
      <c r="A1420" t="s">
        <v>146</v>
      </c>
      <c r="B1420" t="s">
        <v>247</v>
      </c>
      <c r="C1420" t="s">
        <v>93</v>
      </c>
      <c r="D1420" t="s">
        <v>327</v>
      </c>
      <c r="E1420">
        <v>0.15</v>
      </c>
      <c r="F1420">
        <v>70</v>
      </c>
      <c r="G1420">
        <v>10.5</v>
      </c>
      <c r="T1420" t="s">
        <v>1028</v>
      </c>
      <c r="U1420" t="s">
        <v>1047</v>
      </c>
      <c r="V1420" t="s">
        <v>1052</v>
      </c>
      <c r="W1420">
        <v>70</v>
      </c>
    </row>
    <row r="1421" spans="1:23" x14ac:dyDescent="0.2">
      <c r="A1421" t="s">
        <v>146</v>
      </c>
      <c r="B1421" t="s">
        <v>247</v>
      </c>
      <c r="C1421" t="s">
        <v>47</v>
      </c>
      <c r="D1421" t="s">
        <v>328</v>
      </c>
      <c r="E1421">
        <v>0.1</v>
      </c>
      <c r="F1421">
        <v>235</v>
      </c>
      <c r="G1421">
        <v>23.5</v>
      </c>
      <c r="T1421" t="s">
        <v>1028</v>
      </c>
      <c r="U1421" t="s">
        <v>1048</v>
      </c>
      <c r="V1421" t="s">
        <v>1053</v>
      </c>
      <c r="W1421">
        <v>250</v>
      </c>
    </row>
    <row r="1422" spans="1:23" x14ac:dyDescent="0.2">
      <c r="A1422" t="s">
        <v>146</v>
      </c>
      <c r="B1422" t="s">
        <v>247</v>
      </c>
      <c r="C1422" t="s">
        <v>49</v>
      </c>
      <c r="D1422" t="s">
        <v>290</v>
      </c>
      <c r="E1422">
        <v>7.4999999999999997E-2</v>
      </c>
      <c r="F1422">
        <v>248</v>
      </c>
      <c r="G1422">
        <v>18.600000000000001</v>
      </c>
      <c r="T1422" t="s">
        <v>1028</v>
      </c>
      <c r="U1422" t="s">
        <v>1049</v>
      </c>
      <c r="V1422" t="s">
        <v>1054</v>
      </c>
      <c r="W1422">
        <v>750</v>
      </c>
    </row>
    <row r="1423" spans="1:23" x14ac:dyDescent="0.2">
      <c r="A1423" t="s">
        <v>146</v>
      </c>
      <c r="B1423" t="s">
        <v>247</v>
      </c>
      <c r="C1423" t="s">
        <v>19</v>
      </c>
      <c r="D1423" t="s">
        <v>329</v>
      </c>
      <c r="E1423">
        <v>1</v>
      </c>
      <c r="F1423">
        <v>2.9</v>
      </c>
      <c r="G1423">
        <v>2.9</v>
      </c>
      <c r="T1423" t="s">
        <v>1028</v>
      </c>
      <c r="U1423" t="s">
        <v>1050</v>
      </c>
      <c r="V1423" t="s">
        <v>1055</v>
      </c>
      <c r="W1423">
        <v>0</v>
      </c>
    </row>
    <row r="1424" spans="1:23" x14ac:dyDescent="0.2">
      <c r="A1424" t="s">
        <v>146</v>
      </c>
      <c r="B1424" t="s">
        <v>247</v>
      </c>
      <c r="C1424" t="s">
        <v>20</v>
      </c>
      <c r="D1424" t="s">
        <v>330</v>
      </c>
      <c r="E1424">
        <v>1</v>
      </c>
      <c r="F1424">
        <v>2.9</v>
      </c>
      <c r="G1424">
        <v>2.9</v>
      </c>
      <c r="T1424" t="s">
        <v>1029</v>
      </c>
      <c r="U1424" t="s">
        <v>1042</v>
      </c>
      <c r="V1424" t="s">
        <v>401</v>
      </c>
      <c r="W1424">
        <v>50</v>
      </c>
    </row>
    <row r="1425" spans="1:23" x14ac:dyDescent="0.2">
      <c r="A1425" t="s">
        <v>146</v>
      </c>
      <c r="B1425" t="s">
        <v>247</v>
      </c>
      <c r="C1425" t="s">
        <v>22</v>
      </c>
      <c r="D1425" t="s">
        <v>331</v>
      </c>
      <c r="E1425">
        <v>2</v>
      </c>
      <c r="F1425">
        <v>2.5</v>
      </c>
      <c r="G1425">
        <v>5</v>
      </c>
      <c r="T1425" t="s">
        <v>1029</v>
      </c>
      <c r="U1425" t="s">
        <v>1043</v>
      </c>
      <c r="V1425" t="s">
        <v>272</v>
      </c>
      <c r="W1425">
        <v>390</v>
      </c>
    </row>
    <row r="1426" spans="1:23" x14ac:dyDescent="0.2">
      <c r="A1426" t="s">
        <v>146</v>
      </c>
      <c r="B1426" t="s">
        <v>247</v>
      </c>
      <c r="C1426" t="s">
        <v>29</v>
      </c>
      <c r="D1426" t="s">
        <v>292</v>
      </c>
      <c r="E1426">
        <v>0.8</v>
      </c>
      <c r="F1426">
        <v>27</v>
      </c>
      <c r="G1426">
        <v>21.6</v>
      </c>
      <c r="T1426" t="s">
        <v>1029</v>
      </c>
      <c r="U1426" t="s">
        <v>1044</v>
      </c>
      <c r="V1426" t="s">
        <v>405</v>
      </c>
      <c r="W1426">
        <v>100</v>
      </c>
    </row>
    <row r="1427" spans="1:23" x14ac:dyDescent="0.2">
      <c r="A1427" t="s">
        <v>146</v>
      </c>
      <c r="B1427" t="s">
        <v>247</v>
      </c>
      <c r="C1427" t="s">
        <v>30</v>
      </c>
      <c r="D1427" t="s">
        <v>332</v>
      </c>
      <c r="E1427">
        <v>2</v>
      </c>
      <c r="F1427">
        <v>6</v>
      </c>
      <c r="G1427">
        <v>12</v>
      </c>
      <c r="T1427" t="s">
        <v>1029</v>
      </c>
      <c r="U1427" t="s">
        <v>1045</v>
      </c>
      <c r="V1427" t="s">
        <v>402</v>
      </c>
      <c r="W1427">
        <v>60</v>
      </c>
    </row>
    <row r="1428" spans="1:23" x14ac:dyDescent="0.2">
      <c r="A1428" t="s">
        <v>146</v>
      </c>
      <c r="B1428" t="s">
        <v>247</v>
      </c>
      <c r="C1428" t="s">
        <v>104</v>
      </c>
      <c r="D1428" t="s">
        <v>343</v>
      </c>
      <c r="E1428">
        <v>1.4999999999999999E-2</v>
      </c>
      <c r="F1428">
        <v>890</v>
      </c>
      <c r="G1428">
        <v>13.35</v>
      </c>
      <c r="T1428" t="s">
        <v>1029</v>
      </c>
      <c r="U1428" t="s">
        <v>1046</v>
      </c>
      <c r="V1428" t="s">
        <v>1051</v>
      </c>
      <c r="W1428">
        <v>70</v>
      </c>
    </row>
    <row r="1429" spans="1:23" x14ac:dyDescent="0.2">
      <c r="A1429" t="s">
        <v>146</v>
      </c>
      <c r="B1429" t="s">
        <v>247</v>
      </c>
      <c r="C1429" t="s">
        <v>121</v>
      </c>
      <c r="D1429" t="s">
        <v>301</v>
      </c>
      <c r="E1429">
        <v>1</v>
      </c>
      <c r="F1429">
        <v>0.95</v>
      </c>
      <c r="G1429">
        <v>0.95</v>
      </c>
      <c r="T1429" t="s">
        <v>1029</v>
      </c>
      <c r="U1429" t="s">
        <v>1047</v>
      </c>
      <c r="V1429" t="s">
        <v>1052</v>
      </c>
      <c r="W1429">
        <v>70</v>
      </c>
    </row>
    <row r="1430" spans="1:23" x14ac:dyDescent="0.2">
      <c r="A1430" t="s">
        <v>146</v>
      </c>
      <c r="B1430" t="s">
        <v>247</v>
      </c>
      <c r="C1430" t="s">
        <v>122</v>
      </c>
      <c r="D1430" t="s">
        <v>302</v>
      </c>
      <c r="E1430">
        <v>1</v>
      </c>
      <c r="F1430">
        <v>4.2</v>
      </c>
      <c r="G1430">
        <v>4.2</v>
      </c>
      <c r="T1430" t="s">
        <v>1029</v>
      </c>
      <c r="U1430" t="s">
        <v>1048</v>
      </c>
      <c r="V1430" t="s">
        <v>1053</v>
      </c>
      <c r="W1430">
        <v>250</v>
      </c>
    </row>
    <row r="1431" spans="1:23" x14ac:dyDescent="0.2">
      <c r="A1431" t="s">
        <v>146</v>
      </c>
      <c r="B1431" t="s">
        <v>247</v>
      </c>
      <c r="C1431" t="s">
        <v>4</v>
      </c>
      <c r="D1431" t="s">
        <v>304</v>
      </c>
      <c r="E1431">
        <v>2.2000000000000002</v>
      </c>
      <c r="F1431">
        <v>10.1</v>
      </c>
      <c r="G1431">
        <v>22.22</v>
      </c>
      <c r="T1431" t="s">
        <v>1029</v>
      </c>
      <c r="U1431" t="s">
        <v>1049</v>
      </c>
      <c r="V1431" t="s">
        <v>1054</v>
      </c>
      <c r="W1431">
        <v>750</v>
      </c>
    </row>
    <row r="1432" spans="1:23" x14ac:dyDescent="0.2">
      <c r="A1432" t="s">
        <v>146</v>
      </c>
      <c r="B1432" t="s">
        <v>247</v>
      </c>
      <c r="C1432" t="s">
        <v>5</v>
      </c>
      <c r="D1432" t="s">
        <v>305</v>
      </c>
      <c r="E1432">
        <v>2.6</v>
      </c>
      <c r="F1432">
        <v>11.5</v>
      </c>
      <c r="G1432">
        <v>29.9</v>
      </c>
      <c r="T1432" t="s">
        <v>1029</v>
      </c>
      <c r="U1432" t="s">
        <v>1050</v>
      </c>
      <c r="V1432" t="s">
        <v>1055</v>
      </c>
      <c r="W1432">
        <v>0</v>
      </c>
    </row>
    <row r="1433" spans="1:23" x14ac:dyDescent="0.2">
      <c r="A1433" t="s">
        <v>146</v>
      </c>
      <c r="B1433" t="s">
        <v>247</v>
      </c>
      <c r="C1433" t="s">
        <v>105</v>
      </c>
      <c r="D1433" t="s">
        <v>313</v>
      </c>
      <c r="E1433">
        <v>20</v>
      </c>
      <c r="F1433">
        <v>0.1</v>
      </c>
      <c r="G1433">
        <v>2</v>
      </c>
      <c r="T1433" t="s">
        <v>1030</v>
      </c>
      <c r="U1433" t="s">
        <v>1042</v>
      </c>
      <c r="V1433" t="s">
        <v>401</v>
      </c>
      <c r="W1433">
        <v>50</v>
      </c>
    </row>
    <row r="1434" spans="1:23" x14ac:dyDescent="0.2">
      <c r="A1434" t="s">
        <v>146</v>
      </c>
      <c r="B1434" t="s">
        <v>247</v>
      </c>
      <c r="C1434" t="s">
        <v>107</v>
      </c>
      <c r="D1434" t="s">
        <v>316</v>
      </c>
      <c r="E1434">
        <v>20</v>
      </c>
      <c r="F1434">
        <v>0.1</v>
      </c>
      <c r="G1434">
        <v>2</v>
      </c>
      <c r="T1434" t="s">
        <v>1030</v>
      </c>
      <c r="U1434" t="s">
        <v>1043</v>
      </c>
      <c r="V1434" t="s">
        <v>272</v>
      </c>
      <c r="W1434">
        <v>390</v>
      </c>
    </row>
    <row r="1435" spans="1:23" x14ac:dyDescent="0.2">
      <c r="A1435" t="s">
        <v>146</v>
      </c>
      <c r="B1435" t="s">
        <v>247</v>
      </c>
      <c r="C1435" t="s">
        <v>120</v>
      </c>
      <c r="D1435" t="s">
        <v>340</v>
      </c>
      <c r="E1435">
        <v>100</v>
      </c>
      <c r="F1435">
        <v>0.1</v>
      </c>
      <c r="G1435">
        <v>10</v>
      </c>
      <c r="T1435" t="s">
        <v>1030</v>
      </c>
      <c r="U1435" t="s">
        <v>1044</v>
      </c>
      <c r="V1435" t="s">
        <v>405</v>
      </c>
      <c r="W1435">
        <v>100</v>
      </c>
    </row>
    <row r="1436" spans="1:23" x14ac:dyDescent="0.2">
      <c r="A1436" t="s">
        <v>147</v>
      </c>
      <c r="B1436" t="s">
        <v>248</v>
      </c>
      <c r="C1436" t="s">
        <v>94</v>
      </c>
      <c r="D1436" t="s">
        <v>280</v>
      </c>
      <c r="E1436">
        <v>1</v>
      </c>
      <c r="F1436">
        <v>3.5</v>
      </c>
      <c r="G1436">
        <v>3.5</v>
      </c>
      <c r="T1436" t="s">
        <v>1030</v>
      </c>
      <c r="U1436" t="s">
        <v>1045</v>
      </c>
      <c r="V1436" t="s">
        <v>402</v>
      </c>
      <c r="W1436">
        <v>60</v>
      </c>
    </row>
    <row r="1437" spans="1:23" x14ac:dyDescent="0.2">
      <c r="A1437" t="s">
        <v>147</v>
      </c>
      <c r="B1437" t="s">
        <v>248</v>
      </c>
      <c r="C1437" t="s">
        <v>95</v>
      </c>
      <c r="D1437" t="s">
        <v>281</v>
      </c>
      <c r="E1437">
        <v>1</v>
      </c>
      <c r="F1437">
        <v>2</v>
      </c>
      <c r="G1437">
        <v>2</v>
      </c>
      <c r="T1437" t="s">
        <v>1030</v>
      </c>
      <c r="U1437" t="s">
        <v>1046</v>
      </c>
      <c r="V1437" t="s">
        <v>1051</v>
      </c>
      <c r="W1437">
        <v>70</v>
      </c>
    </row>
    <row r="1438" spans="1:23" x14ac:dyDescent="0.2">
      <c r="A1438" t="s">
        <v>147</v>
      </c>
      <c r="B1438" t="s">
        <v>248</v>
      </c>
      <c r="C1438" t="s">
        <v>44</v>
      </c>
      <c r="D1438" t="s">
        <v>324</v>
      </c>
      <c r="E1438">
        <v>0.25</v>
      </c>
      <c r="F1438">
        <v>65</v>
      </c>
      <c r="G1438">
        <v>16.25</v>
      </c>
      <c r="T1438" t="s">
        <v>1030</v>
      </c>
      <c r="U1438" t="s">
        <v>1047</v>
      </c>
      <c r="V1438" t="s">
        <v>1052</v>
      </c>
      <c r="W1438">
        <v>70</v>
      </c>
    </row>
    <row r="1439" spans="1:23" x14ac:dyDescent="0.2">
      <c r="A1439" t="s">
        <v>147</v>
      </c>
      <c r="B1439" t="s">
        <v>248</v>
      </c>
      <c r="C1439" t="s">
        <v>53</v>
      </c>
      <c r="D1439" t="s">
        <v>325</v>
      </c>
      <c r="E1439">
        <v>1.2</v>
      </c>
      <c r="F1439">
        <v>120</v>
      </c>
      <c r="G1439">
        <v>144</v>
      </c>
      <c r="T1439" t="s">
        <v>1030</v>
      </c>
      <c r="U1439" t="s">
        <v>1048</v>
      </c>
      <c r="V1439" t="s">
        <v>1053</v>
      </c>
      <c r="W1439">
        <v>250</v>
      </c>
    </row>
    <row r="1440" spans="1:23" x14ac:dyDescent="0.2">
      <c r="A1440" t="s">
        <v>147</v>
      </c>
      <c r="B1440" t="s">
        <v>248</v>
      </c>
      <c r="C1440" t="s">
        <v>60</v>
      </c>
      <c r="D1440" t="s">
        <v>337</v>
      </c>
      <c r="E1440">
        <v>0.2</v>
      </c>
      <c r="F1440">
        <v>130</v>
      </c>
      <c r="G1440">
        <v>26</v>
      </c>
      <c r="T1440" t="s">
        <v>1030</v>
      </c>
      <c r="U1440" t="s">
        <v>1049</v>
      </c>
      <c r="V1440" t="s">
        <v>1054</v>
      </c>
      <c r="W1440">
        <v>750</v>
      </c>
    </row>
    <row r="1441" spans="1:23" x14ac:dyDescent="0.2">
      <c r="A1441" t="s">
        <v>147</v>
      </c>
      <c r="B1441" t="s">
        <v>248</v>
      </c>
      <c r="C1441" t="s">
        <v>61</v>
      </c>
      <c r="D1441" t="s">
        <v>341</v>
      </c>
      <c r="E1441">
        <v>0.2</v>
      </c>
      <c r="F1441">
        <v>190</v>
      </c>
      <c r="G1441">
        <v>38</v>
      </c>
      <c r="T1441" t="s">
        <v>1030</v>
      </c>
      <c r="U1441" t="s">
        <v>1050</v>
      </c>
      <c r="V1441" t="s">
        <v>1055</v>
      </c>
      <c r="W1441">
        <v>0</v>
      </c>
    </row>
    <row r="1442" spans="1:23" x14ac:dyDescent="0.2">
      <c r="A1442" t="s">
        <v>147</v>
      </c>
      <c r="B1442" t="s">
        <v>248</v>
      </c>
      <c r="C1442" t="s">
        <v>63</v>
      </c>
      <c r="D1442" t="s">
        <v>354</v>
      </c>
      <c r="E1442">
        <v>0.65</v>
      </c>
      <c r="F1442">
        <v>190</v>
      </c>
      <c r="G1442">
        <v>123.5</v>
      </c>
      <c r="T1442" t="s">
        <v>1031</v>
      </c>
      <c r="U1442" t="s">
        <v>1042</v>
      </c>
      <c r="V1442" t="s">
        <v>401</v>
      </c>
      <c r="W1442">
        <v>50</v>
      </c>
    </row>
    <row r="1443" spans="1:23" x14ac:dyDescent="0.2">
      <c r="A1443" t="s">
        <v>147</v>
      </c>
      <c r="B1443" t="s">
        <v>248</v>
      </c>
      <c r="C1443" t="s">
        <v>69</v>
      </c>
      <c r="D1443" t="s">
        <v>288</v>
      </c>
      <c r="E1443">
        <v>0.1</v>
      </c>
      <c r="F1443">
        <v>190</v>
      </c>
      <c r="G1443">
        <v>19</v>
      </c>
      <c r="T1443" t="s">
        <v>1031</v>
      </c>
      <c r="U1443" t="s">
        <v>1043</v>
      </c>
      <c r="V1443" t="s">
        <v>272</v>
      </c>
      <c r="W1443">
        <v>700</v>
      </c>
    </row>
    <row r="1444" spans="1:23" x14ac:dyDescent="0.2">
      <c r="A1444" t="s">
        <v>147</v>
      </c>
      <c r="B1444" t="s">
        <v>248</v>
      </c>
      <c r="C1444" t="s">
        <v>93</v>
      </c>
      <c r="D1444" t="s">
        <v>327</v>
      </c>
      <c r="E1444">
        <v>0.15</v>
      </c>
      <c r="F1444">
        <v>70</v>
      </c>
      <c r="G1444">
        <v>10.5</v>
      </c>
      <c r="T1444" t="s">
        <v>1031</v>
      </c>
      <c r="U1444" t="s">
        <v>1044</v>
      </c>
      <c r="V1444" t="s">
        <v>405</v>
      </c>
      <c r="W1444">
        <v>100</v>
      </c>
    </row>
    <row r="1445" spans="1:23" x14ac:dyDescent="0.2">
      <c r="A1445" t="s">
        <v>147</v>
      </c>
      <c r="B1445" t="s">
        <v>248</v>
      </c>
      <c r="C1445" t="s">
        <v>47</v>
      </c>
      <c r="D1445" t="s">
        <v>328</v>
      </c>
      <c r="E1445">
        <v>0.1</v>
      </c>
      <c r="F1445">
        <v>235</v>
      </c>
      <c r="G1445">
        <v>23.5</v>
      </c>
      <c r="T1445" t="s">
        <v>1031</v>
      </c>
      <c r="U1445" t="s">
        <v>1045</v>
      </c>
      <c r="V1445" t="s">
        <v>402</v>
      </c>
      <c r="W1445">
        <v>60</v>
      </c>
    </row>
    <row r="1446" spans="1:23" x14ac:dyDescent="0.2">
      <c r="A1446" t="s">
        <v>147</v>
      </c>
      <c r="B1446" t="s">
        <v>248</v>
      </c>
      <c r="C1446" t="s">
        <v>49</v>
      </c>
      <c r="D1446" t="s">
        <v>290</v>
      </c>
      <c r="E1446">
        <v>7.4999999999999997E-2</v>
      </c>
      <c r="F1446">
        <v>248</v>
      </c>
      <c r="G1446">
        <v>18.600000000000001</v>
      </c>
      <c r="T1446" t="s">
        <v>1031</v>
      </c>
      <c r="U1446" t="s">
        <v>1046</v>
      </c>
      <c r="V1446" t="s">
        <v>1051</v>
      </c>
      <c r="W1446">
        <v>70</v>
      </c>
    </row>
    <row r="1447" spans="1:23" x14ac:dyDescent="0.2">
      <c r="A1447" t="s">
        <v>147</v>
      </c>
      <c r="B1447" t="s">
        <v>248</v>
      </c>
      <c r="C1447" t="s">
        <v>19</v>
      </c>
      <c r="D1447" t="s">
        <v>329</v>
      </c>
      <c r="E1447">
        <v>1</v>
      </c>
      <c r="F1447">
        <v>2.9</v>
      </c>
      <c r="G1447">
        <v>2.9</v>
      </c>
      <c r="T1447" t="s">
        <v>1031</v>
      </c>
      <c r="U1447" t="s">
        <v>1047</v>
      </c>
      <c r="V1447" t="s">
        <v>1052</v>
      </c>
      <c r="W1447">
        <v>70</v>
      </c>
    </row>
    <row r="1448" spans="1:23" x14ac:dyDescent="0.2">
      <c r="A1448" t="s">
        <v>147</v>
      </c>
      <c r="B1448" t="s">
        <v>248</v>
      </c>
      <c r="C1448" t="s">
        <v>20</v>
      </c>
      <c r="D1448" t="s">
        <v>330</v>
      </c>
      <c r="E1448">
        <v>1</v>
      </c>
      <c r="F1448">
        <v>2.9</v>
      </c>
      <c r="G1448">
        <v>2.9</v>
      </c>
      <c r="T1448" t="s">
        <v>1031</v>
      </c>
      <c r="U1448" t="s">
        <v>1048</v>
      </c>
      <c r="V1448" t="s">
        <v>1053</v>
      </c>
      <c r="W1448">
        <v>250</v>
      </c>
    </row>
    <row r="1449" spans="1:23" x14ac:dyDescent="0.2">
      <c r="A1449" t="s">
        <v>147</v>
      </c>
      <c r="B1449" t="s">
        <v>248</v>
      </c>
      <c r="C1449" t="s">
        <v>22</v>
      </c>
      <c r="D1449" t="s">
        <v>331</v>
      </c>
      <c r="E1449">
        <v>2</v>
      </c>
      <c r="F1449">
        <v>2.5</v>
      </c>
      <c r="G1449">
        <v>5</v>
      </c>
      <c r="T1449" t="s">
        <v>1031</v>
      </c>
      <c r="U1449" t="s">
        <v>1049</v>
      </c>
      <c r="V1449" t="s">
        <v>1054</v>
      </c>
      <c r="W1449">
        <v>750</v>
      </c>
    </row>
    <row r="1450" spans="1:23" x14ac:dyDescent="0.2">
      <c r="A1450" t="s">
        <v>147</v>
      </c>
      <c r="B1450" t="s">
        <v>248</v>
      </c>
      <c r="C1450" t="s">
        <v>29</v>
      </c>
      <c r="D1450" t="s">
        <v>292</v>
      </c>
      <c r="E1450">
        <v>0.8</v>
      </c>
      <c r="F1450">
        <v>27</v>
      </c>
      <c r="G1450">
        <v>21.6</v>
      </c>
      <c r="T1450" t="s">
        <v>1031</v>
      </c>
      <c r="U1450" t="s">
        <v>1050</v>
      </c>
      <c r="V1450" t="s">
        <v>1055</v>
      </c>
      <c r="W1450">
        <v>0</v>
      </c>
    </row>
    <row r="1451" spans="1:23" x14ac:dyDescent="0.2">
      <c r="A1451" t="s">
        <v>147</v>
      </c>
      <c r="B1451" t="s">
        <v>248</v>
      </c>
      <c r="C1451" t="s">
        <v>30</v>
      </c>
      <c r="D1451" t="s">
        <v>332</v>
      </c>
      <c r="E1451">
        <v>2</v>
      </c>
      <c r="F1451">
        <v>6</v>
      </c>
      <c r="G1451">
        <v>12</v>
      </c>
      <c r="T1451" t="s">
        <v>1033</v>
      </c>
      <c r="U1451" t="s">
        <v>1042</v>
      </c>
      <c r="V1451" t="s">
        <v>401</v>
      </c>
      <c r="W1451">
        <v>50</v>
      </c>
    </row>
    <row r="1452" spans="1:23" x14ac:dyDescent="0.2">
      <c r="A1452" t="s">
        <v>147</v>
      </c>
      <c r="B1452" t="s">
        <v>248</v>
      </c>
      <c r="C1452" t="s">
        <v>104</v>
      </c>
      <c r="D1452" t="s">
        <v>343</v>
      </c>
      <c r="E1452">
        <v>1.4999999999999999E-2</v>
      </c>
      <c r="F1452">
        <v>890</v>
      </c>
      <c r="G1452">
        <v>13.35</v>
      </c>
      <c r="T1452" t="s">
        <v>1033</v>
      </c>
      <c r="U1452" t="s">
        <v>1043</v>
      </c>
      <c r="V1452" t="s">
        <v>272</v>
      </c>
      <c r="W1452">
        <v>450</v>
      </c>
    </row>
    <row r="1453" spans="1:23" x14ac:dyDescent="0.2">
      <c r="A1453" t="s">
        <v>147</v>
      </c>
      <c r="B1453" t="s">
        <v>248</v>
      </c>
      <c r="C1453" t="s">
        <v>121</v>
      </c>
      <c r="D1453" t="s">
        <v>301</v>
      </c>
      <c r="E1453">
        <v>1</v>
      </c>
      <c r="F1453">
        <v>0.95</v>
      </c>
      <c r="G1453">
        <v>0.95</v>
      </c>
      <c r="T1453" t="s">
        <v>1033</v>
      </c>
      <c r="U1453" t="s">
        <v>1044</v>
      </c>
      <c r="V1453" t="s">
        <v>405</v>
      </c>
      <c r="W1453">
        <v>100</v>
      </c>
    </row>
    <row r="1454" spans="1:23" x14ac:dyDescent="0.2">
      <c r="A1454" t="s">
        <v>147</v>
      </c>
      <c r="B1454" t="s">
        <v>248</v>
      </c>
      <c r="C1454" t="s">
        <v>122</v>
      </c>
      <c r="D1454" t="s">
        <v>302</v>
      </c>
      <c r="E1454">
        <v>1</v>
      </c>
      <c r="F1454">
        <v>4.2</v>
      </c>
      <c r="G1454">
        <v>4.2</v>
      </c>
      <c r="T1454" t="s">
        <v>1033</v>
      </c>
      <c r="U1454" t="s">
        <v>1045</v>
      </c>
      <c r="V1454" t="s">
        <v>402</v>
      </c>
      <c r="W1454">
        <v>60</v>
      </c>
    </row>
    <row r="1455" spans="1:23" x14ac:dyDescent="0.2">
      <c r="A1455" t="s">
        <v>147</v>
      </c>
      <c r="B1455" t="s">
        <v>248</v>
      </c>
      <c r="C1455" t="s">
        <v>4</v>
      </c>
      <c r="D1455" t="s">
        <v>304</v>
      </c>
      <c r="E1455">
        <v>2.2000000000000002</v>
      </c>
      <c r="F1455">
        <v>10.1</v>
      </c>
      <c r="G1455">
        <v>22.22</v>
      </c>
      <c r="T1455" t="s">
        <v>1033</v>
      </c>
      <c r="U1455" t="s">
        <v>1046</v>
      </c>
      <c r="V1455" t="s">
        <v>1051</v>
      </c>
      <c r="W1455">
        <v>70</v>
      </c>
    </row>
    <row r="1456" spans="1:23" x14ac:dyDescent="0.2">
      <c r="A1456" t="s">
        <v>147</v>
      </c>
      <c r="B1456" t="s">
        <v>248</v>
      </c>
      <c r="C1456" t="s">
        <v>5</v>
      </c>
      <c r="D1456" t="s">
        <v>305</v>
      </c>
      <c r="E1456">
        <v>2.6</v>
      </c>
      <c r="F1456">
        <v>11.5</v>
      </c>
      <c r="G1456">
        <v>29.9</v>
      </c>
      <c r="T1456" t="s">
        <v>1033</v>
      </c>
      <c r="U1456" t="s">
        <v>1047</v>
      </c>
      <c r="V1456" t="s">
        <v>1052</v>
      </c>
      <c r="W1456">
        <v>70</v>
      </c>
    </row>
    <row r="1457" spans="1:23" x14ac:dyDescent="0.2">
      <c r="A1457" t="s">
        <v>147</v>
      </c>
      <c r="B1457" t="s">
        <v>248</v>
      </c>
      <c r="C1457" t="s">
        <v>105</v>
      </c>
      <c r="D1457" t="s">
        <v>313</v>
      </c>
      <c r="E1457">
        <v>20</v>
      </c>
      <c r="F1457">
        <v>0.1</v>
      </c>
      <c r="G1457">
        <v>2</v>
      </c>
      <c r="T1457" t="s">
        <v>1033</v>
      </c>
      <c r="U1457" t="s">
        <v>1048</v>
      </c>
      <c r="V1457" t="s">
        <v>1053</v>
      </c>
      <c r="W1457">
        <v>250</v>
      </c>
    </row>
    <row r="1458" spans="1:23" x14ac:dyDescent="0.2">
      <c r="A1458" t="s">
        <v>147</v>
      </c>
      <c r="B1458" t="s">
        <v>248</v>
      </c>
      <c r="C1458" t="s">
        <v>107</v>
      </c>
      <c r="D1458" t="s">
        <v>316</v>
      </c>
      <c r="E1458">
        <v>20</v>
      </c>
      <c r="F1458">
        <v>0.1</v>
      </c>
      <c r="G1458">
        <v>2</v>
      </c>
      <c r="T1458" t="s">
        <v>1033</v>
      </c>
      <c r="U1458" t="s">
        <v>1049</v>
      </c>
      <c r="V1458" t="s">
        <v>1054</v>
      </c>
      <c r="W1458">
        <v>750</v>
      </c>
    </row>
    <row r="1459" spans="1:23" x14ac:dyDescent="0.2">
      <c r="A1459" t="s">
        <v>147</v>
      </c>
      <c r="B1459" t="s">
        <v>248</v>
      </c>
      <c r="C1459" t="s">
        <v>119</v>
      </c>
      <c r="D1459" t="s">
        <v>334</v>
      </c>
      <c r="E1459">
        <v>100</v>
      </c>
      <c r="F1459">
        <v>0.1</v>
      </c>
      <c r="G1459">
        <v>10</v>
      </c>
      <c r="T1459" t="s">
        <v>1033</v>
      </c>
      <c r="U1459" t="s">
        <v>1050</v>
      </c>
      <c r="V1459" t="s">
        <v>1055</v>
      </c>
      <c r="W1459">
        <v>0</v>
      </c>
    </row>
    <row r="1460" spans="1:23" x14ac:dyDescent="0.2">
      <c r="A1460" t="s">
        <v>145</v>
      </c>
      <c r="B1460" t="s">
        <v>252</v>
      </c>
      <c r="C1460" t="s">
        <v>94</v>
      </c>
      <c r="D1460" t="s">
        <v>280</v>
      </c>
      <c r="E1460">
        <v>1</v>
      </c>
      <c r="F1460">
        <v>3.5</v>
      </c>
      <c r="G1460">
        <v>3.5</v>
      </c>
    </row>
    <row r="1461" spans="1:23" x14ac:dyDescent="0.2">
      <c r="A1461" t="s">
        <v>145</v>
      </c>
      <c r="B1461" t="s">
        <v>252</v>
      </c>
      <c r="C1461" t="s">
        <v>95</v>
      </c>
      <c r="D1461" t="s">
        <v>281</v>
      </c>
      <c r="E1461">
        <v>1</v>
      </c>
      <c r="F1461">
        <v>2</v>
      </c>
      <c r="G1461">
        <v>2</v>
      </c>
    </row>
    <row r="1462" spans="1:23" x14ac:dyDescent="0.2">
      <c r="A1462" t="s">
        <v>145</v>
      </c>
      <c r="B1462" t="s">
        <v>252</v>
      </c>
      <c r="C1462" t="s">
        <v>44</v>
      </c>
      <c r="D1462" t="s">
        <v>324</v>
      </c>
      <c r="E1462">
        <v>0.25</v>
      </c>
      <c r="F1462">
        <v>65</v>
      </c>
      <c r="G1462">
        <v>16.25</v>
      </c>
    </row>
    <row r="1463" spans="1:23" x14ac:dyDescent="0.2">
      <c r="A1463" t="s">
        <v>145</v>
      </c>
      <c r="B1463" t="s">
        <v>252</v>
      </c>
      <c r="C1463" t="s">
        <v>53</v>
      </c>
      <c r="D1463" t="s">
        <v>325</v>
      </c>
      <c r="E1463">
        <v>1.2</v>
      </c>
      <c r="F1463">
        <v>120</v>
      </c>
      <c r="G1463">
        <v>144</v>
      </c>
    </row>
    <row r="1464" spans="1:23" x14ac:dyDescent="0.2">
      <c r="A1464" t="s">
        <v>145</v>
      </c>
      <c r="B1464" t="s">
        <v>252</v>
      </c>
      <c r="C1464" t="s">
        <v>60</v>
      </c>
      <c r="D1464" t="s">
        <v>337</v>
      </c>
      <c r="E1464">
        <v>0.2</v>
      </c>
      <c r="F1464">
        <v>130</v>
      </c>
      <c r="G1464">
        <v>26</v>
      </c>
    </row>
    <row r="1465" spans="1:23" x14ac:dyDescent="0.2">
      <c r="A1465" t="s">
        <v>145</v>
      </c>
      <c r="B1465" t="s">
        <v>252</v>
      </c>
      <c r="C1465" t="s">
        <v>61</v>
      </c>
      <c r="D1465" t="s">
        <v>341</v>
      </c>
      <c r="E1465">
        <v>0.2</v>
      </c>
      <c r="F1465">
        <v>190</v>
      </c>
      <c r="G1465">
        <v>38</v>
      </c>
    </row>
    <row r="1466" spans="1:23" x14ac:dyDescent="0.2">
      <c r="A1466" t="s">
        <v>145</v>
      </c>
      <c r="B1466" t="s">
        <v>252</v>
      </c>
      <c r="C1466" t="s">
        <v>67</v>
      </c>
      <c r="D1466" t="s">
        <v>355</v>
      </c>
      <c r="E1466">
        <v>0.65</v>
      </c>
      <c r="F1466">
        <v>190</v>
      </c>
      <c r="G1466">
        <v>123.5</v>
      </c>
    </row>
    <row r="1467" spans="1:23" x14ac:dyDescent="0.2">
      <c r="A1467" t="s">
        <v>145</v>
      </c>
      <c r="B1467" t="s">
        <v>252</v>
      </c>
      <c r="C1467" t="s">
        <v>69</v>
      </c>
      <c r="D1467" t="s">
        <v>288</v>
      </c>
      <c r="E1467">
        <v>0.1</v>
      </c>
      <c r="F1467">
        <v>190</v>
      </c>
      <c r="G1467">
        <v>19</v>
      </c>
    </row>
    <row r="1468" spans="1:23" x14ac:dyDescent="0.2">
      <c r="A1468" t="s">
        <v>145</v>
      </c>
      <c r="B1468" t="s">
        <v>252</v>
      </c>
      <c r="C1468" t="s">
        <v>93</v>
      </c>
      <c r="D1468" t="s">
        <v>327</v>
      </c>
      <c r="E1468">
        <v>0.15</v>
      </c>
      <c r="F1468">
        <v>70</v>
      </c>
      <c r="G1468">
        <v>10.5</v>
      </c>
    </row>
    <row r="1469" spans="1:23" x14ac:dyDescent="0.2">
      <c r="A1469" t="s">
        <v>145</v>
      </c>
      <c r="B1469" t="s">
        <v>252</v>
      </c>
      <c r="C1469" t="s">
        <v>47</v>
      </c>
      <c r="D1469" t="s">
        <v>328</v>
      </c>
      <c r="E1469">
        <v>0.1</v>
      </c>
      <c r="F1469">
        <v>235</v>
      </c>
      <c r="G1469">
        <v>23.5</v>
      </c>
    </row>
    <row r="1470" spans="1:23" x14ac:dyDescent="0.2">
      <c r="A1470" t="s">
        <v>145</v>
      </c>
      <c r="B1470" t="s">
        <v>252</v>
      </c>
      <c r="C1470" t="s">
        <v>49</v>
      </c>
      <c r="D1470" t="s">
        <v>290</v>
      </c>
      <c r="E1470">
        <v>7.4999999999999997E-2</v>
      </c>
      <c r="F1470">
        <v>248</v>
      </c>
      <c r="G1470">
        <v>18.600000000000001</v>
      </c>
    </row>
    <row r="1471" spans="1:23" x14ac:dyDescent="0.2">
      <c r="A1471" t="s">
        <v>145</v>
      </c>
      <c r="B1471" t="s">
        <v>252</v>
      </c>
      <c r="C1471" t="s">
        <v>19</v>
      </c>
      <c r="D1471" t="s">
        <v>329</v>
      </c>
      <c r="E1471">
        <v>1</v>
      </c>
      <c r="F1471">
        <v>2.9</v>
      </c>
      <c r="G1471">
        <v>2.9</v>
      </c>
    </row>
    <row r="1472" spans="1:23" x14ac:dyDescent="0.2">
      <c r="A1472" t="s">
        <v>145</v>
      </c>
      <c r="B1472" t="s">
        <v>252</v>
      </c>
      <c r="C1472" t="s">
        <v>20</v>
      </c>
      <c r="D1472" t="s">
        <v>330</v>
      </c>
      <c r="E1472">
        <v>1</v>
      </c>
      <c r="F1472">
        <v>2.9</v>
      </c>
      <c r="G1472">
        <v>2.9</v>
      </c>
    </row>
    <row r="1473" spans="1:7" x14ac:dyDescent="0.2">
      <c r="A1473" t="s">
        <v>145</v>
      </c>
      <c r="B1473" t="s">
        <v>252</v>
      </c>
      <c r="C1473" t="s">
        <v>22</v>
      </c>
      <c r="D1473" t="s">
        <v>331</v>
      </c>
      <c r="E1473">
        <v>2</v>
      </c>
      <c r="F1473">
        <v>2.5</v>
      </c>
      <c r="G1473">
        <v>5</v>
      </c>
    </row>
    <row r="1474" spans="1:7" x14ac:dyDescent="0.2">
      <c r="A1474" t="s">
        <v>145</v>
      </c>
      <c r="B1474" t="s">
        <v>252</v>
      </c>
      <c r="C1474" t="s">
        <v>29</v>
      </c>
      <c r="D1474" t="s">
        <v>292</v>
      </c>
      <c r="E1474">
        <v>0.8</v>
      </c>
      <c r="F1474">
        <v>27</v>
      </c>
      <c r="G1474">
        <v>21.6</v>
      </c>
    </row>
    <row r="1475" spans="1:7" x14ac:dyDescent="0.2">
      <c r="A1475" t="s">
        <v>145</v>
      </c>
      <c r="B1475" t="s">
        <v>252</v>
      </c>
      <c r="C1475" t="s">
        <v>30</v>
      </c>
      <c r="D1475" t="s">
        <v>332</v>
      </c>
      <c r="E1475">
        <v>2</v>
      </c>
      <c r="F1475">
        <v>6</v>
      </c>
      <c r="G1475">
        <v>12</v>
      </c>
    </row>
    <row r="1476" spans="1:7" x14ac:dyDescent="0.2">
      <c r="A1476" t="s">
        <v>145</v>
      </c>
      <c r="B1476" t="s">
        <v>252</v>
      </c>
      <c r="C1476" t="s">
        <v>104</v>
      </c>
      <c r="D1476" t="s">
        <v>343</v>
      </c>
      <c r="E1476">
        <v>1.4999999999999999E-2</v>
      </c>
      <c r="F1476">
        <v>890</v>
      </c>
      <c r="G1476">
        <v>13.35</v>
      </c>
    </row>
    <row r="1477" spans="1:7" x14ac:dyDescent="0.2">
      <c r="A1477" t="s">
        <v>145</v>
      </c>
      <c r="B1477" t="s">
        <v>252</v>
      </c>
      <c r="C1477" t="s">
        <v>121</v>
      </c>
      <c r="D1477" t="s">
        <v>301</v>
      </c>
      <c r="E1477">
        <v>1</v>
      </c>
      <c r="F1477">
        <v>0.95</v>
      </c>
      <c r="G1477">
        <v>0.95</v>
      </c>
    </row>
    <row r="1478" spans="1:7" x14ac:dyDescent="0.2">
      <c r="A1478" t="s">
        <v>145</v>
      </c>
      <c r="B1478" t="s">
        <v>252</v>
      </c>
      <c r="C1478" t="s">
        <v>122</v>
      </c>
      <c r="D1478" t="s">
        <v>302</v>
      </c>
      <c r="E1478">
        <v>1</v>
      </c>
      <c r="F1478">
        <v>4.2</v>
      </c>
      <c r="G1478">
        <v>4.2</v>
      </c>
    </row>
    <row r="1479" spans="1:7" x14ac:dyDescent="0.2">
      <c r="A1479" t="s">
        <v>145</v>
      </c>
      <c r="B1479" t="s">
        <v>252</v>
      </c>
      <c r="C1479" t="s">
        <v>4</v>
      </c>
      <c r="D1479" t="s">
        <v>304</v>
      </c>
      <c r="E1479">
        <v>2.2000000000000002</v>
      </c>
      <c r="F1479">
        <v>10.1</v>
      </c>
      <c r="G1479">
        <v>22.22</v>
      </c>
    </row>
    <row r="1480" spans="1:7" x14ac:dyDescent="0.2">
      <c r="A1480" t="s">
        <v>145</v>
      </c>
      <c r="B1480" t="s">
        <v>252</v>
      </c>
      <c r="C1480" t="s">
        <v>5</v>
      </c>
      <c r="D1480" t="s">
        <v>305</v>
      </c>
      <c r="E1480">
        <v>2.6</v>
      </c>
      <c r="F1480">
        <v>11.5</v>
      </c>
      <c r="G1480">
        <v>29.9</v>
      </c>
    </row>
    <row r="1481" spans="1:7" x14ac:dyDescent="0.2">
      <c r="A1481" t="s">
        <v>145</v>
      </c>
      <c r="B1481" t="s">
        <v>252</v>
      </c>
      <c r="C1481" t="s">
        <v>105</v>
      </c>
      <c r="D1481" t="s">
        <v>313</v>
      </c>
      <c r="E1481">
        <v>20</v>
      </c>
      <c r="F1481">
        <v>0.1</v>
      </c>
      <c r="G1481">
        <v>2</v>
      </c>
    </row>
    <row r="1482" spans="1:7" x14ac:dyDescent="0.2">
      <c r="A1482" t="s">
        <v>145</v>
      </c>
      <c r="B1482" t="s">
        <v>252</v>
      </c>
      <c r="C1482" t="s">
        <v>107</v>
      </c>
      <c r="D1482" t="s">
        <v>316</v>
      </c>
      <c r="E1482">
        <v>20</v>
      </c>
      <c r="F1482">
        <v>0.1</v>
      </c>
      <c r="G1482">
        <v>2</v>
      </c>
    </row>
    <row r="1483" spans="1:7" x14ac:dyDescent="0.2">
      <c r="A1483" t="s">
        <v>145</v>
      </c>
      <c r="B1483" t="s">
        <v>252</v>
      </c>
      <c r="C1483" t="s">
        <v>118</v>
      </c>
      <c r="D1483" t="s">
        <v>356</v>
      </c>
      <c r="E1483">
        <v>100</v>
      </c>
      <c r="F1483">
        <v>0.1</v>
      </c>
      <c r="G1483">
        <v>10</v>
      </c>
    </row>
    <row r="1484" spans="1:7" x14ac:dyDescent="0.2">
      <c r="A1484" t="s">
        <v>133</v>
      </c>
      <c r="B1484" t="s">
        <v>238</v>
      </c>
      <c r="C1484" t="s">
        <v>94</v>
      </c>
      <c r="D1484" t="s">
        <v>280</v>
      </c>
      <c r="E1484">
        <v>1</v>
      </c>
      <c r="F1484">
        <v>3.5</v>
      </c>
      <c r="G1484">
        <v>3.5</v>
      </c>
    </row>
    <row r="1485" spans="1:7" x14ac:dyDescent="0.2">
      <c r="A1485" t="s">
        <v>133</v>
      </c>
      <c r="B1485" t="s">
        <v>238</v>
      </c>
      <c r="C1485" t="s">
        <v>95</v>
      </c>
      <c r="D1485" t="s">
        <v>281</v>
      </c>
      <c r="E1485">
        <v>2</v>
      </c>
      <c r="F1485">
        <v>2</v>
      </c>
      <c r="G1485">
        <v>4</v>
      </c>
    </row>
    <row r="1486" spans="1:7" x14ac:dyDescent="0.2">
      <c r="A1486" t="s">
        <v>133</v>
      </c>
      <c r="B1486" t="s">
        <v>238</v>
      </c>
      <c r="C1486" t="s">
        <v>44</v>
      </c>
      <c r="D1486" t="s">
        <v>324</v>
      </c>
      <c r="E1486">
        <v>0.25</v>
      </c>
      <c r="F1486">
        <v>65</v>
      </c>
      <c r="G1486">
        <v>16.25</v>
      </c>
    </row>
    <row r="1487" spans="1:7" x14ac:dyDescent="0.2">
      <c r="A1487" t="s">
        <v>133</v>
      </c>
      <c r="B1487" t="s">
        <v>238</v>
      </c>
      <c r="C1487" t="s">
        <v>50</v>
      </c>
      <c r="D1487" t="s">
        <v>357</v>
      </c>
      <c r="E1487">
        <v>0.25</v>
      </c>
      <c r="F1487">
        <v>151</v>
      </c>
      <c r="G1487">
        <v>37.75</v>
      </c>
    </row>
    <row r="1488" spans="1:7" x14ac:dyDescent="0.2">
      <c r="A1488" t="s">
        <v>133</v>
      </c>
      <c r="B1488" t="s">
        <v>238</v>
      </c>
      <c r="C1488" t="s">
        <v>54</v>
      </c>
      <c r="D1488" t="s">
        <v>358</v>
      </c>
      <c r="E1488">
        <v>1.35</v>
      </c>
      <c r="F1488">
        <v>120</v>
      </c>
      <c r="G1488">
        <v>162</v>
      </c>
    </row>
    <row r="1489" spans="1:7" x14ac:dyDescent="0.2">
      <c r="A1489" t="s">
        <v>133</v>
      </c>
      <c r="B1489" t="s">
        <v>238</v>
      </c>
      <c r="C1489" t="s">
        <v>60</v>
      </c>
      <c r="D1489" t="s">
        <v>337</v>
      </c>
      <c r="E1489">
        <v>0.02</v>
      </c>
      <c r="F1489">
        <v>130</v>
      </c>
      <c r="G1489">
        <v>2.6</v>
      </c>
    </row>
    <row r="1490" spans="1:7" x14ac:dyDescent="0.2">
      <c r="A1490" t="s">
        <v>133</v>
      </c>
      <c r="B1490" t="s">
        <v>238</v>
      </c>
      <c r="C1490" t="s">
        <v>61</v>
      </c>
      <c r="D1490" t="s">
        <v>341</v>
      </c>
      <c r="E1490">
        <v>1</v>
      </c>
      <c r="F1490">
        <v>190</v>
      </c>
      <c r="G1490">
        <v>190</v>
      </c>
    </row>
    <row r="1491" spans="1:7" x14ac:dyDescent="0.2">
      <c r="A1491" t="s">
        <v>133</v>
      </c>
      <c r="B1491" t="s">
        <v>238</v>
      </c>
      <c r="C1491" t="s">
        <v>69</v>
      </c>
      <c r="D1491" t="s">
        <v>288</v>
      </c>
      <c r="E1491">
        <v>0.25</v>
      </c>
      <c r="F1491">
        <v>190</v>
      </c>
      <c r="G1491">
        <v>47.5</v>
      </c>
    </row>
    <row r="1492" spans="1:7" x14ac:dyDescent="0.2">
      <c r="A1492" t="s">
        <v>133</v>
      </c>
      <c r="B1492" t="s">
        <v>238</v>
      </c>
      <c r="C1492" t="s">
        <v>93</v>
      </c>
      <c r="D1492" t="s">
        <v>327</v>
      </c>
      <c r="E1492">
        <v>0.21</v>
      </c>
      <c r="F1492">
        <v>70</v>
      </c>
      <c r="G1492">
        <v>14.7</v>
      </c>
    </row>
    <row r="1493" spans="1:7" x14ac:dyDescent="0.2">
      <c r="A1493" t="s">
        <v>133</v>
      </c>
      <c r="B1493" t="s">
        <v>238</v>
      </c>
      <c r="C1493" t="s">
        <v>47</v>
      </c>
      <c r="D1493" t="s">
        <v>328</v>
      </c>
      <c r="E1493">
        <v>0.15</v>
      </c>
      <c r="F1493">
        <v>235</v>
      </c>
      <c r="G1493">
        <v>35.25</v>
      </c>
    </row>
    <row r="1494" spans="1:7" x14ac:dyDescent="0.2">
      <c r="A1494" t="s">
        <v>133</v>
      </c>
      <c r="B1494" t="s">
        <v>238</v>
      </c>
      <c r="C1494" t="s">
        <v>48</v>
      </c>
      <c r="D1494" t="s">
        <v>359</v>
      </c>
      <c r="E1494">
        <v>7.4999999999999997E-2</v>
      </c>
      <c r="F1494">
        <v>412</v>
      </c>
      <c r="G1494">
        <v>30.9</v>
      </c>
    </row>
    <row r="1495" spans="1:7" x14ac:dyDescent="0.2">
      <c r="A1495" t="s">
        <v>133</v>
      </c>
      <c r="B1495" t="s">
        <v>238</v>
      </c>
      <c r="C1495" t="s">
        <v>19</v>
      </c>
      <c r="D1495" t="s">
        <v>329</v>
      </c>
      <c r="E1495">
        <v>3</v>
      </c>
      <c r="F1495">
        <v>2.9</v>
      </c>
      <c r="G1495">
        <v>8.6999999999999993</v>
      </c>
    </row>
    <row r="1496" spans="1:7" x14ac:dyDescent="0.2">
      <c r="A1496" t="s">
        <v>133</v>
      </c>
      <c r="B1496" t="s">
        <v>238</v>
      </c>
      <c r="C1496" t="s">
        <v>20</v>
      </c>
      <c r="D1496" t="s">
        <v>330</v>
      </c>
      <c r="E1496">
        <v>3</v>
      </c>
      <c r="F1496">
        <v>2.9</v>
      </c>
      <c r="G1496">
        <v>8.6999999999999993</v>
      </c>
    </row>
    <row r="1497" spans="1:7" x14ac:dyDescent="0.2">
      <c r="A1497" t="s">
        <v>133</v>
      </c>
      <c r="B1497" t="s">
        <v>238</v>
      </c>
      <c r="C1497" t="s">
        <v>24</v>
      </c>
      <c r="D1497" t="s">
        <v>360</v>
      </c>
      <c r="E1497">
        <v>2</v>
      </c>
      <c r="F1497">
        <v>2.2000000000000002</v>
      </c>
      <c r="G1497">
        <v>4.4000000000000004</v>
      </c>
    </row>
    <row r="1498" spans="1:7" x14ac:dyDescent="0.2">
      <c r="A1498" t="s">
        <v>133</v>
      </c>
      <c r="B1498" t="s">
        <v>238</v>
      </c>
      <c r="C1498" t="s">
        <v>26</v>
      </c>
      <c r="D1498" t="s">
        <v>361</v>
      </c>
      <c r="E1498">
        <v>4</v>
      </c>
      <c r="F1498">
        <v>1.5</v>
      </c>
      <c r="G1498">
        <v>6</v>
      </c>
    </row>
    <row r="1499" spans="1:7" x14ac:dyDescent="0.2">
      <c r="A1499" t="s">
        <v>133</v>
      </c>
      <c r="B1499" t="s">
        <v>238</v>
      </c>
      <c r="C1499" t="s">
        <v>29</v>
      </c>
      <c r="D1499" t="s">
        <v>292</v>
      </c>
      <c r="E1499">
        <v>0.8</v>
      </c>
      <c r="F1499">
        <v>27</v>
      </c>
      <c r="G1499">
        <v>21.6</v>
      </c>
    </row>
    <row r="1500" spans="1:7" x14ac:dyDescent="0.2">
      <c r="A1500" t="s">
        <v>133</v>
      </c>
      <c r="B1500" t="s">
        <v>238</v>
      </c>
      <c r="C1500" t="s">
        <v>30</v>
      </c>
      <c r="D1500" t="s">
        <v>332</v>
      </c>
      <c r="E1500">
        <v>2</v>
      </c>
      <c r="F1500">
        <v>6</v>
      </c>
      <c r="G1500">
        <v>12</v>
      </c>
    </row>
    <row r="1501" spans="1:7" x14ac:dyDescent="0.2">
      <c r="A1501" t="s">
        <v>133</v>
      </c>
      <c r="B1501" t="s">
        <v>238</v>
      </c>
      <c r="C1501" t="s">
        <v>104</v>
      </c>
      <c r="D1501" t="s">
        <v>343</v>
      </c>
      <c r="E1501">
        <v>1.4999999999999999E-2</v>
      </c>
      <c r="F1501">
        <v>890</v>
      </c>
      <c r="G1501">
        <v>13.35</v>
      </c>
    </row>
    <row r="1502" spans="1:7" x14ac:dyDescent="0.2">
      <c r="A1502" t="s">
        <v>133</v>
      </c>
      <c r="B1502" t="s">
        <v>238</v>
      </c>
      <c r="C1502" t="s">
        <v>121</v>
      </c>
      <c r="D1502" t="s">
        <v>301</v>
      </c>
      <c r="E1502">
        <v>1</v>
      </c>
      <c r="F1502">
        <v>0.95</v>
      </c>
      <c r="G1502">
        <v>0.95</v>
      </c>
    </row>
    <row r="1503" spans="1:7" x14ac:dyDescent="0.2">
      <c r="A1503" t="s">
        <v>133</v>
      </c>
      <c r="B1503" t="s">
        <v>238</v>
      </c>
      <c r="C1503" t="s">
        <v>122</v>
      </c>
      <c r="D1503" t="s">
        <v>302</v>
      </c>
      <c r="E1503">
        <v>1</v>
      </c>
      <c r="F1503">
        <v>4.2</v>
      </c>
      <c r="G1503">
        <v>4.2</v>
      </c>
    </row>
    <row r="1504" spans="1:7" x14ac:dyDescent="0.2">
      <c r="A1504" t="s">
        <v>133</v>
      </c>
      <c r="B1504" t="s">
        <v>238</v>
      </c>
      <c r="C1504" t="s">
        <v>4</v>
      </c>
      <c r="D1504" t="s">
        <v>304</v>
      </c>
      <c r="E1504">
        <v>5.7</v>
      </c>
      <c r="F1504">
        <v>10.1</v>
      </c>
      <c r="G1504">
        <v>57.57</v>
      </c>
    </row>
    <row r="1505" spans="1:7" x14ac:dyDescent="0.2">
      <c r="A1505" t="s">
        <v>133</v>
      </c>
      <c r="B1505" t="s">
        <v>238</v>
      </c>
      <c r="C1505" t="s">
        <v>5</v>
      </c>
      <c r="D1505" t="s">
        <v>305</v>
      </c>
      <c r="E1505">
        <v>2.5</v>
      </c>
      <c r="F1505">
        <v>11.5</v>
      </c>
      <c r="G1505">
        <v>28.75</v>
      </c>
    </row>
    <row r="1506" spans="1:7" x14ac:dyDescent="0.2">
      <c r="A1506" t="s">
        <v>133</v>
      </c>
      <c r="B1506" t="s">
        <v>238</v>
      </c>
      <c r="C1506" t="s">
        <v>6</v>
      </c>
      <c r="D1506" t="s">
        <v>306</v>
      </c>
      <c r="E1506">
        <v>0.8</v>
      </c>
      <c r="F1506">
        <v>16.8</v>
      </c>
      <c r="G1506">
        <v>13.44</v>
      </c>
    </row>
    <row r="1507" spans="1:7" x14ac:dyDescent="0.2">
      <c r="A1507" t="s">
        <v>133</v>
      </c>
      <c r="B1507" t="s">
        <v>238</v>
      </c>
      <c r="C1507" t="s">
        <v>13</v>
      </c>
      <c r="D1507" t="s">
        <v>309</v>
      </c>
      <c r="E1507">
        <v>0.45</v>
      </c>
      <c r="F1507">
        <v>7</v>
      </c>
      <c r="G1507">
        <v>3.15</v>
      </c>
    </row>
    <row r="1508" spans="1:7" x14ac:dyDescent="0.2">
      <c r="A1508" t="s">
        <v>133</v>
      </c>
      <c r="B1508" t="s">
        <v>238</v>
      </c>
      <c r="C1508" t="s">
        <v>105</v>
      </c>
      <c r="D1508" t="s">
        <v>313</v>
      </c>
      <c r="E1508">
        <v>250</v>
      </c>
      <c r="F1508">
        <v>0.1</v>
      </c>
      <c r="G1508">
        <v>25</v>
      </c>
    </row>
    <row r="1509" spans="1:7" x14ac:dyDescent="0.2">
      <c r="A1509" t="s">
        <v>133</v>
      </c>
      <c r="B1509" t="s">
        <v>238</v>
      </c>
      <c r="C1509" t="s">
        <v>112</v>
      </c>
      <c r="D1509" t="s">
        <v>362</v>
      </c>
      <c r="E1509">
        <v>40</v>
      </c>
      <c r="F1509">
        <v>0.1</v>
      </c>
      <c r="G1509">
        <v>4</v>
      </c>
    </row>
    <row r="1510" spans="1:7" x14ac:dyDescent="0.2">
      <c r="A1510" t="s">
        <v>134</v>
      </c>
      <c r="B1510" t="s">
        <v>985</v>
      </c>
      <c r="C1510" t="s">
        <v>94</v>
      </c>
      <c r="D1510" t="s">
        <v>280</v>
      </c>
      <c r="E1510">
        <v>1</v>
      </c>
      <c r="F1510">
        <v>3.5</v>
      </c>
      <c r="G1510">
        <v>3.5</v>
      </c>
    </row>
    <row r="1511" spans="1:7" x14ac:dyDescent="0.2">
      <c r="A1511" t="s">
        <v>134</v>
      </c>
      <c r="B1511" t="s">
        <v>985</v>
      </c>
      <c r="C1511" t="s">
        <v>95</v>
      </c>
      <c r="D1511" t="s">
        <v>281</v>
      </c>
      <c r="E1511">
        <v>2</v>
      </c>
      <c r="F1511">
        <v>2</v>
      </c>
      <c r="G1511">
        <v>4</v>
      </c>
    </row>
    <row r="1512" spans="1:7" x14ac:dyDescent="0.2">
      <c r="A1512" t="s">
        <v>134</v>
      </c>
      <c r="B1512" t="s">
        <v>985</v>
      </c>
      <c r="C1512" t="s">
        <v>44</v>
      </c>
      <c r="D1512" t="s">
        <v>324</v>
      </c>
      <c r="E1512">
        <v>0.25</v>
      </c>
      <c r="F1512">
        <v>65</v>
      </c>
      <c r="G1512">
        <v>16.25</v>
      </c>
    </row>
    <row r="1513" spans="1:7" x14ac:dyDescent="0.2">
      <c r="A1513" t="s">
        <v>134</v>
      </c>
      <c r="B1513" t="s">
        <v>985</v>
      </c>
      <c r="C1513" t="s">
        <v>50</v>
      </c>
      <c r="D1513" t="s">
        <v>357</v>
      </c>
      <c r="E1513">
        <v>0.25</v>
      </c>
      <c r="F1513">
        <v>151</v>
      </c>
      <c r="G1513">
        <v>37.75</v>
      </c>
    </row>
    <row r="1514" spans="1:7" x14ac:dyDescent="0.2">
      <c r="A1514" t="s">
        <v>134</v>
      </c>
      <c r="B1514" t="s">
        <v>985</v>
      </c>
      <c r="C1514" t="s">
        <v>54</v>
      </c>
      <c r="D1514" t="s">
        <v>358</v>
      </c>
      <c r="E1514">
        <v>1.35</v>
      </c>
      <c r="F1514">
        <v>120</v>
      </c>
      <c r="G1514">
        <v>162</v>
      </c>
    </row>
    <row r="1515" spans="1:7" x14ac:dyDescent="0.2">
      <c r="A1515" t="s">
        <v>134</v>
      </c>
      <c r="B1515" t="s">
        <v>985</v>
      </c>
      <c r="C1515" t="s">
        <v>60</v>
      </c>
      <c r="D1515" t="s">
        <v>337</v>
      </c>
      <c r="E1515">
        <v>0.02</v>
      </c>
      <c r="F1515">
        <v>130</v>
      </c>
      <c r="G1515">
        <v>2.6</v>
      </c>
    </row>
    <row r="1516" spans="1:7" x14ac:dyDescent="0.2">
      <c r="A1516" t="s">
        <v>134</v>
      </c>
      <c r="B1516" t="s">
        <v>985</v>
      </c>
      <c r="C1516" t="s">
        <v>61</v>
      </c>
      <c r="D1516" t="s">
        <v>341</v>
      </c>
      <c r="E1516">
        <v>0.2</v>
      </c>
      <c r="F1516">
        <v>190</v>
      </c>
      <c r="G1516">
        <v>38</v>
      </c>
    </row>
    <row r="1517" spans="1:7" x14ac:dyDescent="0.2">
      <c r="A1517" t="s">
        <v>134</v>
      </c>
      <c r="B1517" t="s">
        <v>985</v>
      </c>
      <c r="C1517" t="s">
        <v>66</v>
      </c>
      <c r="D1517" t="s">
        <v>353</v>
      </c>
      <c r="E1517">
        <v>0.8</v>
      </c>
      <c r="F1517">
        <v>190</v>
      </c>
      <c r="G1517">
        <v>152</v>
      </c>
    </row>
    <row r="1518" spans="1:7" x14ac:dyDescent="0.2">
      <c r="A1518" t="s">
        <v>134</v>
      </c>
      <c r="B1518" t="s">
        <v>985</v>
      </c>
      <c r="C1518" t="s">
        <v>69</v>
      </c>
      <c r="D1518" t="s">
        <v>288</v>
      </c>
      <c r="E1518">
        <v>0.25</v>
      </c>
      <c r="F1518">
        <v>190</v>
      </c>
      <c r="G1518">
        <v>47.5</v>
      </c>
    </row>
    <row r="1519" spans="1:7" x14ac:dyDescent="0.2">
      <c r="A1519" t="s">
        <v>134</v>
      </c>
      <c r="B1519" t="s">
        <v>985</v>
      </c>
      <c r="C1519" t="s">
        <v>93</v>
      </c>
      <c r="D1519" t="s">
        <v>327</v>
      </c>
      <c r="E1519">
        <v>0.21</v>
      </c>
      <c r="F1519">
        <v>70</v>
      </c>
      <c r="G1519">
        <v>14.7</v>
      </c>
    </row>
    <row r="1520" spans="1:7" x14ac:dyDescent="0.2">
      <c r="A1520" t="s">
        <v>134</v>
      </c>
      <c r="B1520" t="s">
        <v>985</v>
      </c>
      <c r="C1520" t="s">
        <v>47</v>
      </c>
      <c r="D1520" t="s">
        <v>328</v>
      </c>
      <c r="E1520">
        <v>0.15</v>
      </c>
      <c r="F1520">
        <v>235</v>
      </c>
      <c r="G1520">
        <v>35.25</v>
      </c>
    </row>
    <row r="1521" spans="1:7" x14ac:dyDescent="0.2">
      <c r="A1521" t="s">
        <v>134</v>
      </c>
      <c r="B1521" t="s">
        <v>985</v>
      </c>
      <c r="C1521" t="s">
        <v>48</v>
      </c>
      <c r="D1521" t="s">
        <v>359</v>
      </c>
      <c r="E1521">
        <v>7.4999999999999997E-2</v>
      </c>
      <c r="F1521">
        <v>412</v>
      </c>
      <c r="G1521">
        <v>30.9</v>
      </c>
    </row>
    <row r="1522" spans="1:7" x14ac:dyDescent="0.2">
      <c r="A1522" t="s">
        <v>134</v>
      </c>
      <c r="B1522" t="s">
        <v>985</v>
      </c>
      <c r="C1522" t="s">
        <v>19</v>
      </c>
      <c r="D1522" t="s">
        <v>329</v>
      </c>
      <c r="E1522">
        <v>3</v>
      </c>
      <c r="F1522">
        <v>2.9</v>
      </c>
      <c r="G1522">
        <v>8.6999999999999993</v>
      </c>
    </row>
    <row r="1523" spans="1:7" x14ac:dyDescent="0.2">
      <c r="A1523" t="s">
        <v>134</v>
      </c>
      <c r="B1523" t="s">
        <v>985</v>
      </c>
      <c r="C1523" t="s">
        <v>20</v>
      </c>
      <c r="D1523" t="s">
        <v>330</v>
      </c>
      <c r="E1523">
        <v>3</v>
      </c>
      <c r="F1523">
        <v>2.9</v>
      </c>
      <c r="G1523">
        <v>8.6999999999999993</v>
      </c>
    </row>
    <row r="1524" spans="1:7" x14ac:dyDescent="0.2">
      <c r="A1524" t="s">
        <v>134</v>
      </c>
      <c r="B1524" t="s">
        <v>985</v>
      </c>
      <c r="C1524" t="s">
        <v>24</v>
      </c>
      <c r="D1524" t="s">
        <v>360</v>
      </c>
      <c r="E1524">
        <v>2</v>
      </c>
      <c r="F1524">
        <v>2.2000000000000002</v>
      </c>
      <c r="G1524">
        <v>4.4000000000000004</v>
      </c>
    </row>
    <row r="1525" spans="1:7" x14ac:dyDescent="0.2">
      <c r="A1525" t="s">
        <v>134</v>
      </c>
      <c r="B1525" t="s">
        <v>985</v>
      </c>
      <c r="C1525" t="s">
        <v>26</v>
      </c>
      <c r="D1525" t="s">
        <v>361</v>
      </c>
      <c r="E1525">
        <v>4</v>
      </c>
      <c r="F1525">
        <v>1.5</v>
      </c>
      <c r="G1525">
        <v>6</v>
      </c>
    </row>
    <row r="1526" spans="1:7" x14ac:dyDescent="0.2">
      <c r="A1526" t="s">
        <v>134</v>
      </c>
      <c r="B1526" t="s">
        <v>985</v>
      </c>
      <c r="C1526" t="s">
        <v>29</v>
      </c>
      <c r="D1526" t="s">
        <v>292</v>
      </c>
      <c r="E1526">
        <v>0.8</v>
      </c>
      <c r="F1526">
        <v>27</v>
      </c>
      <c r="G1526">
        <v>21.6</v>
      </c>
    </row>
    <row r="1527" spans="1:7" x14ac:dyDescent="0.2">
      <c r="A1527" t="s">
        <v>134</v>
      </c>
      <c r="B1527" t="s">
        <v>985</v>
      </c>
      <c r="C1527" t="s">
        <v>30</v>
      </c>
      <c r="D1527" t="s">
        <v>332</v>
      </c>
      <c r="E1527">
        <v>2</v>
      </c>
      <c r="F1527">
        <v>6</v>
      </c>
      <c r="G1527">
        <v>12</v>
      </c>
    </row>
    <row r="1528" spans="1:7" x14ac:dyDescent="0.2">
      <c r="A1528" t="s">
        <v>134</v>
      </c>
      <c r="B1528" t="s">
        <v>985</v>
      </c>
      <c r="C1528" t="s">
        <v>104</v>
      </c>
      <c r="D1528" t="s">
        <v>343</v>
      </c>
      <c r="E1528">
        <v>1.4999999999999999E-2</v>
      </c>
      <c r="F1528">
        <v>890</v>
      </c>
      <c r="G1528">
        <v>13.35</v>
      </c>
    </row>
    <row r="1529" spans="1:7" x14ac:dyDescent="0.2">
      <c r="A1529" t="s">
        <v>134</v>
      </c>
      <c r="B1529" t="s">
        <v>985</v>
      </c>
      <c r="C1529" t="s">
        <v>121</v>
      </c>
      <c r="D1529" t="s">
        <v>301</v>
      </c>
      <c r="E1529">
        <v>1</v>
      </c>
      <c r="F1529">
        <v>0.95</v>
      </c>
      <c r="G1529">
        <v>0.95</v>
      </c>
    </row>
    <row r="1530" spans="1:7" x14ac:dyDescent="0.2">
      <c r="A1530" t="s">
        <v>134</v>
      </c>
      <c r="B1530" t="s">
        <v>985</v>
      </c>
      <c r="C1530" t="s">
        <v>122</v>
      </c>
      <c r="D1530" t="s">
        <v>302</v>
      </c>
      <c r="E1530">
        <v>1</v>
      </c>
      <c r="F1530">
        <v>4.2</v>
      </c>
      <c r="G1530">
        <v>4.2</v>
      </c>
    </row>
    <row r="1531" spans="1:7" x14ac:dyDescent="0.2">
      <c r="A1531" t="s">
        <v>134</v>
      </c>
      <c r="B1531" t="s">
        <v>985</v>
      </c>
      <c r="C1531" t="s">
        <v>4</v>
      </c>
      <c r="D1531" t="s">
        <v>304</v>
      </c>
      <c r="E1531">
        <v>5.7</v>
      </c>
      <c r="F1531">
        <v>10.1</v>
      </c>
      <c r="G1531">
        <v>57.57</v>
      </c>
    </row>
    <row r="1532" spans="1:7" x14ac:dyDescent="0.2">
      <c r="A1532" t="s">
        <v>134</v>
      </c>
      <c r="B1532" t="s">
        <v>985</v>
      </c>
      <c r="C1532" t="s">
        <v>5</v>
      </c>
      <c r="D1532" t="s">
        <v>305</v>
      </c>
      <c r="E1532">
        <v>2.5</v>
      </c>
      <c r="F1532">
        <v>11.5</v>
      </c>
      <c r="G1532">
        <v>28.75</v>
      </c>
    </row>
    <row r="1533" spans="1:7" x14ac:dyDescent="0.2">
      <c r="A1533" t="s">
        <v>134</v>
      </c>
      <c r="B1533" t="s">
        <v>985</v>
      </c>
      <c r="C1533" t="s">
        <v>6</v>
      </c>
      <c r="D1533" t="s">
        <v>306</v>
      </c>
      <c r="E1533">
        <v>0.8</v>
      </c>
      <c r="F1533">
        <v>16.8</v>
      </c>
      <c r="G1533">
        <v>13.44</v>
      </c>
    </row>
    <row r="1534" spans="1:7" x14ac:dyDescent="0.2">
      <c r="A1534" t="s">
        <v>134</v>
      </c>
      <c r="B1534" t="s">
        <v>985</v>
      </c>
      <c r="C1534" t="s">
        <v>13</v>
      </c>
      <c r="D1534" t="s">
        <v>309</v>
      </c>
      <c r="E1534">
        <v>0.45</v>
      </c>
      <c r="F1534">
        <v>7</v>
      </c>
      <c r="G1534">
        <v>3.15</v>
      </c>
    </row>
    <row r="1535" spans="1:7" x14ac:dyDescent="0.2">
      <c r="A1535" t="s">
        <v>134</v>
      </c>
      <c r="B1535" t="s">
        <v>985</v>
      </c>
      <c r="C1535" t="s">
        <v>105</v>
      </c>
      <c r="D1535" t="s">
        <v>313</v>
      </c>
      <c r="E1535">
        <v>250</v>
      </c>
      <c r="F1535">
        <v>0.1</v>
      </c>
      <c r="G1535">
        <v>25</v>
      </c>
    </row>
    <row r="1536" spans="1:7" x14ac:dyDescent="0.2">
      <c r="A1536" t="s">
        <v>134</v>
      </c>
      <c r="B1536" t="s">
        <v>985</v>
      </c>
      <c r="C1536" t="s">
        <v>112</v>
      </c>
      <c r="D1536" t="s">
        <v>362</v>
      </c>
      <c r="E1536">
        <v>40</v>
      </c>
      <c r="F1536">
        <v>0.1</v>
      </c>
      <c r="G1536">
        <v>4</v>
      </c>
    </row>
    <row r="1537" spans="1:7" x14ac:dyDescent="0.2">
      <c r="A1537" t="s">
        <v>134</v>
      </c>
      <c r="B1537" t="s">
        <v>985</v>
      </c>
      <c r="C1537" t="s">
        <v>120</v>
      </c>
      <c r="D1537" t="s">
        <v>340</v>
      </c>
      <c r="E1537">
        <v>30</v>
      </c>
      <c r="F1537">
        <v>0.1</v>
      </c>
      <c r="G1537">
        <v>3</v>
      </c>
    </row>
    <row r="1538" spans="1:7" x14ac:dyDescent="0.2">
      <c r="A1538" t="s">
        <v>135</v>
      </c>
      <c r="B1538" t="s">
        <v>239</v>
      </c>
      <c r="C1538" t="s">
        <v>94</v>
      </c>
      <c r="D1538" t="s">
        <v>280</v>
      </c>
      <c r="E1538">
        <v>1</v>
      </c>
      <c r="F1538">
        <v>3.5</v>
      </c>
      <c r="G1538">
        <v>3.5</v>
      </c>
    </row>
    <row r="1539" spans="1:7" x14ac:dyDescent="0.2">
      <c r="A1539" t="s">
        <v>135</v>
      </c>
      <c r="B1539" t="s">
        <v>239</v>
      </c>
      <c r="C1539" t="s">
        <v>95</v>
      </c>
      <c r="D1539" t="s">
        <v>281</v>
      </c>
      <c r="E1539">
        <v>2</v>
      </c>
      <c r="F1539">
        <v>2</v>
      </c>
      <c r="G1539">
        <v>4</v>
      </c>
    </row>
    <row r="1540" spans="1:7" x14ac:dyDescent="0.2">
      <c r="A1540" t="s">
        <v>135</v>
      </c>
      <c r="B1540" t="s">
        <v>239</v>
      </c>
      <c r="C1540" t="s">
        <v>44</v>
      </c>
      <c r="D1540" t="s">
        <v>324</v>
      </c>
      <c r="E1540">
        <v>0.25</v>
      </c>
      <c r="F1540">
        <v>65</v>
      </c>
      <c r="G1540">
        <v>16.25</v>
      </c>
    </row>
    <row r="1541" spans="1:7" x14ac:dyDescent="0.2">
      <c r="A1541" t="s">
        <v>135</v>
      </c>
      <c r="B1541" t="s">
        <v>239</v>
      </c>
      <c r="C1541" t="s">
        <v>50</v>
      </c>
      <c r="D1541" t="s">
        <v>357</v>
      </c>
      <c r="E1541">
        <v>0.25</v>
      </c>
      <c r="F1541">
        <v>151</v>
      </c>
      <c r="G1541">
        <v>37.75</v>
      </c>
    </row>
    <row r="1542" spans="1:7" x14ac:dyDescent="0.2">
      <c r="A1542" t="s">
        <v>135</v>
      </c>
      <c r="B1542" t="s">
        <v>239</v>
      </c>
      <c r="C1542" t="s">
        <v>54</v>
      </c>
      <c r="D1542" t="s">
        <v>358</v>
      </c>
      <c r="E1542">
        <v>1.35</v>
      </c>
      <c r="F1542">
        <v>120</v>
      </c>
      <c r="G1542">
        <v>162</v>
      </c>
    </row>
    <row r="1543" spans="1:7" x14ac:dyDescent="0.2">
      <c r="A1543" t="s">
        <v>135</v>
      </c>
      <c r="B1543" t="s">
        <v>239</v>
      </c>
      <c r="C1543" t="s">
        <v>60</v>
      </c>
      <c r="D1543" t="s">
        <v>337</v>
      </c>
      <c r="E1543">
        <v>0.02</v>
      </c>
      <c r="F1543">
        <v>130</v>
      </c>
      <c r="G1543">
        <v>2.6</v>
      </c>
    </row>
    <row r="1544" spans="1:7" x14ac:dyDescent="0.2">
      <c r="A1544" t="s">
        <v>135</v>
      </c>
      <c r="B1544" t="s">
        <v>239</v>
      </c>
      <c r="C1544" t="s">
        <v>61</v>
      </c>
      <c r="D1544" t="s">
        <v>341</v>
      </c>
      <c r="E1544">
        <v>0.2</v>
      </c>
      <c r="F1544">
        <v>190</v>
      </c>
      <c r="G1544">
        <v>38</v>
      </c>
    </row>
    <row r="1545" spans="1:7" x14ac:dyDescent="0.2">
      <c r="A1545" t="s">
        <v>135</v>
      </c>
      <c r="B1545" t="s">
        <v>239</v>
      </c>
      <c r="C1545" t="s">
        <v>62</v>
      </c>
      <c r="D1545" t="s">
        <v>363</v>
      </c>
      <c r="E1545">
        <v>0.8</v>
      </c>
      <c r="F1545">
        <v>190</v>
      </c>
      <c r="G1545">
        <v>152</v>
      </c>
    </row>
    <row r="1546" spans="1:7" x14ac:dyDescent="0.2">
      <c r="A1546" t="s">
        <v>135</v>
      </c>
      <c r="B1546" t="s">
        <v>239</v>
      </c>
      <c r="C1546" t="s">
        <v>69</v>
      </c>
      <c r="D1546" t="s">
        <v>288</v>
      </c>
      <c r="E1546">
        <v>0.25</v>
      </c>
      <c r="F1546">
        <v>190</v>
      </c>
      <c r="G1546">
        <v>47.5</v>
      </c>
    </row>
    <row r="1547" spans="1:7" x14ac:dyDescent="0.2">
      <c r="A1547" t="s">
        <v>135</v>
      </c>
      <c r="B1547" t="s">
        <v>239</v>
      </c>
      <c r="C1547" t="s">
        <v>93</v>
      </c>
      <c r="D1547" t="s">
        <v>327</v>
      </c>
      <c r="E1547">
        <v>0.21</v>
      </c>
      <c r="F1547">
        <v>70</v>
      </c>
      <c r="G1547">
        <v>14.7</v>
      </c>
    </row>
    <row r="1548" spans="1:7" x14ac:dyDescent="0.2">
      <c r="A1548" t="s">
        <v>135</v>
      </c>
      <c r="B1548" t="s">
        <v>239</v>
      </c>
      <c r="C1548" t="s">
        <v>47</v>
      </c>
      <c r="D1548" t="s">
        <v>328</v>
      </c>
      <c r="E1548">
        <v>0.15</v>
      </c>
      <c r="F1548">
        <v>235</v>
      </c>
      <c r="G1548">
        <v>35.25</v>
      </c>
    </row>
    <row r="1549" spans="1:7" x14ac:dyDescent="0.2">
      <c r="A1549" t="s">
        <v>135</v>
      </c>
      <c r="B1549" t="s">
        <v>239</v>
      </c>
      <c r="C1549" t="s">
        <v>48</v>
      </c>
      <c r="D1549" t="s">
        <v>359</v>
      </c>
      <c r="E1549">
        <v>7.4999999999999997E-2</v>
      </c>
      <c r="F1549">
        <v>412</v>
      </c>
      <c r="G1549">
        <v>30.9</v>
      </c>
    </row>
    <row r="1550" spans="1:7" x14ac:dyDescent="0.2">
      <c r="A1550" t="s">
        <v>135</v>
      </c>
      <c r="B1550" t="s">
        <v>239</v>
      </c>
      <c r="C1550" t="s">
        <v>19</v>
      </c>
      <c r="D1550" t="s">
        <v>329</v>
      </c>
      <c r="E1550">
        <v>3</v>
      </c>
      <c r="F1550">
        <v>2.9</v>
      </c>
      <c r="G1550">
        <v>8.6999999999999993</v>
      </c>
    </row>
    <row r="1551" spans="1:7" x14ac:dyDescent="0.2">
      <c r="A1551" t="s">
        <v>135</v>
      </c>
      <c r="B1551" t="s">
        <v>239</v>
      </c>
      <c r="C1551" t="s">
        <v>20</v>
      </c>
      <c r="D1551" t="s">
        <v>330</v>
      </c>
      <c r="E1551">
        <v>3</v>
      </c>
      <c r="F1551">
        <v>2.9</v>
      </c>
      <c r="G1551">
        <v>8.6999999999999993</v>
      </c>
    </row>
    <row r="1552" spans="1:7" x14ac:dyDescent="0.2">
      <c r="A1552" t="s">
        <v>135</v>
      </c>
      <c r="B1552" t="s">
        <v>239</v>
      </c>
      <c r="C1552" t="s">
        <v>24</v>
      </c>
      <c r="D1552" t="s">
        <v>360</v>
      </c>
      <c r="E1552">
        <v>2</v>
      </c>
      <c r="F1552">
        <v>2.2000000000000002</v>
      </c>
      <c r="G1552">
        <v>4.4000000000000004</v>
      </c>
    </row>
    <row r="1553" spans="1:7" x14ac:dyDescent="0.2">
      <c r="A1553" t="s">
        <v>135</v>
      </c>
      <c r="B1553" t="s">
        <v>239</v>
      </c>
      <c r="C1553" t="s">
        <v>26</v>
      </c>
      <c r="D1553" t="s">
        <v>361</v>
      </c>
      <c r="E1553">
        <v>4</v>
      </c>
      <c r="F1553">
        <v>1.5</v>
      </c>
      <c r="G1553">
        <v>6</v>
      </c>
    </row>
    <row r="1554" spans="1:7" x14ac:dyDescent="0.2">
      <c r="A1554" t="s">
        <v>135</v>
      </c>
      <c r="B1554" t="s">
        <v>239</v>
      </c>
      <c r="C1554" t="s">
        <v>29</v>
      </c>
      <c r="D1554" t="s">
        <v>292</v>
      </c>
      <c r="E1554">
        <v>0.8</v>
      </c>
      <c r="F1554">
        <v>27</v>
      </c>
      <c r="G1554">
        <v>21.6</v>
      </c>
    </row>
    <row r="1555" spans="1:7" x14ac:dyDescent="0.2">
      <c r="A1555" t="s">
        <v>135</v>
      </c>
      <c r="B1555" t="s">
        <v>239</v>
      </c>
      <c r="C1555" t="s">
        <v>30</v>
      </c>
      <c r="D1555" t="s">
        <v>332</v>
      </c>
      <c r="E1555">
        <v>2</v>
      </c>
      <c r="F1555">
        <v>6</v>
      </c>
      <c r="G1555">
        <v>12</v>
      </c>
    </row>
    <row r="1556" spans="1:7" x14ac:dyDescent="0.2">
      <c r="A1556" t="s">
        <v>135</v>
      </c>
      <c r="B1556" t="s">
        <v>239</v>
      </c>
      <c r="C1556" t="s">
        <v>104</v>
      </c>
      <c r="D1556" t="s">
        <v>343</v>
      </c>
      <c r="E1556">
        <v>1.4999999999999999E-2</v>
      </c>
      <c r="F1556">
        <v>890</v>
      </c>
      <c r="G1556">
        <v>13.35</v>
      </c>
    </row>
    <row r="1557" spans="1:7" x14ac:dyDescent="0.2">
      <c r="A1557" t="s">
        <v>135</v>
      </c>
      <c r="B1557" t="s">
        <v>239</v>
      </c>
      <c r="C1557" t="s">
        <v>121</v>
      </c>
      <c r="D1557" t="s">
        <v>301</v>
      </c>
      <c r="E1557">
        <v>1</v>
      </c>
      <c r="F1557">
        <v>0.95</v>
      </c>
      <c r="G1557">
        <v>0.95</v>
      </c>
    </row>
    <row r="1558" spans="1:7" x14ac:dyDescent="0.2">
      <c r="A1558" t="s">
        <v>135</v>
      </c>
      <c r="B1558" t="s">
        <v>239</v>
      </c>
      <c r="C1558" t="s">
        <v>122</v>
      </c>
      <c r="D1558" t="s">
        <v>302</v>
      </c>
      <c r="E1558">
        <v>1</v>
      </c>
      <c r="F1558">
        <v>4.2</v>
      </c>
      <c r="G1558">
        <v>4.2</v>
      </c>
    </row>
    <row r="1559" spans="1:7" x14ac:dyDescent="0.2">
      <c r="A1559" t="s">
        <v>135</v>
      </c>
      <c r="B1559" t="s">
        <v>239</v>
      </c>
      <c r="C1559" t="s">
        <v>4</v>
      </c>
      <c r="D1559" t="s">
        <v>304</v>
      </c>
      <c r="E1559">
        <v>5.7</v>
      </c>
      <c r="F1559">
        <v>10.1</v>
      </c>
      <c r="G1559">
        <v>57.57</v>
      </c>
    </row>
    <row r="1560" spans="1:7" x14ac:dyDescent="0.2">
      <c r="A1560" t="s">
        <v>135</v>
      </c>
      <c r="B1560" t="s">
        <v>239</v>
      </c>
      <c r="C1560" t="s">
        <v>5</v>
      </c>
      <c r="D1560" t="s">
        <v>305</v>
      </c>
      <c r="E1560">
        <v>2.5</v>
      </c>
      <c r="F1560">
        <v>11.5</v>
      </c>
      <c r="G1560">
        <v>28.75</v>
      </c>
    </row>
    <row r="1561" spans="1:7" x14ac:dyDescent="0.2">
      <c r="A1561" t="s">
        <v>135</v>
      </c>
      <c r="B1561" t="s">
        <v>239</v>
      </c>
      <c r="C1561" t="s">
        <v>6</v>
      </c>
      <c r="D1561" t="s">
        <v>306</v>
      </c>
      <c r="E1561">
        <v>0.8</v>
      </c>
      <c r="F1561">
        <v>16.8</v>
      </c>
      <c r="G1561">
        <v>13.44</v>
      </c>
    </row>
    <row r="1562" spans="1:7" x14ac:dyDescent="0.2">
      <c r="A1562" t="s">
        <v>135</v>
      </c>
      <c r="B1562" t="s">
        <v>239</v>
      </c>
      <c r="C1562" t="s">
        <v>12</v>
      </c>
      <c r="D1562" t="s">
        <v>308</v>
      </c>
      <c r="E1562">
        <v>0.45</v>
      </c>
      <c r="F1562">
        <v>7</v>
      </c>
      <c r="G1562">
        <v>3.15</v>
      </c>
    </row>
    <row r="1563" spans="1:7" x14ac:dyDescent="0.2">
      <c r="A1563" t="s">
        <v>135</v>
      </c>
      <c r="B1563" t="s">
        <v>239</v>
      </c>
      <c r="C1563" t="s">
        <v>105</v>
      </c>
      <c r="D1563" t="s">
        <v>313</v>
      </c>
      <c r="E1563">
        <v>250</v>
      </c>
      <c r="F1563">
        <v>0.1</v>
      </c>
      <c r="G1563">
        <v>25</v>
      </c>
    </row>
    <row r="1564" spans="1:7" x14ac:dyDescent="0.2">
      <c r="A1564" t="s">
        <v>135</v>
      </c>
      <c r="B1564" t="s">
        <v>239</v>
      </c>
      <c r="C1564" t="s">
        <v>106</v>
      </c>
      <c r="D1564" t="s">
        <v>364</v>
      </c>
      <c r="E1564">
        <v>30</v>
      </c>
      <c r="F1564">
        <v>0.1</v>
      </c>
      <c r="G1564">
        <v>3</v>
      </c>
    </row>
    <row r="1565" spans="1:7" x14ac:dyDescent="0.2">
      <c r="A1565" t="s">
        <v>135</v>
      </c>
      <c r="B1565" t="s">
        <v>239</v>
      </c>
      <c r="C1565" t="s">
        <v>112</v>
      </c>
      <c r="D1565" t="s">
        <v>362</v>
      </c>
      <c r="E1565">
        <v>40</v>
      </c>
      <c r="F1565">
        <v>0.1</v>
      </c>
      <c r="G1565">
        <v>4</v>
      </c>
    </row>
    <row r="1566" spans="1:7" x14ac:dyDescent="0.2">
      <c r="A1566" t="s">
        <v>986</v>
      </c>
      <c r="B1566" t="s">
        <v>987</v>
      </c>
      <c r="C1566" t="s">
        <v>94</v>
      </c>
      <c r="D1566" t="s">
        <v>280</v>
      </c>
      <c r="E1566">
        <v>1</v>
      </c>
      <c r="F1566">
        <v>3.5</v>
      </c>
      <c r="G1566">
        <v>3.5</v>
      </c>
    </row>
    <row r="1567" spans="1:7" x14ac:dyDescent="0.2">
      <c r="A1567" t="s">
        <v>986</v>
      </c>
      <c r="B1567" t="s">
        <v>987</v>
      </c>
      <c r="C1567" t="s">
        <v>95</v>
      </c>
      <c r="D1567" t="s">
        <v>281</v>
      </c>
      <c r="E1567">
        <v>2</v>
      </c>
      <c r="F1567">
        <v>2</v>
      </c>
      <c r="G1567">
        <v>4</v>
      </c>
    </row>
    <row r="1568" spans="1:7" x14ac:dyDescent="0.2">
      <c r="A1568" t="s">
        <v>986</v>
      </c>
      <c r="B1568" t="s">
        <v>987</v>
      </c>
      <c r="C1568" t="s">
        <v>44</v>
      </c>
      <c r="D1568" t="s">
        <v>324</v>
      </c>
      <c r="E1568">
        <v>0.25</v>
      </c>
      <c r="F1568">
        <v>65</v>
      </c>
      <c r="G1568">
        <v>16.25</v>
      </c>
    </row>
    <row r="1569" spans="1:7" x14ac:dyDescent="0.2">
      <c r="A1569" t="s">
        <v>986</v>
      </c>
      <c r="B1569" t="s">
        <v>987</v>
      </c>
      <c r="C1569" t="s">
        <v>50</v>
      </c>
      <c r="D1569" t="s">
        <v>357</v>
      </c>
      <c r="E1569">
        <v>0.25</v>
      </c>
      <c r="F1569">
        <v>151</v>
      </c>
      <c r="G1569">
        <v>37.75</v>
      </c>
    </row>
    <row r="1570" spans="1:7" x14ac:dyDescent="0.2">
      <c r="A1570" t="s">
        <v>986</v>
      </c>
      <c r="B1570" t="s">
        <v>987</v>
      </c>
      <c r="C1570" t="s">
        <v>52</v>
      </c>
      <c r="D1570" t="s">
        <v>321</v>
      </c>
      <c r="E1570">
        <v>1.35</v>
      </c>
      <c r="F1570">
        <v>120</v>
      </c>
      <c r="G1570">
        <v>162</v>
      </c>
    </row>
    <row r="1571" spans="1:7" x14ac:dyDescent="0.2">
      <c r="A1571" t="s">
        <v>986</v>
      </c>
      <c r="B1571" t="s">
        <v>987</v>
      </c>
      <c r="C1571" t="s">
        <v>60</v>
      </c>
      <c r="D1571" t="s">
        <v>337</v>
      </c>
      <c r="E1571">
        <v>0.02</v>
      </c>
      <c r="F1571">
        <v>130</v>
      </c>
      <c r="G1571">
        <v>2.6</v>
      </c>
    </row>
    <row r="1572" spans="1:7" x14ac:dyDescent="0.2">
      <c r="A1572" t="s">
        <v>986</v>
      </c>
      <c r="B1572" t="s">
        <v>987</v>
      </c>
      <c r="C1572" t="s">
        <v>69</v>
      </c>
      <c r="D1572" t="s">
        <v>288</v>
      </c>
      <c r="E1572">
        <v>0.25</v>
      </c>
      <c r="F1572">
        <v>190</v>
      </c>
      <c r="G1572">
        <v>47.5</v>
      </c>
    </row>
    <row r="1573" spans="1:7" x14ac:dyDescent="0.2">
      <c r="A1573" t="s">
        <v>986</v>
      </c>
      <c r="B1573" t="s">
        <v>987</v>
      </c>
      <c r="C1573" t="s">
        <v>79</v>
      </c>
      <c r="D1573" t="s">
        <v>289</v>
      </c>
      <c r="E1573">
        <v>1</v>
      </c>
      <c r="F1573">
        <v>380</v>
      </c>
      <c r="G1573">
        <v>380</v>
      </c>
    </row>
    <row r="1574" spans="1:7" x14ac:dyDescent="0.2">
      <c r="A1574" t="s">
        <v>986</v>
      </c>
      <c r="B1574" t="s">
        <v>987</v>
      </c>
      <c r="C1574" t="s">
        <v>93</v>
      </c>
      <c r="D1574" t="s">
        <v>327</v>
      </c>
      <c r="E1574">
        <v>0.21</v>
      </c>
      <c r="F1574">
        <v>70</v>
      </c>
      <c r="G1574">
        <v>14.7</v>
      </c>
    </row>
    <row r="1575" spans="1:7" x14ac:dyDescent="0.2">
      <c r="A1575" t="s">
        <v>986</v>
      </c>
      <c r="B1575" t="s">
        <v>987</v>
      </c>
      <c r="C1575" t="s">
        <v>47</v>
      </c>
      <c r="D1575" t="s">
        <v>328</v>
      </c>
      <c r="E1575">
        <v>0.15</v>
      </c>
      <c r="F1575">
        <v>235</v>
      </c>
      <c r="G1575">
        <v>35.25</v>
      </c>
    </row>
    <row r="1576" spans="1:7" x14ac:dyDescent="0.2">
      <c r="A1576" t="s">
        <v>986</v>
      </c>
      <c r="B1576" t="s">
        <v>987</v>
      </c>
      <c r="C1576" t="s">
        <v>48</v>
      </c>
      <c r="D1576" t="s">
        <v>359</v>
      </c>
      <c r="E1576">
        <v>7.4999999999999997E-2</v>
      </c>
      <c r="F1576">
        <v>412</v>
      </c>
      <c r="G1576">
        <v>30.9</v>
      </c>
    </row>
    <row r="1577" spans="1:7" x14ac:dyDescent="0.2">
      <c r="A1577" t="s">
        <v>986</v>
      </c>
      <c r="B1577" t="s">
        <v>987</v>
      </c>
      <c r="C1577" t="s">
        <v>19</v>
      </c>
      <c r="D1577" t="s">
        <v>329</v>
      </c>
      <c r="E1577">
        <v>3</v>
      </c>
      <c r="F1577">
        <v>2.9</v>
      </c>
      <c r="G1577">
        <v>8.6999999999999993</v>
      </c>
    </row>
    <row r="1578" spans="1:7" x14ac:dyDescent="0.2">
      <c r="A1578" t="s">
        <v>986</v>
      </c>
      <c r="B1578" t="s">
        <v>987</v>
      </c>
      <c r="C1578" t="s">
        <v>20</v>
      </c>
      <c r="D1578" t="s">
        <v>330</v>
      </c>
      <c r="E1578">
        <v>3</v>
      </c>
      <c r="F1578">
        <v>2.9</v>
      </c>
      <c r="G1578">
        <v>8.6999999999999993</v>
      </c>
    </row>
    <row r="1579" spans="1:7" x14ac:dyDescent="0.2">
      <c r="A1579" t="s">
        <v>986</v>
      </c>
      <c r="B1579" t="s">
        <v>987</v>
      </c>
      <c r="C1579" t="s">
        <v>24</v>
      </c>
      <c r="D1579" t="s">
        <v>360</v>
      </c>
      <c r="E1579">
        <v>2</v>
      </c>
      <c r="F1579">
        <v>2.2000000000000002</v>
      </c>
      <c r="G1579">
        <v>4.4000000000000004</v>
      </c>
    </row>
    <row r="1580" spans="1:7" x14ac:dyDescent="0.2">
      <c r="A1580" t="s">
        <v>986</v>
      </c>
      <c r="B1580" t="s">
        <v>987</v>
      </c>
      <c r="C1580" t="s">
        <v>26</v>
      </c>
      <c r="D1580" t="s">
        <v>361</v>
      </c>
      <c r="E1580">
        <v>4</v>
      </c>
      <c r="F1580">
        <v>1.5</v>
      </c>
      <c r="G1580">
        <v>6</v>
      </c>
    </row>
    <row r="1581" spans="1:7" x14ac:dyDescent="0.2">
      <c r="A1581" t="s">
        <v>986</v>
      </c>
      <c r="B1581" t="s">
        <v>987</v>
      </c>
      <c r="C1581" t="s">
        <v>29</v>
      </c>
      <c r="D1581" t="s">
        <v>292</v>
      </c>
      <c r="E1581">
        <v>0.8</v>
      </c>
      <c r="F1581">
        <v>27</v>
      </c>
      <c r="G1581">
        <v>21.6</v>
      </c>
    </row>
    <row r="1582" spans="1:7" x14ac:dyDescent="0.2">
      <c r="A1582" t="s">
        <v>986</v>
      </c>
      <c r="B1582" t="s">
        <v>987</v>
      </c>
      <c r="C1582" t="s">
        <v>30</v>
      </c>
      <c r="D1582" t="s">
        <v>332</v>
      </c>
      <c r="E1582">
        <v>2</v>
      </c>
      <c r="F1582">
        <v>6</v>
      </c>
      <c r="G1582">
        <v>12</v>
      </c>
    </row>
    <row r="1583" spans="1:7" x14ac:dyDescent="0.2">
      <c r="A1583" t="s">
        <v>986</v>
      </c>
      <c r="B1583" t="s">
        <v>987</v>
      </c>
      <c r="C1583" t="s">
        <v>104</v>
      </c>
      <c r="D1583" t="s">
        <v>343</v>
      </c>
      <c r="E1583">
        <v>1.4999999999999999E-2</v>
      </c>
      <c r="F1583">
        <v>890</v>
      </c>
      <c r="G1583">
        <v>13.35</v>
      </c>
    </row>
    <row r="1584" spans="1:7" x14ac:dyDescent="0.2">
      <c r="A1584" t="s">
        <v>986</v>
      </c>
      <c r="B1584" t="s">
        <v>987</v>
      </c>
      <c r="C1584" t="s">
        <v>121</v>
      </c>
      <c r="D1584" t="s">
        <v>301</v>
      </c>
      <c r="E1584">
        <v>1</v>
      </c>
      <c r="F1584">
        <v>0.95</v>
      </c>
      <c r="G1584">
        <v>0.95</v>
      </c>
    </row>
    <row r="1585" spans="1:7" x14ac:dyDescent="0.2">
      <c r="A1585" t="s">
        <v>986</v>
      </c>
      <c r="B1585" t="s">
        <v>987</v>
      </c>
      <c r="C1585" t="s">
        <v>122</v>
      </c>
      <c r="D1585" t="s">
        <v>302</v>
      </c>
      <c r="E1585">
        <v>1</v>
      </c>
      <c r="F1585">
        <v>4.2</v>
      </c>
      <c r="G1585">
        <v>4.2</v>
      </c>
    </row>
    <row r="1586" spans="1:7" x14ac:dyDescent="0.2">
      <c r="A1586" t="s">
        <v>986</v>
      </c>
      <c r="B1586" t="s">
        <v>987</v>
      </c>
      <c r="C1586" t="s">
        <v>4</v>
      </c>
      <c r="D1586" t="s">
        <v>304</v>
      </c>
      <c r="E1586">
        <v>5.7</v>
      </c>
      <c r="F1586">
        <v>10.1</v>
      </c>
      <c r="G1586">
        <v>57.57</v>
      </c>
    </row>
    <row r="1587" spans="1:7" x14ac:dyDescent="0.2">
      <c r="A1587" t="s">
        <v>986</v>
      </c>
      <c r="B1587" t="s">
        <v>987</v>
      </c>
      <c r="C1587" t="s">
        <v>5</v>
      </c>
      <c r="D1587" t="s">
        <v>305</v>
      </c>
      <c r="E1587">
        <v>2.5</v>
      </c>
      <c r="F1587">
        <v>11.5</v>
      </c>
      <c r="G1587">
        <v>28.75</v>
      </c>
    </row>
    <row r="1588" spans="1:7" x14ac:dyDescent="0.2">
      <c r="A1588" t="s">
        <v>986</v>
      </c>
      <c r="B1588" t="s">
        <v>987</v>
      </c>
      <c r="C1588" t="s">
        <v>6</v>
      </c>
      <c r="D1588" t="s">
        <v>306</v>
      </c>
      <c r="E1588">
        <v>0.8</v>
      </c>
      <c r="F1588">
        <v>16.8</v>
      </c>
      <c r="G1588">
        <v>13.44</v>
      </c>
    </row>
    <row r="1589" spans="1:7" x14ac:dyDescent="0.2">
      <c r="A1589" t="s">
        <v>986</v>
      </c>
      <c r="B1589" t="s">
        <v>987</v>
      </c>
      <c r="C1589" t="s">
        <v>12</v>
      </c>
      <c r="D1589" t="s">
        <v>308</v>
      </c>
      <c r="E1589">
        <v>0.45</v>
      </c>
      <c r="F1589">
        <v>7</v>
      </c>
      <c r="G1589">
        <v>3.15</v>
      </c>
    </row>
    <row r="1590" spans="1:7" x14ac:dyDescent="0.2">
      <c r="A1590" t="s">
        <v>986</v>
      </c>
      <c r="B1590" t="s">
        <v>987</v>
      </c>
      <c r="C1590" t="s">
        <v>105</v>
      </c>
      <c r="D1590" t="s">
        <v>313</v>
      </c>
      <c r="E1590">
        <v>250</v>
      </c>
      <c r="F1590">
        <v>0.1</v>
      </c>
      <c r="G1590">
        <v>25</v>
      </c>
    </row>
    <row r="1591" spans="1:7" x14ac:dyDescent="0.2">
      <c r="A1591" t="s">
        <v>986</v>
      </c>
      <c r="B1591" t="s">
        <v>987</v>
      </c>
      <c r="C1591" t="s">
        <v>108</v>
      </c>
      <c r="D1591" t="s">
        <v>323</v>
      </c>
      <c r="E1591">
        <v>40</v>
      </c>
      <c r="F1591">
        <v>0.1</v>
      </c>
      <c r="G1591">
        <v>4</v>
      </c>
    </row>
    <row r="1592" spans="1:7" x14ac:dyDescent="0.2">
      <c r="A1592" t="s">
        <v>990</v>
      </c>
      <c r="B1592" t="s">
        <v>991</v>
      </c>
      <c r="C1592" t="s">
        <v>94</v>
      </c>
      <c r="D1592" t="s">
        <v>280</v>
      </c>
      <c r="E1592">
        <v>1</v>
      </c>
      <c r="F1592">
        <v>3.5</v>
      </c>
      <c r="G1592">
        <v>3.5</v>
      </c>
    </row>
    <row r="1593" spans="1:7" x14ac:dyDescent="0.2">
      <c r="A1593" t="s">
        <v>990</v>
      </c>
      <c r="B1593" t="s">
        <v>991</v>
      </c>
      <c r="C1593" t="s">
        <v>95</v>
      </c>
      <c r="D1593" t="s">
        <v>281</v>
      </c>
      <c r="E1593">
        <v>2</v>
      </c>
      <c r="F1593">
        <v>2</v>
      </c>
      <c r="G1593">
        <v>4</v>
      </c>
    </row>
    <row r="1594" spans="1:7" x14ac:dyDescent="0.2">
      <c r="A1594" t="s">
        <v>990</v>
      </c>
      <c r="B1594" t="s">
        <v>991</v>
      </c>
      <c r="C1594" t="s">
        <v>44</v>
      </c>
      <c r="D1594" t="s">
        <v>324</v>
      </c>
      <c r="E1594">
        <v>0.25</v>
      </c>
      <c r="F1594">
        <v>65</v>
      </c>
      <c r="G1594">
        <v>16.25</v>
      </c>
    </row>
    <row r="1595" spans="1:7" x14ac:dyDescent="0.2">
      <c r="A1595" t="s">
        <v>990</v>
      </c>
      <c r="B1595" t="s">
        <v>991</v>
      </c>
      <c r="C1595" t="s">
        <v>50</v>
      </c>
      <c r="D1595" t="s">
        <v>357</v>
      </c>
      <c r="E1595">
        <v>0.25</v>
      </c>
      <c r="F1595">
        <v>151</v>
      </c>
      <c r="G1595">
        <v>37.75</v>
      </c>
    </row>
    <row r="1596" spans="1:7" x14ac:dyDescent="0.2">
      <c r="A1596" t="s">
        <v>990</v>
      </c>
      <c r="B1596" t="s">
        <v>991</v>
      </c>
      <c r="C1596" t="s">
        <v>56</v>
      </c>
      <c r="D1596" t="s">
        <v>287</v>
      </c>
      <c r="E1596">
        <v>1.35</v>
      </c>
      <c r="F1596">
        <v>90</v>
      </c>
      <c r="G1596">
        <v>121.5</v>
      </c>
    </row>
    <row r="1597" spans="1:7" x14ac:dyDescent="0.2">
      <c r="A1597" t="s">
        <v>990</v>
      </c>
      <c r="B1597" t="s">
        <v>991</v>
      </c>
      <c r="C1597" t="s">
        <v>60</v>
      </c>
      <c r="D1597" t="s">
        <v>337</v>
      </c>
      <c r="E1597">
        <v>0.02</v>
      </c>
      <c r="F1597">
        <v>130</v>
      </c>
      <c r="G1597">
        <v>2.6</v>
      </c>
    </row>
    <row r="1598" spans="1:7" x14ac:dyDescent="0.2">
      <c r="A1598" t="s">
        <v>990</v>
      </c>
      <c r="B1598" t="s">
        <v>991</v>
      </c>
      <c r="C1598" t="s">
        <v>69</v>
      </c>
      <c r="D1598" t="s">
        <v>288</v>
      </c>
      <c r="E1598">
        <v>0.25</v>
      </c>
      <c r="F1598">
        <v>190</v>
      </c>
      <c r="G1598">
        <v>47.5</v>
      </c>
    </row>
    <row r="1599" spans="1:7" x14ac:dyDescent="0.2">
      <c r="A1599" t="s">
        <v>990</v>
      </c>
      <c r="B1599" t="s">
        <v>991</v>
      </c>
      <c r="C1599" t="s">
        <v>79</v>
      </c>
      <c r="D1599" t="s">
        <v>289</v>
      </c>
      <c r="E1599">
        <v>0.2</v>
      </c>
      <c r="F1599">
        <v>380</v>
      </c>
      <c r="G1599">
        <v>76</v>
      </c>
    </row>
    <row r="1600" spans="1:7" x14ac:dyDescent="0.2">
      <c r="A1600" t="s">
        <v>990</v>
      </c>
      <c r="B1600" t="s">
        <v>991</v>
      </c>
      <c r="C1600" t="s">
        <v>80</v>
      </c>
      <c r="D1600" t="s">
        <v>317</v>
      </c>
      <c r="E1600">
        <v>0.8</v>
      </c>
      <c r="F1600">
        <v>380</v>
      </c>
      <c r="G1600">
        <v>304</v>
      </c>
    </row>
    <row r="1601" spans="1:7" x14ac:dyDescent="0.2">
      <c r="A1601" t="s">
        <v>990</v>
      </c>
      <c r="B1601" t="s">
        <v>991</v>
      </c>
      <c r="C1601" t="s">
        <v>93</v>
      </c>
      <c r="D1601" t="s">
        <v>327</v>
      </c>
      <c r="E1601">
        <v>0.21</v>
      </c>
      <c r="F1601">
        <v>70</v>
      </c>
      <c r="G1601">
        <v>14.7</v>
      </c>
    </row>
    <row r="1602" spans="1:7" x14ac:dyDescent="0.2">
      <c r="A1602" t="s">
        <v>990</v>
      </c>
      <c r="B1602" t="s">
        <v>991</v>
      </c>
      <c r="C1602" t="s">
        <v>47</v>
      </c>
      <c r="D1602" t="s">
        <v>328</v>
      </c>
      <c r="E1602">
        <v>0.15</v>
      </c>
      <c r="F1602">
        <v>235</v>
      </c>
      <c r="G1602">
        <v>35.25</v>
      </c>
    </row>
    <row r="1603" spans="1:7" x14ac:dyDescent="0.2">
      <c r="A1603" t="s">
        <v>990</v>
      </c>
      <c r="B1603" t="s">
        <v>991</v>
      </c>
      <c r="C1603" t="s">
        <v>48</v>
      </c>
      <c r="D1603" t="s">
        <v>359</v>
      </c>
      <c r="E1603">
        <v>7.4999999999999997E-2</v>
      </c>
      <c r="F1603">
        <v>412</v>
      </c>
      <c r="G1603">
        <v>30.9</v>
      </c>
    </row>
    <row r="1604" spans="1:7" x14ac:dyDescent="0.2">
      <c r="A1604" t="s">
        <v>990</v>
      </c>
      <c r="B1604" t="s">
        <v>991</v>
      </c>
      <c r="C1604" t="s">
        <v>19</v>
      </c>
      <c r="D1604" t="s">
        <v>329</v>
      </c>
      <c r="E1604">
        <v>3</v>
      </c>
      <c r="F1604">
        <v>2.9</v>
      </c>
      <c r="G1604">
        <v>8.6999999999999993</v>
      </c>
    </row>
    <row r="1605" spans="1:7" x14ac:dyDescent="0.2">
      <c r="A1605" t="s">
        <v>990</v>
      </c>
      <c r="B1605" t="s">
        <v>991</v>
      </c>
      <c r="C1605" t="s">
        <v>20</v>
      </c>
      <c r="D1605" t="s">
        <v>330</v>
      </c>
      <c r="E1605">
        <v>3</v>
      </c>
      <c r="F1605">
        <v>2.9</v>
      </c>
      <c r="G1605">
        <v>8.6999999999999993</v>
      </c>
    </row>
    <row r="1606" spans="1:7" x14ac:dyDescent="0.2">
      <c r="A1606" t="s">
        <v>990</v>
      </c>
      <c r="B1606" t="s">
        <v>991</v>
      </c>
      <c r="C1606" t="s">
        <v>24</v>
      </c>
      <c r="D1606" t="s">
        <v>360</v>
      </c>
      <c r="E1606">
        <v>2</v>
      </c>
      <c r="F1606">
        <v>2.2000000000000002</v>
      </c>
      <c r="G1606">
        <v>4.4000000000000004</v>
      </c>
    </row>
    <row r="1607" spans="1:7" x14ac:dyDescent="0.2">
      <c r="A1607" t="s">
        <v>990</v>
      </c>
      <c r="B1607" t="s">
        <v>991</v>
      </c>
      <c r="C1607" t="s">
        <v>26</v>
      </c>
      <c r="D1607" t="s">
        <v>361</v>
      </c>
      <c r="E1607">
        <v>4</v>
      </c>
      <c r="F1607">
        <v>1.5</v>
      </c>
      <c r="G1607">
        <v>6</v>
      </c>
    </row>
    <row r="1608" spans="1:7" x14ac:dyDescent="0.2">
      <c r="A1608" t="s">
        <v>990</v>
      </c>
      <c r="B1608" t="s">
        <v>991</v>
      </c>
      <c r="C1608" t="s">
        <v>29</v>
      </c>
      <c r="D1608" t="s">
        <v>292</v>
      </c>
      <c r="E1608">
        <v>0.8</v>
      </c>
      <c r="F1608">
        <v>27</v>
      </c>
      <c r="G1608">
        <v>21.6</v>
      </c>
    </row>
    <row r="1609" spans="1:7" x14ac:dyDescent="0.2">
      <c r="A1609" t="s">
        <v>990</v>
      </c>
      <c r="B1609" t="s">
        <v>991</v>
      </c>
      <c r="C1609" t="s">
        <v>30</v>
      </c>
      <c r="D1609" t="s">
        <v>332</v>
      </c>
      <c r="E1609">
        <v>2</v>
      </c>
      <c r="F1609">
        <v>6</v>
      </c>
      <c r="G1609">
        <v>12</v>
      </c>
    </row>
    <row r="1610" spans="1:7" x14ac:dyDescent="0.2">
      <c r="A1610" t="s">
        <v>990</v>
      </c>
      <c r="B1610" t="s">
        <v>991</v>
      </c>
      <c r="C1610" t="s">
        <v>104</v>
      </c>
      <c r="D1610" t="s">
        <v>343</v>
      </c>
      <c r="E1610">
        <v>1.4999999999999999E-2</v>
      </c>
      <c r="F1610">
        <v>890</v>
      </c>
      <c r="G1610">
        <v>13.35</v>
      </c>
    </row>
    <row r="1611" spans="1:7" x14ac:dyDescent="0.2">
      <c r="A1611" t="s">
        <v>990</v>
      </c>
      <c r="B1611" t="s">
        <v>991</v>
      </c>
      <c r="C1611" t="s">
        <v>121</v>
      </c>
      <c r="D1611" t="s">
        <v>301</v>
      </c>
      <c r="E1611">
        <v>1</v>
      </c>
      <c r="F1611">
        <v>0.95</v>
      </c>
      <c r="G1611">
        <v>0.95</v>
      </c>
    </row>
    <row r="1612" spans="1:7" x14ac:dyDescent="0.2">
      <c r="A1612" t="s">
        <v>990</v>
      </c>
      <c r="B1612" t="s">
        <v>991</v>
      </c>
      <c r="C1612" t="s">
        <v>122</v>
      </c>
      <c r="D1612" t="s">
        <v>302</v>
      </c>
      <c r="E1612">
        <v>1</v>
      </c>
      <c r="F1612">
        <v>4.2</v>
      </c>
      <c r="G1612">
        <v>4.2</v>
      </c>
    </row>
    <row r="1613" spans="1:7" x14ac:dyDescent="0.2">
      <c r="A1613" t="s">
        <v>990</v>
      </c>
      <c r="B1613" t="s">
        <v>991</v>
      </c>
      <c r="C1613" t="s">
        <v>4</v>
      </c>
      <c r="D1613" t="s">
        <v>304</v>
      </c>
      <c r="E1613">
        <v>5.7</v>
      </c>
      <c r="F1613">
        <v>10.1</v>
      </c>
      <c r="G1613">
        <v>57.57</v>
      </c>
    </row>
    <row r="1614" spans="1:7" x14ac:dyDescent="0.2">
      <c r="A1614" t="s">
        <v>990</v>
      </c>
      <c r="B1614" t="s">
        <v>991</v>
      </c>
      <c r="C1614" t="s">
        <v>5</v>
      </c>
      <c r="D1614" t="s">
        <v>305</v>
      </c>
      <c r="E1614">
        <v>2.5</v>
      </c>
      <c r="F1614">
        <v>11.5</v>
      </c>
      <c r="G1614">
        <v>28.75</v>
      </c>
    </row>
    <row r="1615" spans="1:7" x14ac:dyDescent="0.2">
      <c r="A1615" t="s">
        <v>990</v>
      </c>
      <c r="B1615" t="s">
        <v>991</v>
      </c>
      <c r="C1615" t="s">
        <v>6</v>
      </c>
      <c r="D1615" t="s">
        <v>306</v>
      </c>
      <c r="E1615">
        <v>0.8</v>
      </c>
      <c r="F1615">
        <v>16.8</v>
      </c>
      <c r="G1615">
        <v>13.44</v>
      </c>
    </row>
    <row r="1616" spans="1:7" x14ac:dyDescent="0.2">
      <c r="A1616" t="s">
        <v>990</v>
      </c>
      <c r="B1616" t="s">
        <v>991</v>
      </c>
      <c r="C1616" t="s">
        <v>13</v>
      </c>
      <c r="D1616" t="s">
        <v>309</v>
      </c>
      <c r="E1616">
        <v>0.45</v>
      </c>
      <c r="F1616">
        <v>7</v>
      </c>
      <c r="G1616">
        <v>3.15</v>
      </c>
    </row>
    <row r="1617" spans="1:7" x14ac:dyDescent="0.2">
      <c r="A1617" t="s">
        <v>990</v>
      </c>
      <c r="B1617" t="s">
        <v>991</v>
      </c>
      <c r="C1617" t="s">
        <v>105</v>
      </c>
      <c r="D1617" t="s">
        <v>313</v>
      </c>
      <c r="E1617">
        <v>20</v>
      </c>
      <c r="F1617">
        <v>0.1</v>
      </c>
      <c r="G1617">
        <v>2</v>
      </c>
    </row>
    <row r="1618" spans="1:7" x14ac:dyDescent="0.2">
      <c r="A1618" t="s">
        <v>990</v>
      </c>
      <c r="B1618" t="s">
        <v>991</v>
      </c>
      <c r="C1618" t="s">
        <v>110</v>
      </c>
      <c r="D1618" t="s">
        <v>314</v>
      </c>
      <c r="E1618">
        <v>40</v>
      </c>
      <c r="F1618">
        <v>0.1</v>
      </c>
      <c r="G1618">
        <v>4</v>
      </c>
    </row>
    <row r="1619" spans="1:7" x14ac:dyDescent="0.2">
      <c r="A1619" t="s">
        <v>990</v>
      </c>
      <c r="B1619" t="s">
        <v>991</v>
      </c>
      <c r="C1619" t="s">
        <v>113</v>
      </c>
      <c r="D1619" t="s">
        <v>318</v>
      </c>
      <c r="E1619">
        <v>250</v>
      </c>
      <c r="F1619">
        <v>0.1</v>
      </c>
      <c r="G1619">
        <v>25</v>
      </c>
    </row>
    <row r="1620" spans="1:7" x14ac:dyDescent="0.2">
      <c r="A1620" t="s">
        <v>992</v>
      </c>
      <c r="B1620" t="s">
        <v>993</v>
      </c>
      <c r="C1620" t="s">
        <v>94</v>
      </c>
      <c r="D1620" t="s">
        <v>280</v>
      </c>
      <c r="E1620">
        <v>1</v>
      </c>
      <c r="F1620">
        <v>3.5</v>
      </c>
      <c r="G1620">
        <v>3.5</v>
      </c>
    </row>
    <row r="1621" spans="1:7" x14ac:dyDescent="0.2">
      <c r="A1621" t="s">
        <v>992</v>
      </c>
      <c r="B1621" t="s">
        <v>993</v>
      </c>
      <c r="C1621" t="s">
        <v>95</v>
      </c>
      <c r="D1621" t="s">
        <v>281</v>
      </c>
      <c r="E1621">
        <v>2</v>
      </c>
      <c r="F1621">
        <v>2</v>
      </c>
      <c r="G1621">
        <v>4</v>
      </c>
    </row>
    <row r="1622" spans="1:7" x14ac:dyDescent="0.2">
      <c r="A1622" t="s">
        <v>992</v>
      </c>
      <c r="B1622" t="s">
        <v>993</v>
      </c>
      <c r="C1622" t="s">
        <v>44</v>
      </c>
      <c r="D1622" t="s">
        <v>324</v>
      </c>
      <c r="E1622">
        <v>0.25</v>
      </c>
      <c r="F1622">
        <v>65</v>
      </c>
      <c r="G1622">
        <v>16.25</v>
      </c>
    </row>
    <row r="1623" spans="1:7" x14ac:dyDescent="0.2">
      <c r="A1623" t="s">
        <v>992</v>
      </c>
      <c r="B1623" t="s">
        <v>993</v>
      </c>
      <c r="C1623" t="s">
        <v>50</v>
      </c>
      <c r="D1623" t="s">
        <v>357</v>
      </c>
      <c r="E1623">
        <v>0.25</v>
      </c>
      <c r="F1623">
        <v>151</v>
      </c>
      <c r="G1623">
        <v>37.75</v>
      </c>
    </row>
    <row r="1624" spans="1:7" x14ac:dyDescent="0.2">
      <c r="A1624" t="s">
        <v>992</v>
      </c>
      <c r="B1624" t="s">
        <v>993</v>
      </c>
      <c r="C1624" t="s">
        <v>55</v>
      </c>
      <c r="D1624" t="s">
        <v>371</v>
      </c>
      <c r="E1624">
        <v>1.35</v>
      </c>
      <c r="F1624">
        <v>120</v>
      </c>
      <c r="G1624">
        <v>162</v>
      </c>
    </row>
    <row r="1625" spans="1:7" x14ac:dyDescent="0.2">
      <c r="A1625" t="s">
        <v>992</v>
      </c>
      <c r="B1625" t="s">
        <v>993</v>
      </c>
      <c r="C1625" t="s">
        <v>60</v>
      </c>
      <c r="D1625" t="s">
        <v>337</v>
      </c>
      <c r="E1625">
        <v>0.02</v>
      </c>
      <c r="F1625">
        <v>130</v>
      </c>
      <c r="G1625">
        <v>2.6</v>
      </c>
    </row>
    <row r="1626" spans="1:7" x14ac:dyDescent="0.2">
      <c r="A1626" t="s">
        <v>992</v>
      </c>
      <c r="B1626" t="s">
        <v>993</v>
      </c>
      <c r="C1626" t="s">
        <v>69</v>
      </c>
      <c r="D1626" t="s">
        <v>288</v>
      </c>
      <c r="E1626">
        <v>0.25</v>
      </c>
      <c r="F1626">
        <v>190</v>
      </c>
      <c r="G1626">
        <v>47.5</v>
      </c>
    </row>
    <row r="1627" spans="1:7" x14ac:dyDescent="0.2">
      <c r="A1627" t="s">
        <v>992</v>
      </c>
      <c r="B1627" t="s">
        <v>993</v>
      </c>
      <c r="C1627" t="s">
        <v>79</v>
      </c>
      <c r="D1627" t="s">
        <v>289</v>
      </c>
      <c r="E1627">
        <v>0.2</v>
      </c>
      <c r="F1627">
        <v>380</v>
      </c>
      <c r="G1627">
        <v>76</v>
      </c>
    </row>
    <row r="1628" spans="1:7" x14ac:dyDescent="0.2">
      <c r="A1628" t="s">
        <v>992</v>
      </c>
      <c r="B1628" t="s">
        <v>993</v>
      </c>
      <c r="C1628" t="s">
        <v>82</v>
      </c>
      <c r="D1628" t="s">
        <v>319</v>
      </c>
      <c r="E1628">
        <v>0.8</v>
      </c>
      <c r="F1628">
        <v>380</v>
      </c>
      <c r="G1628">
        <v>304</v>
      </c>
    </row>
    <row r="1629" spans="1:7" x14ac:dyDescent="0.2">
      <c r="A1629" t="s">
        <v>992</v>
      </c>
      <c r="B1629" t="s">
        <v>993</v>
      </c>
      <c r="C1629" t="s">
        <v>93</v>
      </c>
      <c r="D1629" t="s">
        <v>327</v>
      </c>
      <c r="E1629">
        <v>0.21</v>
      </c>
      <c r="F1629">
        <v>70</v>
      </c>
      <c r="G1629">
        <v>14.7</v>
      </c>
    </row>
    <row r="1630" spans="1:7" x14ac:dyDescent="0.2">
      <c r="A1630" t="s">
        <v>992</v>
      </c>
      <c r="B1630" t="s">
        <v>993</v>
      </c>
      <c r="C1630" t="s">
        <v>47</v>
      </c>
      <c r="D1630" t="s">
        <v>328</v>
      </c>
      <c r="E1630">
        <v>0.15</v>
      </c>
      <c r="F1630">
        <v>235</v>
      </c>
      <c r="G1630">
        <v>35.25</v>
      </c>
    </row>
    <row r="1631" spans="1:7" x14ac:dyDescent="0.2">
      <c r="A1631" t="s">
        <v>992</v>
      </c>
      <c r="B1631" t="s">
        <v>993</v>
      </c>
      <c r="C1631" t="s">
        <v>48</v>
      </c>
      <c r="D1631" t="s">
        <v>359</v>
      </c>
      <c r="E1631">
        <v>7.4999999999999997E-2</v>
      </c>
      <c r="F1631">
        <v>412</v>
      </c>
      <c r="G1631">
        <v>30.9</v>
      </c>
    </row>
    <row r="1632" spans="1:7" x14ac:dyDescent="0.2">
      <c r="A1632" t="s">
        <v>992</v>
      </c>
      <c r="B1632" t="s">
        <v>993</v>
      </c>
      <c r="C1632" t="s">
        <v>19</v>
      </c>
      <c r="D1632" t="s">
        <v>329</v>
      </c>
      <c r="E1632">
        <v>3</v>
      </c>
      <c r="F1632">
        <v>2.9</v>
      </c>
      <c r="G1632">
        <v>8.6999999999999993</v>
      </c>
    </row>
    <row r="1633" spans="1:7" x14ac:dyDescent="0.2">
      <c r="A1633" t="s">
        <v>992</v>
      </c>
      <c r="B1633" t="s">
        <v>993</v>
      </c>
      <c r="C1633" t="s">
        <v>20</v>
      </c>
      <c r="D1633" t="s">
        <v>330</v>
      </c>
      <c r="E1633">
        <v>3</v>
      </c>
      <c r="F1633">
        <v>2.9</v>
      </c>
      <c r="G1633">
        <v>8.6999999999999993</v>
      </c>
    </row>
    <row r="1634" spans="1:7" x14ac:dyDescent="0.2">
      <c r="A1634" t="s">
        <v>992</v>
      </c>
      <c r="B1634" t="s">
        <v>993</v>
      </c>
      <c r="C1634" t="s">
        <v>24</v>
      </c>
      <c r="D1634" t="s">
        <v>360</v>
      </c>
      <c r="E1634">
        <v>2</v>
      </c>
      <c r="F1634">
        <v>2.2000000000000002</v>
      </c>
      <c r="G1634">
        <v>4.4000000000000004</v>
      </c>
    </row>
    <row r="1635" spans="1:7" x14ac:dyDescent="0.2">
      <c r="A1635" t="s">
        <v>992</v>
      </c>
      <c r="B1635" t="s">
        <v>993</v>
      </c>
      <c r="C1635" t="s">
        <v>26</v>
      </c>
      <c r="D1635" t="s">
        <v>361</v>
      </c>
      <c r="E1635">
        <v>4</v>
      </c>
      <c r="F1635">
        <v>1.5</v>
      </c>
      <c r="G1635">
        <v>6</v>
      </c>
    </row>
    <row r="1636" spans="1:7" x14ac:dyDescent="0.2">
      <c r="A1636" t="s">
        <v>992</v>
      </c>
      <c r="B1636" t="s">
        <v>993</v>
      </c>
      <c r="C1636" t="s">
        <v>29</v>
      </c>
      <c r="D1636" t="s">
        <v>292</v>
      </c>
      <c r="E1636">
        <v>0.8</v>
      </c>
      <c r="F1636">
        <v>27</v>
      </c>
      <c r="G1636">
        <v>21.6</v>
      </c>
    </row>
    <row r="1637" spans="1:7" x14ac:dyDescent="0.2">
      <c r="A1637" t="s">
        <v>992</v>
      </c>
      <c r="B1637" t="s">
        <v>993</v>
      </c>
      <c r="C1637" t="s">
        <v>30</v>
      </c>
      <c r="D1637" t="s">
        <v>332</v>
      </c>
      <c r="E1637">
        <v>2</v>
      </c>
      <c r="F1637">
        <v>6</v>
      </c>
      <c r="G1637">
        <v>12</v>
      </c>
    </row>
    <row r="1638" spans="1:7" x14ac:dyDescent="0.2">
      <c r="A1638" t="s">
        <v>992</v>
      </c>
      <c r="B1638" t="s">
        <v>993</v>
      </c>
      <c r="C1638" t="s">
        <v>104</v>
      </c>
      <c r="D1638" t="s">
        <v>343</v>
      </c>
      <c r="E1638">
        <v>1.4999999999999999E-2</v>
      </c>
      <c r="F1638">
        <v>890</v>
      </c>
      <c r="G1638">
        <v>13.35</v>
      </c>
    </row>
    <row r="1639" spans="1:7" x14ac:dyDescent="0.2">
      <c r="A1639" t="s">
        <v>992</v>
      </c>
      <c r="B1639" t="s">
        <v>993</v>
      </c>
      <c r="C1639" t="s">
        <v>121</v>
      </c>
      <c r="D1639" t="s">
        <v>301</v>
      </c>
      <c r="E1639">
        <v>1</v>
      </c>
      <c r="F1639">
        <v>0.95</v>
      </c>
      <c r="G1639">
        <v>0.95</v>
      </c>
    </row>
    <row r="1640" spans="1:7" x14ac:dyDescent="0.2">
      <c r="A1640" t="s">
        <v>992</v>
      </c>
      <c r="B1640" t="s">
        <v>993</v>
      </c>
      <c r="C1640" t="s">
        <v>122</v>
      </c>
      <c r="D1640" t="s">
        <v>302</v>
      </c>
      <c r="E1640">
        <v>1</v>
      </c>
      <c r="F1640">
        <v>4.2</v>
      </c>
      <c r="G1640">
        <v>4.2</v>
      </c>
    </row>
    <row r="1641" spans="1:7" x14ac:dyDescent="0.2">
      <c r="A1641" t="s">
        <v>992</v>
      </c>
      <c r="B1641" t="s">
        <v>993</v>
      </c>
      <c r="C1641" t="s">
        <v>4</v>
      </c>
      <c r="D1641" t="s">
        <v>304</v>
      </c>
      <c r="E1641">
        <v>5.7</v>
      </c>
      <c r="F1641">
        <v>10.1</v>
      </c>
      <c r="G1641">
        <v>57.57</v>
      </c>
    </row>
    <row r="1642" spans="1:7" x14ac:dyDescent="0.2">
      <c r="A1642" t="s">
        <v>992</v>
      </c>
      <c r="B1642" t="s">
        <v>993</v>
      </c>
      <c r="C1642" t="s">
        <v>5</v>
      </c>
      <c r="D1642" t="s">
        <v>305</v>
      </c>
      <c r="E1642">
        <v>2.5</v>
      </c>
      <c r="F1642">
        <v>11.5</v>
      </c>
      <c r="G1642">
        <v>28.75</v>
      </c>
    </row>
    <row r="1643" spans="1:7" x14ac:dyDescent="0.2">
      <c r="A1643" t="s">
        <v>992</v>
      </c>
      <c r="B1643" t="s">
        <v>993</v>
      </c>
      <c r="C1643" t="s">
        <v>6</v>
      </c>
      <c r="D1643" t="s">
        <v>306</v>
      </c>
      <c r="E1643">
        <v>0.8</v>
      </c>
      <c r="F1643">
        <v>16.8</v>
      </c>
      <c r="G1643">
        <v>13.44</v>
      </c>
    </row>
    <row r="1644" spans="1:7" x14ac:dyDescent="0.2">
      <c r="A1644" t="s">
        <v>992</v>
      </c>
      <c r="B1644" t="s">
        <v>993</v>
      </c>
      <c r="C1644" t="s">
        <v>13</v>
      </c>
      <c r="D1644" t="s">
        <v>309</v>
      </c>
      <c r="E1644">
        <v>0.45</v>
      </c>
      <c r="F1644">
        <v>7</v>
      </c>
      <c r="G1644">
        <v>3.15</v>
      </c>
    </row>
    <row r="1645" spans="1:7" x14ac:dyDescent="0.2">
      <c r="A1645" t="s">
        <v>992</v>
      </c>
      <c r="B1645" t="s">
        <v>993</v>
      </c>
      <c r="C1645" t="s">
        <v>105</v>
      </c>
      <c r="D1645" t="s">
        <v>313</v>
      </c>
      <c r="E1645">
        <v>10</v>
      </c>
      <c r="F1645">
        <v>0.1</v>
      </c>
      <c r="G1645">
        <v>1</v>
      </c>
    </row>
    <row r="1646" spans="1:7" x14ac:dyDescent="0.2">
      <c r="A1646" t="s">
        <v>992</v>
      </c>
      <c r="B1646" t="s">
        <v>993</v>
      </c>
      <c r="C1646" t="s">
        <v>111</v>
      </c>
      <c r="D1646" t="s">
        <v>320</v>
      </c>
      <c r="E1646">
        <v>290</v>
      </c>
      <c r="F1646">
        <v>0.1</v>
      </c>
      <c r="G1646">
        <v>29</v>
      </c>
    </row>
    <row r="1647" spans="1:7" x14ac:dyDescent="0.2">
      <c r="A1647" t="s">
        <v>988</v>
      </c>
      <c r="B1647" t="s">
        <v>989</v>
      </c>
      <c r="C1647" t="s">
        <v>94</v>
      </c>
      <c r="D1647" t="s">
        <v>280</v>
      </c>
      <c r="E1647">
        <v>1</v>
      </c>
      <c r="F1647">
        <v>3.5</v>
      </c>
      <c r="G1647">
        <v>3.5</v>
      </c>
    </row>
    <row r="1648" spans="1:7" x14ac:dyDescent="0.2">
      <c r="A1648" t="s">
        <v>988</v>
      </c>
      <c r="B1648" t="s">
        <v>989</v>
      </c>
      <c r="C1648" t="s">
        <v>95</v>
      </c>
      <c r="D1648" t="s">
        <v>281</v>
      </c>
      <c r="E1648">
        <v>2</v>
      </c>
      <c r="F1648">
        <v>2</v>
      </c>
      <c r="G1648">
        <v>4</v>
      </c>
    </row>
    <row r="1649" spans="1:7" x14ac:dyDescent="0.2">
      <c r="A1649" t="s">
        <v>988</v>
      </c>
      <c r="B1649" t="s">
        <v>989</v>
      </c>
      <c r="C1649" t="s">
        <v>44</v>
      </c>
      <c r="D1649" t="s">
        <v>324</v>
      </c>
      <c r="E1649">
        <v>0.25</v>
      </c>
      <c r="F1649">
        <v>65</v>
      </c>
      <c r="G1649">
        <v>16.25</v>
      </c>
    </row>
    <row r="1650" spans="1:7" x14ac:dyDescent="0.2">
      <c r="A1650" t="s">
        <v>988</v>
      </c>
      <c r="B1650" t="s">
        <v>989</v>
      </c>
      <c r="C1650" t="s">
        <v>50</v>
      </c>
      <c r="D1650" t="s">
        <v>357</v>
      </c>
      <c r="E1650">
        <v>0.25</v>
      </c>
      <c r="F1650">
        <v>151</v>
      </c>
      <c r="G1650">
        <v>37.75</v>
      </c>
    </row>
    <row r="1651" spans="1:7" x14ac:dyDescent="0.2">
      <c r="A1651" t="s">
        <v>988</v>
      </c>
      <c r="B1651" t="s">
        <v>989</v>
      </c>
      <c r="C1651" t="s">
        <v>52</v>
      </c>
      <c r="D1651" t="s">
        <v>321</v>
      </c>
      <c r="E1651">
        <v>1.35</v>
      </c>
      <c r="F1651">
        <v>120</v>
      </c>
      <c r="G1651">
        <v>162</v>
      </c>
    </row>
    <row r="1652" spans="1:7" x14ac:dyDescent="0.2">
      <c r="A1652" t="s">
        <v>988</v>
      </c>
      <c r="B1652" t="s">
        <v>989</v>
      </c>
      <c r="C1652" t="s">
        <v>60</v>
      </c>
      <c r="D1652" t="s">
        <v>337</v>
      </c>
      <c r="E1652">
        <v>0.02</v>
      </c>
      <c r="F1652">
        <v>130</v>
      </c>
      <c r="G1652">
        <v>2.6</v>
      </c>
    </row>
    <row r="1653" spans="1:7" x14ac:dyDescent="0.2">
      <c r="A1653" t="s">
        <v>988</v>
      </c>
      <c r="B1653" t="s">
        <v>989</v>
      </c>
      <c r="C1653" t="s">
        <v>69</v>
      </c>
      <c r="D1653" t="s">
        <v>288</v>
      </c>
      <c r="E1653">
        <v>0.25</v>
      </c>
      <c r="F1653">
        <v>190</v>
      </c>
      <c r="G1653">
        <v>47.5</v>
      </c>
    </row>
    <row r="1654" spans="1:7" x14ac:dyDescent="0.2">
      <c r="A1654" t="s">
        <v>988</v>
      </c>
      <c r="B1654" t="s">
        <v>989</v>
      </c>
      <c r="C1654" t="s">
        <v>79</v>
      </c>
      <c r="D1654" t="s">
        <v>289</v>
      </c>
      <c r="E1654">
        <v>0.2</v>
      </c>
      <c r="F1654">
        <v>380</v>
      </c>
      <c r="G1654">
        <v>76</v>
      </c>
    </row>
    <row r="1655" spans="1:7" x14ac:dyDescent="0.2">
      <c r="A1655" t="s">
        <v>988</v>
      </c>
      <c r="B1655" t="s">
        <v>989</v>
      </c>
      <c r="C1655" t="s">
        <v>81</v>
      </c>
      <c r="D1655" t="s">
        <v>322</v>
      </c>
      <c r="E1655">
        <v>0.8</v>
      </c>
      <c r="F1655">
        <v>380</v>
      </c>
      <c r="G1655">
        <v>304</v>
      </c>
    </row>
    <row r="1656" spans="1:7" x14ac:dyDescent="0.2">
      <c r="A1656" t="s">
        <v>988</v>
      </c>
      <c r="B1656" t="s">
        <v>989</v>
      </c>
      <c r="C1656" t="s">
        <v>93</v>
      </c>
      <c r="D1656" t="s">
        <v>327</v>
      </c>
      <c r="E1656">
        <v>0.21</v>
      </c>
      <c r="F1656">
        <v>70</v>
      </c>
      <c r="G1656">
        <v>14.7</v>
      </c>
    </row>
    <row r="1657" spans="1:7" x14ac:dyDescent="0.2">
      <c r="A1657" t="s">
        <v>988</v>
      </c>
      <c r="B1657" t="s">
        <v>989</v>
      </c>
      <c r="C1657" t="s">
        <v>47</v>
      </c>
      <c r="D1657" t="s">
        <v>328</v>
      </c>
      <c r="E1657">
        <v>0.15</v>
      </c>
      <c r="F1657">
        <v>235</v>
      </c>
      <c r="G1657">
        <v>35.25</v>
      </c>
    </row>
    <row r="1658" spans="1:7" x14ac:dyDescent="0.2">
      <c r="A1658" t="s">
        <v>988</v>
      </c>
      <c r="B1658" t="s">
        <v>989</v>
      </c>
      <c r="C1658" t="s">
        <v>48</v>
      </c>
      <c r="D1658" t="s">
        <v>359</v>
      </c>
      <c r="E1658">
        <v>7.4999999999999997E-2</v>
      </c>
      <c r="F1658">
        <v>412</v>
      </c>
      <c r="G1658">
        <v>30.9</v>
      </c>
    </row>
    <row r="1659" spans="1:7" x14ac:dyDescent="0.2">
      <c r="A1659" t="s">
        <v>988</v>
      </c>
      <c r="B1659" t="s">
        <v>989</v>
      </c>
      <c r="C1659" t="s">
        <v>19</v>
      </c>
      <c r="D1659" t="s">
        <v>329</v>
      </c>
      <c r="E1659">
        <v>3</v>
      </c>
      <c r="F1659">
        <v>2.9</v>
      </c>
      <c r="G1659">
        <v>8.6999999999999993</v>
      </c>
    </row>
    <row r="1660" spans="1:7" x14ac:dyDescent="0.2">
      <c r="A1660" t="s">
        <v>988</v>
      </c>
      <c r="B1660" t="s">
        <v>989</v>
      </c>
      <c r="C1660" t="s">
        <v>20</v>
      </c>
      <c r="D1660" t="s">
        <v>330</v>
      </c>
      <c r="E1660">
        <v>3</v>
      </c>
      <c r="F1660">
        <v>2.9</v>
      </c>
      <c r="G1660">
        <v>8.6999999999999993</v>
      </c>
    </row>
    <row r="1661" spans="1:7" x14ac:dyDescent="0.2">
      <c r="A1661" t="s">
        <v>988</v>
      </c>
      <c r="B1661" t="s">
        <v>989</v>
      </c>
      <c r="C1661" t="s">
        <v>24</v>
      </c>
      <c r="D1661" t="s">
        <v>360</v>
      </c>
      <c r="E1661">
        <v>2</v>
      </c>
      <c r="F1661">
        <v>2.2000000000000002</v>
      </c>
      <c r="G1661">
        <v>4.4000000000000004</v>
      </c>
    </row>
    <row r="1662" spans="1:7" x14ac:dyDescent="0.2">
      <c r="A1662" t="s">
        <v>988</v>
      </c>
      <c r="B1662" t="s">
        <v>989</v>
      </c>
      <c r="C1662" t="s">
        <v>26</v>
      </c>
      <c r="D1662" t="s">
        <v>361</v>
      </c>
      <c r="E1662">
        <v>4</v>
      </c>
      <c r="F1662">
        <v>1.5</v>
      </c>
      <c r="G1662">
        <v>6</v>
      </c>
    </row>
    <row r="1663" spans="1:7" x14ac:dyDescent="0.2">
      <c r="A1663" t="s">
        <v>988</v>
      </c>
      <c r="B1663" t="s">
        <v>989</v>
      </c>
      <c r="C1663" t="s">
        <v>29</v>
      </c>
      <c r="D1663" t="s">
        <v>292</v>
      </c>
      <c r="E1663">
        <v>0.8</v>
      </c>
      <c r="F1663">
        <v>27</v>
      </c>
      <c r="G1663">
        <v>21.6</v>
      </c>
    </row>
    <row r="1664" spans="1:7" x14ac:dyDescent="0.2">
      <c r="A1664" t="s">
        <v>988</v>
      </c>
      <c r="B1664" t="s">
        <v>989</v>
      </c>
      <c r="C1664" t="s">
        <v>30</v>
      </c>
      <c r="D1664" t="s">
        <v>332</v>
      </c>
      <c r="E1664">
        <v>2</v>
      </c>
      <c r="F1664">
        <v>6</v>
      </c>
      <c r="G1664">
        <v>12</v>
      </c>
    </row>
    <row r="1665" spans="1:7" x14ac:dyDescent="0.2">
      <c r="A1665" t="s">
        <v>988</v>
      </c>
      <c r="B1665" t="s">
        <v>989</v>
      </c>
      <c r="C1665" t="s">
        <v>104</v>
      </c>
      <c r="D1665" t="s">
        <v>343</v>
      </c>
      <c r="E1665">
        <v>1.4999999999999999E-2</v>
      </c>
      <c r="F1665">
        <v>890</v>
      </c>
      <c r="G1665">
        <v>13.35</v>
      </c>
    </row>
    <row r="1666" spans="1:7" x14ac:dyDescent="0.2">
      <c r="A1666" t="s">
        <v>988</v>
      </c>
      <c r="B1666" t="s">
        <v>989</v>
      </c>
      <c r="C1666" t="s">
        <v>121</v>
      </c>
      <c r="D1666" t="s">
        <v>301</v>
      </c>
      <c r="E1666">
        <v>1</v>
      </c>
      <c r="F1666">
        <v>0.95</v>
      </c>
      <c r="G1666">
        <v>0.95</v>
      </c>
    </row>
    <row r="1667" spans="1:7" x14ac:dyDescent="0.2">
      <c r="A1667" t="s">
        <v>988</v>
      </c>
      <c r="B1667" t="s">
        <v>989</v>
      </c>
      <c r="C1667" t="s">
        <v>122</v>
      </c>
      <c r="D1667" t="s">
        <v>302</v>
      </c>
      <c r="E1667">
        <v>1</v>
      </c>
      <c r="F1667">
        <v>4.2</v>
      </c>
      <c r="G1667">
        <v>4.2</v>
      </c>
    </row>
    <row r="1668" spans="1:7" x14ac:dyDescent="0.2">
      <c r="A1668" t="s">
        <v>988</v>
      </c>
      <c r="B1668" t="s">
        <v>989</v>
      </c>
      <c r="C1668" t="s">
        <v>4</v>
      </c>
      <c r="D1668" t="s">
        <v>304</v>
      </c>
      <c r="E1668">
        <v>5.7</v>
      </c>
      <c r="F1668">
        <v>10.1</v>
      </c>
      <c r="G1668">
        <v>57.57</v>
      </c>
    </row>
    <row r="1669" spans="1:7" x14ac:dyDescent="0.2">
      <c r="A1669" t="s">
        <v>988</v>
      </c>
      <c r="B1669" t="s">
        <v>989</v>
      </c>
      <c r="C1669" t="s">
        <v>5</v>
      </c>
      <c r="D1669" t="s">
        <v>305</v>
      </c>
      <c r="E1669">
        <v>2.5</v>
      </c>
      <c r="F1669">
        <v>11.5</v>
      </c>
      <c r="G1669">
        <v>28.75</v>
      </c>
    </row>
    <row r="1670" spans="1:7" x14ac:dyDescent="0.2">
      <c r="A1670" t="s">
        <v>988</v>
      </c>
      <c r="B1670" t="s">
        <v>989</v>
      </c>
      <c r="C1670" t="s">
        <v>6</v>
      </c>
      <c r="D1670" t="s">
        <v>306</v>
      </c>
      <c r="E1670">
        <v>0.8</v>
      </c>
      <c r="F1670">
        <v>16.8</v>
      </c>
      <c r="G1670">
        <v>13.44</v>
      </c>
    </row>
    <row r="1671" spans="1:7" x14ac:dyDescent="0.2">
      <c r="A1671" t="s">
        <v>988</v>
      </c>
      <c r="B1671" t="s">
        <v>989</v>
      </c>
      <c r="C1671" t="s">
        <v>13</v>
      </c>
      <c r="D1671" t="s">
        <v>309</v>
      </c>
      <c r="E1671">
        <v>0.45</v>
      </c>
      <c r="F1671">
        <v>7</v>
      </c>
      <c r="G1671">
        <v>3.15</v>
      </c>
    </row>
    <row r="1672" spans="1:7" x14ac:dyDescent="0.2">
      <c r="A1672" t="s">
        <v>988</v>
      </c>
      <c r="B1672" t="s">
        <v>989</v>
      </c>
      <c r="C1672" t="s">
        <v>105</v>
      </c>
      <c r="D1672" t="s">
        <v>313</v>
      </c>
      <c r="E1672">
        <v>250</v>
      </c>
      <c r="F1672">
        <v>0.1</v>
      </c>
      <c r="G1672">
        <v>25</v>
      </c>
    </row>
    <row r="1673" spans="1:7" x14ac:dyDescent="0.2">
      <c r="A1673" t="s">
        <v>988</v>
      </c>
      <c r="B1673" t="s">
        <v>989</v>
      </c>
      <c r="C1673" t="s">
        <v>108</v>
      </c>
      <c r="D1673" t="s">
        <v>323</v>
      </c>
      <c r="E1673">
        <v>40</v>
      </c>
      <c r="F1673">
        <v>0.1</v>
      </c>
      <c r="G1673">
        <v>4</v>
      </c>
    </row>
    <row r="1674" spans="1:7" x14ac:dyDescent="0.2">
      <c r="A1674" t="s">
        <v>950</v>
      </c>
      <c r="B1674" t="s">
        <v>951</v>
      </c>
      <c r="C1674" t="s">
        <v>19</v>
      </c>
      <c r="D1674" t="s">
        <v>329</v>
      </c>
      <c r="E1674">
        <v>1</v>
      </c>
      <c r="F1674">
        <v>2.9</v>
      </c>
      <c r="G1674">
        <v>2.9</v>
      </c>
    </row>
    <row r="1675" spans="1:7" x14ac:dyDescent="0.2">
      <c r="A1675" t="s">
        <v>950</v>
      </c>
      <c r="B1675" t="s">
        <v>951</v>
      </c>
      <c r="C1675" t="s">
        <v>20</v>
      </c>
      <c r="D1675" t="s">
        <v>330</v>
      </c>
      <c r="E1675">
        <v>1</v>
      </c>
      <c r="F1675">
        <v>2.9</v>
      </c>
      <c r="G1675">
        <v>2.9</v>
      </c>
    </row>
    <row r="1676" spans="1:7" x14ac:dyDescent="0.2">
      <c r="A1676" t="s">
        <v>950</v>
      </c>
      <c r="B1676" t="s">
        <v>951</v>
      </c>
      <c r="C1676" t="s">
        <v>26</v>
      </c>
      <c r="D1676" t="s">
        <v>361</v>
      </c>
      <c r="E1676">
        <v>4</v>
      </c>
      <c r="F1676">
        <v>1.5</v>
      </c>
      <c r="G1676">
        <v>6</v>
      </c>
    </row>
    <row r="1677" spans="1:7" x14ac:dyDescent="0.2">
      <c r="A1677" t="s">
        <v>950</v>
      </c>
      <c r="B1677" t="s">
        <v>951</v>
      </c>
      <c r="C1677" t="s">
        <v>121</v>
      </c>
      <c r="D1677" t="s">
        <v>301</v>
      </c>
      <c r="E1677">
        <v>1</v>
      </c>
      <c r="F1677">
        <v>0.95</v>
      </c>
      <c r="G1677">
        <v>0.95</v>
      </c>
    </row>
    <row r="1678" spans="1:7" x14ac:dyDescent="0.2">
      <c r="A1678" t="s">
        <v>950</v>
      </c>
      <c r="B1678" t="s">
        <v>951</v>
      </c>
      <c r="C1678" t="s">
        <v>122</v>
      </c>
      <c r="D1678" t="s">
        <v>302</v>
      </c>
      <c r="E1678">
        <v>1</v>
      </c>
      <c r="F1678">
        <v>4.2</v>
      </c>
      <c r="G1678">
        <v>4.2</v>
      </c>
    </row>
    <row r="1679" spans="1:7" x14ac:dyDescent="0.2">
      <c r="A1679" t="s">
        <v>950</v>
      </c>
      <c r="B1679" t="s">
        <v>951</v>
      </c>
      <c r="C1679" t="s">
        <v>4</v>
      </c>
      <c r="D1679" t="s">
        <v>304</v>
      </c>
      <c r="E1679">
        <v>1</v>
      </c>
      <c r="F1679">
        <v>10.1</v>
      </c>
      <c r="G1679">
        <v>10.1</v>
      </c>
    </row>
    <row r="1680" spans="1:7" x14ac:dyDescent="0.2">
      <c r="A1680" t="s">
        <v>950</v>
      </c>
      <c r="B1680" t="s">
        <v>951</v>
      </c>
      <c r="C1680" t="s">
        <v>105</v>
      </c>
      <c r="D1680" t="s">
        <v>313</v>
      </c>
      <c r="E1680">
        <v>1</v>
      </c>
      <c r="F1680">
        <v>0.1</v>
      </c>
      <c r="G1680">
        <v>0.1</v>
      </c>
    </row>
    <row r="1681" spans="1:7" x14ac:dyDescent="0.2">
      <c r="A1681" t="s">
        <v>994</v>
      </c>
      <c r="B1681" t="s">
        <v>995</v>
      </c>
      <c r="C1681" t="s">
        <v>94</v>
      </c>
      <c r="D1681" t="s">
        <v>280</v>
      </c>
      <c r="E1681">
        <v>1</v>
      </c>
      <c r="F1681">
        <v>3.5</v>
      </c>
      <c r="G1681">
        <v>3.5</v>
      </c>
    </row>
    <row r="1682" spans="1:7" x14ac:dyDescent="0.2">
      <c r="A1682" t="s">
        <v>994</v>
      </c>
      <c r="B1682" t="s">
        <v>995</v>
      </c>
      <c r="C1682" t="s">
        <v>95</v>
      </c>
      <c r="D1682" t="s">
        <v>281</v>
      </c>
      <c r="E1682">
        <v>1</v>
      </c>
      <c r="F1682">
        <v>2</v>
      </c>
      <c r="G1682">
        <v>2</v>
      </c>
    </row>
    <row r="1683" spans="1:7" x14ac:dyDescent="0.2">
      <c r="A1683" t="s">
        <v>994</v>
      </c>
      <c r="B1683" t="s">
        <v>995</v>
      </c>
      <c r="C1683" t="s">
        <v>44</v>
      </c>
      <c r="D1683" t="s">
        <v>324</v>
      </c>
      <c r="E1683">
        <v>0.25</v>
      </c>
      <c r="F1683">
        <v>65</v>
      </c>
      <c r="G1683">
        <v>16.25</v>
      </c>
    </row>
    <row r="1684" spans="1:7" x14ac:dyDescent="0.2">
      <c r="A1684" t="s">
        <v>994</v>
      </c>
      <c r="B1684" t="s">
        <v>995</v>
      </c>
      <c r="C1684" t="s">
        <v>54</v>
      </c>
      <c r="D1684" t="s">
        <v>358</v>
      </c>
      <c r="E1684">
        <v>1.1499999999999999</v>
      </c>
      <c r="F1684">
        <v>120</v>
      </c>
      <c r="G1684">
        <v>138</v>
      </c>
    </row>
    <row r="1685" spans="1:7" x14ac:dyDescent="0.2">
      <c r="A1685" t="s">
        <v>994</v>
      </c>
      <c r="B1685" t="s">
        <v>995</v>
      </c>
      <c r="C1685" t="s">
        <v>60</v>
      </c>
      <c r="D1685" t="s">
        <v>337</v>
      </c>
      <c r="E1685">
        <v>0.2</v>
      </c>
      <c r="F1685">
        <v>130</v>
      </c>
      <c r="G1685">
        <v>26</v>
      </c>
    </row>
    <row r="1686" spans="1:7" x14ac:dyDescent="0.2">
      <c r="A1686" t="s">
        <v>994</v>
      </c>
      <c r="B1686" t="s">
        <v>995</v>
      </c>
      <c r="C1686" t="s">
        <v>61</v>
      </c>
      <c r="D1686" t="s">
        <v>341</v>
      </c>
      <c r="E1686">
        <v>0.9</v>
      </c>
      <c r="F1686">
        <v>190</v>
      </c>
      <c r="G1686">
        <v>171</v>
      </c>
    </row>
    <row r="1687" spans="1:7" x14ac:dyDescent="0.2">
      <c r="A1687" t="s">
        <v>994</v>
      </c>
      <c r="B1687" t="s">
        <v>995</v>
      </c>
      <c r="C1687" t="s">
        <v>70</v>
      </c>
      <c r="D1687" t="s">
        <v>342</v>
      </c>
      <c r="E1687">
        <v>0.19</v>
      </c>
      <c r="F1687">
        <v>145</v>
      </c>
      <c r="G1687">
        <v>27.55</v>
      </c>
    </row>
    <row r="1688" spans="1:7" x14ac:dyDescent="0.2">
      <c r="A1688" t="s">
        <v>994</v>
      </c>
      <c r="B1688" t="s">
        <v>995</v>
      </c>
      <c r="C1688" t="s">
        <v>93</v>
      </c>
      <c r="D1688" t="s">
        <v>327</v>
      </c>
      <c r="E1688">
        <v>0.15</v>
      </c>
      <c r="F1688">
        <v>70</v>
      </c>
      <c r="G1688">
        <v>10.5</v>
      </c>
    </row>
    <row r="1689" spans="1:7" x14ac:dyDescent="0.2">
      <c r="A1689" t="s">
        <v>994</v>
      </c>
      <c r="B1689" t="s">
        <v>995</v>
      </c>
      <c r="C1689" t="s">
        <v>47</v>
      </c>
      <c r="D1689" t="s">
        <v>328</v>
      </c>
      <c r="E1689">
        <v>0.1</v>
      </c>
      <c r="F1689">
        <v>235</v>
      </c>
      <c r="G1689">
        <v>23.5</v>
      </c>
    </row>
    <row r="1690" spans="1:7" x14ac:dyDescent="0.2">
      <c r="A1690" t="s">
        <v>994</v>
      </c>
      <c r="B1690" t="s">
        <v>995</v>
      </c>
      <c r="C1690" t="s">
        <v>49</v>
      </c>
      <c r="D1690" t="s">
        <v>290</v>
      </c>
      <c r="E1690">
        <v>7.4999999999999997E-2</v>
      </c>
      <c r="F1690">
        <v>248</v>
      </c>
      <c r="G1690">
        <v>18.600000000000001</v>
      </c>
    </row>
    <row r="1691" spans="1:7" x14ac:dyDescent="0.2">
      <c r="A1691" t="s">
        <v>994</v>
      </c>
      <c r="B1691" t="s">
        <v>995</v>
      </c>
      <c r="C1691" t="s">
        <v>19</v>
      </c>
      <c r="D1691" t="s">
        <v>329</v>
      </c>
      <c r="E1691">
        <v>2</v>
      </c>
      <c r="F1691">
        <v>2.9</v>
      </c>
      <c r="G1691">
        <v>5.8</v>
      </c>
    </row>
    <row r="1692" spans="1:7" x14ac:dyDescent="0.2">
      <c r="A1692" t="s">
        <v>994</v>
      </c>
      <c r="B1692" t="s">
        <v>995</v>
      </c>
      <c r="C1692" t="s">
        <v>20</v>
      </c>
      <c r="D1692" t="s">
        <v>330</v>
      </c>
      <c r="E1692">
        <v>2</v>
      </c>
      <c r="F1692">
        <v>2.9</v>
      </c>
      <c r="G1692">
        <v>5.8</v>
      </c>
    </row>
    <row r="1693" spans="1:7" x14ac:dyDescent="0.2">
      <c r="A1693" t="s">
        <v>994</v>
      </c>
      <c r="B1693" t="s">
        <v>995</v>
      </c>
      <c r="C1693" t="s">
        <v>22</v>
      </c>
      <c r="D1693" t="s">
        <v>331</v>
      </c>
      <c r="E1693">
        <v>2</v>
      </c>
      <c r="F1693">
        <v>2.5</v>
      </c>
      <c r="G1693">
        <v>5</v>
      </c>
    </row>
    <row r="1694" spans="1:7" x14ac:dyDescent="0.2">
      <c r="A1694" t="s">
        <v>994</v>
      </c>
      <c r="B1694" t="s">
        <v>995</v>
      </c>
      <c r="C1694" t="s">
        <v>29</v>
      </c>
      <c r="D1694" t="s">
        <v>292</v>
      </c>
      <c r="E1694">
        <v>0.8</v>
      </c>
      <c r="F1694">
        <v>27</v>
      </c>
      <c r="G1694">
        <v>21.6</v>
      </c>
    </row>
    <row r="1695" spans="1:7" x14ac:dyDescent="0.2">
      <c r="A1695" t="s">
        <v>994</v>
      </c>
      <c r="B1695" t="s">
        <v>995</v>
      </c>
      <c r="C1695" t="s">
        <v>30</v>
      </c>
      <c r="D1695" t="s">
        <v>332</v>
      </c>
      <c r="E1695">
        <v>2</v>
      </c>
      <c r="F1695">
        <v>6</v>
      </c>
      <c r="G1695">
        <v>12</v>
      </c>
    </row>
    <row r="1696" spans="1:7" x14ac:dyDescent="0.2">
      <c r="A1696" t="s">
        <v>994</v>
      </c>
      <c r="B1696" t="s">
        <v>995</v>
      </c>
      <c r="C1696" t="s">
        <v>104</v>
      </c>
      <c r="D1696" t="s">
        <v>343</v>
      </c>
      <c r="E1696">
        <v>1.4999999999999999E-2</v>
      </c>
      <c r="F1696">
        <v>890</v>
      </c>
      <c r="G1696">
        <v>13.35</v>
      </c>
    </row>
    <row r="1697" spans="1:7" x14ac:dyDescent="0.2">
      <c r="A1697" t="s">
        <v>994</v>
      </c>
      <c r="B1697" t="s">
        <v>995</v>
      </c>
      <c r="C1697" t="s">
        <v>121</v>
      </c>
      <c r="D1697" t="s">
        <v>301</v>
      </c>
      <c r="E1697">
        <v>1</v>
      </c>
      <c r="F1697">
        <v>0.95</v>
      </c>
      <c r="G1697">
        <v>0.95</v>
      </c>
    </row>
    <row r="1698" spans="1:7" x14ac:dyDescent="0.2">
      <c r="A1698" t="s">
        <v>994</v>
      </c>
      <c r="B1698" t="s">
        <v>995</v>
      </c>
      <c r="C1698" t="s">
        <v>122</v>
      </c>
      <c r="D1698" t="s">
        <v>302</v>
      </c>
      <c r="E1698">
        <v>1</v>
      </c>
      <c r="F1698">
        <v>4.2</v>
      </c>
      <c r="G1698">
        <v>4.2</v>
      </c>
    </row>
    <row r="1699" spans="1:7" x14ac:dyDescent="0.2">
      <c r="A1699" t="s">
        <v>994</v>
      </c>
      <c r="B1699" t="s">
        <v>995</v>
      </c>
      <c r="C1699" t="s">
        <v>4</v>
      </c>
      <c r="D1699" t="s">
        <v>304</v>
      </c>
      <c r="E1699">
        <v>5.6</v>
      </c>
      <c r="F1699">
        <v>10.1</v>
      </c>
      <c r="G1699">
        <v>56.56</v>
      </c>
    </row>
    <row r="1700" spans="1:7" x14ac:dyDescent="0.2">
      <c r="A1700" t="s">
        <v>994</v>
      </c>
      <c r="B1700" t="s">
        <v>995</v>
      </c>
      <c r="C1700" t="s">
        <v>5</v>
      </c>
      <c r="D1700" t="s">
        <v>305</v>
      </c>
      <c r="E1700">
        <v>0.2</v>
      </c>
      <c r="F1700">
        <v>11.5</v>
      </c>
      <c r="G1700">
        <v>2.2999999999999998</v>
      </c>
    </row>
    <row r="1701" spans="1:7" x14ac:dyDescent="0.2">
      <c r="A1701" t="s">
        <v>994</v>
      </c>
      <c r="B1701" t="s">
        <v>995</v>
      </c>
      <c r="C1701" t="s">
        <v>105</v>
      </c>
      <c r="D1701" t="s">
        <v>313</v>
      </c>
      <c r="E1701">
        <v>250</v>
      </c>
      <c r="F1701">
        <v>0.1</v>
      </c>
      <c r="G1701">
        <v>25</v>
      </c>
    </row>
    <row r="1702" spans="1:7" x14ac:dyDescent="0.2">
      <c r="A1702" t="s">
        <v>994</v>
      </c>
      <c r="B1702" t="s">
        <v>995</v>
      </c>
      <c r="C1702" t="s">
        <v>112</v>
      </c>
      <c r="D1702" t="s">
        <v>362</v>
      </c>
      <c r="E1702">
        <v>50</v>
      </c>
      <c r="F1702">
        <v>0.1</v>
      </c>
      <c r="G1702">
        <v>5</v>
      </c>
    </row>
    <row r="1703" spans="1:7" x14ac:dyDescent="0.2">
      <c r="A1703" t="s">
        <v>1002</v>
      </c>
      <c r="B1703" t="s">
        <v>1003</v>
      </c>
      <c r="C1703" t="s">
        <v>94</v>
      </c>
      <c r="D1703" t="s">
        <v>280</v>
      </c>
      <c r="E1703">
        <v>1</v>
      </c>
      <c r="F1703">
        <v>3.5</v>
      </c>
      <c r="G1703">
        <v>3.5</v>
      </c>
    </row>
    <row r="1704" spans="1:7" x14ac:dyDescent="0.2">
      <c r="A1704" t="s">
        <v>1002</v>
      </c>
      <c r="B1704" t="s">
        <v>1003</v>
      </c>
      <c r="C1704" t="s">
        <v>95</v>
      </c>
      <c r="D1704" t="s">
        <v>281</v>
      </c>
      <c r="E1704">
        <v>1</v>
      </c>
      <c r="F1704">
        <v>2</v>
      </c>
      <c r="G1704">
        <v>2</v>
      </c>
    </row>
    <row r="1705" spans="1:7" x14ac:dyDescent="0.2">
      <c r="A1705" t="s">
        <v>1002</v>
      </c>
      <c r="B1705" t="s">
        <v>1003</v>
      </c>
      <c r="C1705" t="s">
        <v>44</v>
      </c>
      <c r="D1705" t="s">
        <v>324</v>
      </c>
      <c r="E1705">
        <v>0.25</v>
      </c>
      <c r="F1705">
        <v>65</v>
      </c>
      <c r="G1705">
        <v>16.25</v>
      </c>
    </row>
    <row r="1706" spans="1:7" x14ac:dyDescent="0.2">
      <c r="A1706" t="s">
        <v>1002</v>
      </c>
      <c r="B1706" t="s">
        <v>1003</v>
      </c>
      <c r="C1706" t="s">
        <v>53</v>
      </c>
      <c r="D1706" t="s">
        <v>325</v>
      </c>
      <c r="E1706">
        <v>1.1499999999999999</v>
      </c>
      <c r="F1706">
        <v>120</v>
      </c>
      <c r="G1706">
        <v>138</v>
      </c>
    </row>
    <row r="1707" spans="1:7" x14ac:dyDescent="0.2">
      <c r="A1707" t="s">
        <v>1002</v>
      </c>
      <c r="B1707" t="s">
        <v>1003</v>
      </c>
      <c r="C1707" t="s">
        <v>60</v>
      </c>
      <c r="D1707" t="s">
        <v>337</v>
      </c>
      <c r="E1707">
        <v>0.2</v>
      </c>
      <c r="F1707">
        <v>130</v>
      </c>
      <c r="G1707">
        <v>26</v>
      </c>
    </row>
    <row r="1708" spans="1:7" x14ac:dyDescent="0.2">
      <c r="A1708" t="s">
        <v>1002</v>
      </c>
      <c r="B1708" t="s">
        <v>1003</v>
      </c>
      <c r="C1708" t="s">
        <v>61</v>
      </c>
      <c r="D1708" t="s">
        <v>341</v>
      </c>
      <c r="E1708">
        <v>0.2</v>
      </c>
      <c r="F1708">
        <v>190</v>
      </c>
      <c r="G1708">
        <v>38</v>
      </c>
    </row>
    <row r="1709" spans="1:7" x14ac:dyDescent="0.2">
      <c r="A1709" t="s">
        <v>1002</v>
      </c>
      <c r="B1709" t="s">
        <v>1003</v>
      </c>
      <c r="C1709" t="s">
        <v>65</v>
      </c>
      <c r="D1709" t="s">
        <v>351</v>
      </c>
      <c r="E1709">
        <v>0.9</v>
      </c>
      <c r="F1709">
        <v>190</v>
      </c>
      <c r="G1709">
        <v>171</v>
      </c>
    </row>
    <row r="1710" spans="1:7" x14ac:dyDescent="0.2">
      <c r="A1710" t="s">
        <v>1002</v>
      </c>
      <c r="B1710" t="s">
        <v>1003</v>
      </c>
      <c r="C1710" t="s">
        <v>69</v>
      </c>
      <c r="D1710" t="s">
        <v>288</v>
      </c>
      <c r="E1710">
        <v>0.19</v>
      </c>
      <c r="F1710">
        <v>190</v>
      </c>
      <c r="G1710">
        <v>36.1</v>
      </c>
    </row>
    <row r="1711" spans="1:7" x14ac:dyDescent="0.2">
      <c r="A1711" t="s">
        <v>1002</v>
      </c>
      <c r="B1711" t="s">
        <v>1003</v>
      </c>
      <c r="C1711" t="s">
        <v>93</v>
      </c>
      <c r="D1711" t="s">
        <v>327</v>
      </c>
      <c r="E1711">
        <v>0.15</v>
      </c>
      <c r="F1711">
        <v>70</v>
      </c>
      <c r="G1711">
        <v>10.5</v>
      </c>
    </row>
    <row r="1712" spans="1:7" x14ac:dyDescent="0.2">
      <c r="A1712" t="s">
        <v>1002</v>
      </c>
      <c r="B1712" t="s">
        <v>1003</v>
      </c>
      <c r="C1712" t="s">
        <v>47</v>
      </c>
      <c r="D1712" t="s">
        <v>328</v>
      </c>
      <c r="E1712">
        <v>0.1</v>
      </c>
      <c r="F1712">
        <v>235</v>
      </c>
      <c r="G1712">
        <v>23.5</v>
      </c>
    </row>
    <row r="1713" spans="1:7" x14ac:dyDescent="0.2">
      <c r="A1713" t="s">
        <v>1002</v>
      </c>
      <c r="B1713" t="s">
        <v>1003</v>
      </c>
      <c r="C1713" t="s">
        <v>49</v>
      </c>
      <c r="D1713" t="s">
        <v>290</v>
      </c>
      <c r="E1713">
        <v>7.4999999999999997E-2</v>
      </c>
      <c r="F1713">
        <v>248</v>
      </c>
      <c r="G1713">
        <v>18.600000000000001</v>
      </c>
    </row>
    <row r="1714" spans="1:7" x14ac:dyDescent="0.2">
      <c r="A1714" t="s">
        <v>1002</v>
      </c>
      <c r="B1714" t="s">
        <v>1003</v>
      </c>
      <c r="C1714" t="s">
        <v>19</v>
      </c>
      <c r="D1714" t="s">
        <v>329</v>
      </c>
      <c r="E1714">
        <v>2</v>
      </c>
      <c r="F1714">
        <v>2.9</v>
      </c>
      <c r="G1714">
        <v>5.8</v>
      </c>
    </row>
    <row r="1715" spans="1:7" x14ac:dyDescent="0.2">
      <c r="A1715" t="s">
        <v>1002</v>
      </c>
      <c r="B1715" t="s">
        <v>1003</v>
      </c>
      <c r="C1715" t="s">
        <v>20</v>
      </c>
      <c r="D1715" t="s">
        <v>330</v>
      </c>
      <c r="E1715">
        <v>2</v>
      </c>
      <c r="F1715">
        <v>2.9</v>
      </c>
      <c r="G1715">
        <v>5.8</v>
      </c>
    </row>
    <row r="1716" spans="1:7" x14ac:dyDescent="0.2">
      <c r="A1716" t="s">
        <v>1002</v>
      </c>
      <c r="B1716" t="s">
        <v>1003</v>
      </c>
      <c r="C1716" t="s">
        <v>22</v>
      </c>
      <c r="D1716" t="s">
        <v>331</v>
      </c>
      <c r="E1716">
        <v>2</v>
      </c>
      <c r="F1716">
        <v>2.5</v>
      </c>
      <c r="G1716">
        <v>5</v>
      </c>
    </row>
    <row r="1717" spans="1:7" x14ac:dyDescent="0.2">
      <c r="A1717" t="s">
        <v>1002</v>
      </c>
      <c r="B1717" t="s">
        <v>1003</v>
      </c>
      <c r="C1717" t="s">
        <v>29</v>
      </c>
      <c r="D1717" t="s">
        <v>292</v>
      </c>
      <c r="E1717">
        <v>0.8</v>
      </c>
      <c r="F1717">
        <v>27</v>
      </c>
      <c r="G1717">
        <v>21.6</v>
      </c>
    </row>
    <row r="1718" spans="1:7" x14ac:dyDescent="0.2">
      <c r="A1718" t="s">
        <v>1002</v>
      </c>
      <c r="B1718" t="s">
        <v>1003</v>
      </c>
      <c r="C1718" t="s">
        <v>30</v>
      </c>
      <c r="D1718" t="s">
        <v>332</v>
      </c>
      <c r="E1718">
        <v>2</v>
      </c>
      <c r="F1718">
        <v>6</v>
      </c>
      <c r="G1718">
        <v>12</v>
      </c>
    </row>
    <row r="1719" spans="1:7" x14ac:dyDescent="0.2">
      <c r="A1719" t="s">
        <v>1002</v>
      </c>
      <c r="B1719" t="s">
        <v>1003</v>
      </c>
      <c r="C1719" t="s">
        <v>104</v>
      </c>
      <c r="D1719" t="s">
        <v>343</v>
      </c>
      <c r="E1719">
        <v>1.4999999999999999E-2</v>
      </c>
      <c r="F1719">
        <v>890</v>
      </c>
      <c r="G1719">
        <v>13.35</v>
      </c>
    </row>
    <row r="1720" spans="1:7" x14ac:dyDescent="0.2">
      <c r="A1720" t="s">
        <v>1002</v>
      </c>
      <c r="B1720" t="s">
        <v>1003</v>
      </c>
      <c r="C1720" t="s">
        <v>121</v>
      </c>
      <c r="D1720" t="s">
        <v>301</v>
      </c>
      <c r="E1720">
        <v>1</v>
      </c>
      <c r="F1720">
        <v>0.95</v>
      </c>
      <c r="G1720">
        <v>0.95</v>
      </c>
    </row>
    <row r="1721" spans="1:7" x14ac:dyDescent="0.2">
      <c r="A1721" t="s">
        <v>1002</v>
      </c>
      <c r="B1721" t="s">
        <v>1003</v>
      </c>
      <c r="C1721" t="s">
        <v>122</v>
      </c>
      <c r="D1721" t="s">
        <v>302</v>
      </c>
      <c r="E1721">
        <v>1</v>
      </c>
      <c r="F1721">
        <v>4.2</v>
      </c>
      <c r="G1721">
        <v>4.2</v>
      </c>
    </row>
    <row r="1722" spans="1:7" x14ac:dyDescent="0.2">
      <c r="A1722" t="s">
        <v>1002</v>
      </c>
      <c r="B1722" t="s">
        <v>1003</v>
      </c>
      <c r="C1722" t="s">
        <v>4</v>
      </c>
      <c r="D1722" t="s">
        <v>304</v>
      </c>
      <c r="E1722">
        <v>5.6</v>
      </c>
      <c r="F1722">
        <v>10.1</v>
      </c>
      <c r="G1722">
        <v>56.56</v>
      </c>
    </row>
    <row r="1723" spans="1:7" x14ac:dyDescent="0.2">
      <c r="A1723" t="s">
        <v>1002</v>
      </c>
      <c r="B1723" t="s">
        <v>1003</v>
      </c>
      <c r="C1723" t="s">
        <v>5</v>
      </c>
      <c r="D1723" t="s">
        <v>305</v>
      </c>
      <c r="E1723">
        <v>0.2</v>
      </c>
      <c r="F1723">
        <v>11.5</v>
      </c>
      <c r="G1723">
        <v>2.2999999999999998</v>
      </c>
    </row>
    <row r="1724" spans="1:7" x14ac:dyDescent="0.2">
      <c r="A1724" t="s">
        <v>1002</v>
      </c>
      <c r="B1724" t="s">
        <v>1003</v>
      </c>
      <c r="C1724" t="s">
        <v>105</v>
      </c>
      <c r="D1724" t="s">
        <v>313</v>
      </c>
      <c r="E1724">
        <v>200</v>
      </c>
      <c r="F1724">
        <v>0.1</v>
      </c>
      <c r="G1724">
        <v>20</v>
      </c>
    </row>
    <row r="1725" spans="1:7" x14ac:dyDescent="0.2">
      <c r="A1725" t="s">
        <v>1002</v>
      </c>
      <c r="B1725" t="s">
        <v>1003</v>
      </c>
      <c r="C1725" t="s">
        <v>112</v>
      </c>
      <c r="D1725" t="s">
        <v>362</v>
      </c>
      <c r="E1725">
        <v>50</v>
      </c>
      <c r="F1725">
        <v>0.1</v>
      </c>
      <c r="G1725">
        <v>5</v>
      </c>
    </row>
    <row r="1726" spans="1:7" x14ac:dyDescent="0.2">
      <c r="A1726" t="s">
        <v>1002</v>
      </c>
      <c r="B1726" t="s">
        <v>1003</v>
      </c>
      <c r="C1726" t="s">
        <v>117</v>
      </c>
      <c r="D1726" t="s">
        <v>352</v>
      </c>
      <c r="E1726">
        <v>50</v>
      </c>
      <c r="F1726">
        <v>0.1</v>
      </c>
      <c r="G1726">
        <v>5</v>
      </c>
    </row>
    <row r="1727" spans="1:7" x14ac:dyDescent="0.2">
      <c r="A1727" t="s">
        <v>996</v>
      </c>
      <c r="B1727" t="s">
        <v>997</v>
      </c>
      <c r="C1727" t="s">
        <v>94</v>
      </c>
      <c r="D1727" t="s">
        <v>280</v>
      </c>
      <c r="E1727">
        <v>1</v>
      </c>
      <c r="F1727">
        <v>3.5</v>
      </c>
      <c r="G1727">
        <v>3.5</v>
      </c>
    </row>
    <row r="1728" spans="1:7" x14ac:dyDescent="0.2">
      <c r="A1728" t="s">
        <v>996</v>
      </c>
      <c r="B1728" t="s">
        <v>997</v>
      </c>
      <c r="C1728" t="s">
        <v>95</v>
      </c>
      <c r="D1728" t="s">
        <v>281</v>
      </c>
      <c r="E1728">
        <v>1</v>
      </c>
      <c r="F1728">
        <v>2</v>
      </c>
      <c r="G1728">
        <v>2</v>
      </c>
    </row>
    <row r="1729" spans="1:7" x14ac:dyDescent="0.2">
      <c r="A1729" t="s">
        <v>996</v>
      </c>
      <c r="B1729" t="s">
        <v>997</v>
      </c>
      <c r="C1729" t="s">
        <v>44</v>
      </c>
      <c r="D1729" t="s">
        <v>324</v>
      </c>
      <c r="E1729">
        <v>0.25</v>
      </c>
      <c r="F1729">
        <v>65</v>
      </c>
      <c r="G1729">
        <v>16.25</v>
      </c>
    </row>
    <row r="1730" spans="1:7" x14ac:dyDescent="0.2">
      <c r="A1730" t="s">
        <v>996</v>
      </c>
      <c r="B1730" t="s">
        <v>997</v>
      </c>
      <c r="C1730" t="s">
        <v>53</v>
      </c>
      <c r="D1730" t="s">
        <v>325</v>
      </c>
      <c r="E1730">
        <v>1.1499999999999999</v>
      </c>
      <c r="F1730">
        <v>120</v>
      </c>
      <c r="G1730">
        <v>138</v>
      </c>
    </row>
    <row r="1731" spans="1:7" x14ac:dyDescent="0.2">
      <c r="A1731" t="s">
        <v>996</v>
      </c>
      <c r="B1731" t="s">
        <v>997</v>
      </c>
      <c r="C1731" t="s">
        <v>60</v>
      </c>
      <c r="D1731" t="s">
        <v>337</v>
      </c>
      <c r="E1731">
        <v>0.2</v>
      </c>
      <c r="F1731">
        <v>130</v>
      </c>
      <c r="G1731">
        <v>26</v>
      </c>
    </row>
    <row r="1732" spans="1:7" x14ac:dyDescent="0.2">
      <c r="A1732" t="s">
        <v>996</v>
      </c>
      <c r="B1732" t="s">
        <v>997</v>
      </c>
      <c r="C1732" t="s">
        <v>61</v>
      </c>
      <c r="D1732" t="s">
        <v>341</v>
      </c>
      <c r="E1732">
        <v>0.2</v>
      </c>
      <c r="F1732">
        <v>190</v>
      </c>
      <c r="G1732">
        <v>38</v>
      </c>
    </row>
    <row r="1733" spans="1:7" x14ac:dyDescent="0.2">
      <c r="A1733" t="s">
        <v>996</v>
      </c>
      <c r="B1733" t="s">
        <v>997</v>
      </c>
      <c r="C1733" t="s">
        <v>66</v>
      </c>
      <c r="D1733" t="s">
        <v>353</v>
      </c>
      <c r="E1733">
        <v>0.9</v>
      </c>
      <c r="F1733">
        <v>190</v>
      </c>
      <c r="G1733">
        <v>171</v>
      </c>
    </row>
    <row r="1734" spans="1:7" x14ac:dyDescent="0.2">
      <c r="A1734" t="s">
        <v>996</v>
      </c>
      <c r="B1734" t="s">
        <v>997</v>
      </c>
      <c r="C1734" t="s">
        <v>69</v>
      </c>
      <c r="D1734" t="s">
        <v>288</v>
      </c>
      <c r="E1734">
        <v>0.19</v>
      </c>
      <c r="F1734">
        <v>190</v>
      </c>
      <c r="G1734">
        <v>36.1</v>
      </c>
    </row>
    <row r="1735" spans="1:7" x14ac:dyDescent="0.2">
      <c r="A1735" t="s">
        <v>996</v>
      </c>
      <c r="B1735" t="s">
        <v>997</v>
      </c>
      <c r="C1735" t="s">
        <v>93</v>
      </c>
      <c r="D1735" t="s">
        <v>327</v>
      </c>
      <c r="E1735">
        <v>0.15</v>
      </c>
      <c r="F1735">
        <v>70</v>
      </c>
      <c r="G1735">
        <v>10.5</v>
      </c>
    </row>
    <row r="1736" spans="1:7" x14ac:dyDescent="0.2">
      <c r="A1736" t="s">
        <v>996</v>
      </c>
      <c r="B1736" t="s">
        <v>997</v>
      </c>
      <c r="C1736" t="s">
        <v>47</v>
      </c>
      <c r="D1736" t="s">
        <v>328</v>
      </c>
      <c r="E1736">
        <v>0.1</v>
      </c>
      <c r="F1736">
        <v>235</v>
      </c>
      <c r="G1736">
        <v>23.5</v>
      </c>
    </row>
    <row r="1737" spans="1:7" x14ac:dyDescent="0.2">
      <c r="A1737" t="s">
        <v>996</v>
      </c>
      <c r="B1737" t="s">
        <v>997</v>
      </c>
      <c r="C1737" t="s">
        <v>49</v>
      </c>
      <c r="D1737" t="s">
        <v>290</v>
      </c>
      <c r="E1737">
        <v>7.4999999999999997E-2</v>
      </c>
      <c r="F1737">
        <v>248</v>
      </c>
      <c r="G1737">
        <v>18.600000000000001</v>
      </c>
    </row>
    <row r="1738" spans="1:7" x14ac:dyDescent="0.2">
      <c r="A1738" t="s">
        <v>996</v>
      </c>
      <c r="B1738" t="s">
        <v>997</v>
      </c>
      <c r="C1738" t="s">
        <v>19</v>
      </c>
      <c r="D1738" t="s">
        <v>329</v>
      </c>
      <c r="E1738">
        <v>2</v>
      </c>
      <c r="F1738">
        <v>2.9</v>
      </c>
      <c r="G1738">
        <v>5.8</v>
      </c>
    </row>
    <row r="1739" spans="1:7" x14ac:dyDescent="0.2">
      <c r="A1739" t="s">
        <v>996</v>
      </c>
      <c r="B1739" t="s">
        <v>997</v>
      </c>
      <c r="C1739" t="s">
        <v>20</v>
      </c>
      <c r="D1739" t="s">
        <v>330</v>
      </c>
      <c r="E1739">
        <v>2</v>
      </c>
      <c r="F1739">
        <v>2.9</v>
      </c>
      <c r="G1739">
        <v>5.8</v>
      </c>
    </row>
    <row r="1740" spans="1:7" x14ac:dyDescent="0.2">
      <c r="A1740" t="s">
        <v>996</v>
      </c>
      <c r="B1740" t="s">
        <v>997</v>
      </c>
      <c r="C1740" t="s">
        <v>22</v>
      </c>
      <c r="D1740" t="s">
        <v>331</v>
      </c>
      <c r="E1740">
        <v>2</v>
      </c>
      <c r="F1740">
        <v>2.5</v>
      </c>
      <c r="G1740">
        <v>5</v>
      </c>
    </row>
    <row r="1741" spans="1:7" x14ac:dyDescent="0.2">
      <c r="A1741" t="s">
        <v>996</v>
      </c>
      <c r="B1741" t="s">
        <v>997</v>
      </c>
      <c r="C1741" t="s">
        <v>29</v>
      </c>
      <c r="D1741" t="s">
        <v>292</v>
      </c>
      <c r="E1741">
        <v>0.8</v>
      </c>
      <c r="F1741">
        <v>27</v>
      </c>
      <c r="G1741">
        <v>21.6</v>
      </c>
    </row>
    <row r="1742" spans="1:7" x14ac:dyDescent="0.2">
      <c r="A1742" t="s">
        <v>996</v>
      </c>
      <c r="B1742" t="s">
        <v>997</v>
      </c>
      <c r="C1742" t="s">
        <v>30</v>
      </c>
      <c r="D1742" t="s">
        <v>332</v>
      </c>
      <c r="E1742">
        <v>2</v>
      </c>
      <c r="F1742">
        <v>6</v>
      </c>
      <c r="G1742">
        <v>12</v>
      </c>
    </row>
    <row r="1743" spans="1:7" x14ac:dyDescent="0.2">
      <c r="A1743" t="s">
        <v>996</v>
      </c>
      <c r="B1743" t="s">
        <v>997</v>
      </c>
      <c r="C1743" t="s">
        <v>104</v>
      </c>
      <c r="D1743" t="s">
        <v>343</v>
      </c>
      <c r="E1743">
        <v>1.4999999999999999E-2</v>
      </c>
      <c r="F1743">
        <v>890</v>
      </c>
      <c r="G1743">
        <v>13.35</v>
      </c>
    </row>
    <row r="1744" spans="1:7" x14ac:dyDescent="0.2">
      <c r="A1744" t="s">
        <v>996</v>
      </c>
      <c r="B1744" t="s">
        <v>997</v>
      </c>
      <c r="C1744" t="s">
        <v>121</v>
      </c>
      <c r="D1744" t="s">
        <v>301</v>
      </c>
      <c r="E1744">
        <v>1</v>
      </c>
      <c r="F1744">
        <v>0.95</v>
      </c>
      <c r="G1744">
        <v>0.95</v>
      </c>
    </row>
    <row r="1745" spans="1:7" x14ac:dyDescent="0.2">
      <c r="A1745" t="s">
        <v>996</v>
      </c>
      <c r="B1745" t="s">
        <v>997</v>
      </c>
      <c r="C1745" t="s">
        <v>122</v>
      </c>
      <c r="D1745" t="s">
        <v>302</v>
      </c>
      <c r="E1745">
        <v>1</v>
      </c>
      <c r="F1745">
        <v>4.2</v>
      </c>
      <c r="G1745">
        <v>4.2</v>
      </c>
    </row>
    <row r="1746" spans="1:7" x14ac:dyDescent="0.2">
      <c r="A1746" t="s">
        <v>996</v>
      </c>
      <c r="B1746" t="s">
        <v>997</v>
      </c>
      <c r="C1746" t="s">
        <v>4</v>
      </c>
      <c r="D1746" t="s">
        <v>304</v>
      </c>
      <c r="E1746">
        <v>5.6</v>
      </c>
      <c r="F1746">
        <v>10.1</v>
      </c>
      <c r="G1746">
        <v>56.56</v>
      </c>
    </row>
    <row r="1747" spans="1:7" x14ac:dyDescent="0.2">
      <c r="A1747" t="s">
        <v>996</v>
      </c>
      <c r="B1747" t="s">
        <v>997</v>
      </c>
      <c r="C1747" t="s">
        <v>5</v>
      </c>
      <c r="D1747" t="s">
        <v>305</v>
      </c>
      <c r="E1747">
        <v>0.2</v>
      </c>
      <c r="F1747">
        <v>11.5</v>
      </c>
      <c r="G1747">
        <v>2.2999999999999998</v>
      </c>
    </row>
    <row r="1748" spans="1:7" x14ac:dyDescent="0.2">
      <c r="A1748" t="s">
        <v>996</v>
      </c>
      <c r="B1748" t="s">
        <v>997</v>
      </c>
      <c r="C1748" t="s">
        <v>105</v>
      </c>
      <c r="D1748" t="s">
        <v>313</v>
      </c>
      <c r="E1748">
        <v>200</v>
      </c>
      <c r="F1748">
        <v>0.1</v>
      </c>
      <c r="G1748">
        <v>20</v>
      </c>
    </row>
    <row r="1749" spans="1:7" x14ac:dyDescent="0.2">
      <c r="A1749" t="s">
        <v>996</v>
      </c>
      <c r="B1749" t="s">
        <v>997</v>
      </c>
      <c r="C1749" t="s">
        <v>112</v>
      </c>
      <c r="D1749" t="s">
        <v>362</v>
      </c>
      <c r="E1749">
        <v>50</v>
      </c>
      <c r="F1749">
        <v>0.1</v>
      </c>
      <c r="G1749">
        <v>5</v>
      </c>
    </row>
    <row r="1750" spans="1:7" x14ac:dyDescent="0.2">
      <c r="A1750" t="s">
        <v>996</v>
      </c>
      <c r="B1750" t="s">
        <v>997</v>
      </c>
      <c r="C1750" t="s">
        <v>120</v>
      </c>
      <c r="D1750" t="s">
        <v>340</v>
      </c>
      <c r="E1750">
        <v>50</v>
      </c>
      <c r="F1750">
        <v>0.1</v>
      </c>
      <c r="G1750">
        <v>5</v>
      </c>
    </row>
    <row r="1751" spans="1:7" x14ac:dyDescent="0.2">
      <c r="A1751" t="s">
        <v>1000</v>
      </c>
      <c r="B1751" t="s">
        <v>1001</v>
      </c>
      <c r="C1751" t="s">
        <v>94</v>
      </c>
      <c r="D1751" t="s">
        <v>280</v>
      </c>
      <c r="E1751">
        <v>1</v>
      </c>
      <c r="F1751">
        <v>3.5</v>
      </c>
      <c r="G1751">
        <v>3.5</v>
      </c>
    </row>
    <row r="1752" spans="1:7" x14ac:dyDescent="0.2">
      <c r="A1752" t="s">
        <v>1000</v>
      </c>
      <c r="B1752" t="s">
        <v>1001</v>
      </c>
      <c r="C1752" t="s">
        <v>95</v>
      </c>
      <c r="D1752" t="s">
        <v>281</v>
      </c>
      <c r="E1752">
        <v>1</v>
      </c>
      <c r="F1752">
        <v>2</v>
      </c>
      <c r="G1752">
        <v>2</v>
      </c>
    </row>
    <row r="1753" spans="1:7" x14ac:dyDescent="0.2">
      <c r="A1753" t="s">
        <v>1000</v>
      </c>
      <c r="B1753" t="s">
        <v>1001</v>
      </c>
      <c r="C1753" t="s">
        <v>44</v>
      </c>
      <c r="D1753" t="s">
        <v>324</v>
      </c>
      <c r="E1753">
        <v>0.25</v>
      </c>
      <c r="F1753">
        <v>65</v>
      </c>
      <c r="G1753">
        <v>16.25</v>
      </c>
    </row>
    <row r="1754" spans="1:7" x14ac:dyDescent="0.2">
      <c r="A1754" t="s">
        <v>1000</v>
      </c>
      <c r="B1754" t="s">
        <v>1001</v>
      </c>
      <c r="C1754" t="s">
        <v>54</v>
      </c>
      <c r="D1754" t="s">
        <v>358</v>
      </c>
      <c r="E1754">
        <v>1.1499999999999999</v>
      </c>
      <c r="F1754">
        <v>120</v>
      </c>
      <c r="G1754">
        <v>138</v>
      </c>
    </row>
    <row r="1755" spans="1:7" x14ac:dyDescent="0.2">
      <c r="A1755" t="s">
        <v>1000</v>
      </c>
      <c r="B1755" t="s">
        <v>1001</v>
      </c>
      <c r="C1755" t="s">
        <v>60</v>
      </c>
      <c r="D1755" t="s">
        <v>337</v>
      </c>
      <c r="E1755">
        <v>0.2</v>
      </c>
      <c r="F1755">
        <v>130</v>
      </c>
      <c r="G1755">
        <v>26</v>
      </c>
    </row>
    <row r="1756" spans="1:7" x14ac:dyDescent="0.2">
      <c r="A1756" t="s">
        <v>1000</v>
      </c>
      <c r="B1756" t="s">
        <v>1001</v>
      </c>
      <c r="C1756" t="s">
        <v>61</v>
      </c>
      <c r="D1756" t="s">
        <v>341</v>
      </c>
      <c r="E1756">
        <v>0.2</v>
      </c>
      <c r="F1756">
        <v>190</v>
      </c>
      <c r="G1756">
        <v>38</v>
      </c>
    </row>
    <row r="1757" spans="1:7" x14ac:dyDescent="0.2">
      <c r="A1757" t="s">
        <v>1000</v>
      </c>
      <c r="B1757" t="s">
        <v>1001</v>
      </c>
      <c r="C1757" t="s">
        <v>62</v>
      </c>
      <c r="D1757" t="s">
        <v>363</v>
      </c>
      <c r="E1757">
        <v>0.9</v>
      </c>
      <c r="F1757">
        <v>190</v>
      </c>
      <c r="G1757">
        <v>171</v>
      </c>
    </row>
    <row r="1758" spans="1:7" x14ac:dyDescent="0.2">
      <c r="A1758" t="s">
        <v>1000</v>
      </c>
      <c r="B1758" t="s">
        <v>1001</v>
      </c>
      <c r="C1758" t="s">
        <v>69</v>
      </c>
      <c r="D1758" t="s">
        <v>288</v>
      </c>
      <c r="E1758">
        <v>0.19</v>
      </c>
      <c r="F1758">
        <v>190</v>
      </c>
      <c r="G1758">
        <v>36.1</v>
      </c>
    </row>
    <row r="1759" spans="1:7" x14ac:dyDescent="0.2">
      <c r="A1759" t="s">
        <v>1000</v>
      </c>
      <c r="B1759" t="s">
        <v>1001</v>
      </c>
      <c r="C1759" t="s">
        <v>93</v>
      </c>
      <c r="D1759" t="s">
        <v>327</v>
      </c>
      <c r="E1759">
        <v>0.15</v>
      </c>
      <c r="F1759">
        <v>70</v>
      </c>
      <c r="G1759">
        <v>10.5</v>
      </c>
    </row>
    <row r="1760" spans="1:7" x14ac:dyDescent="0.2">
      <c r="A1760" t="s">
        <v>1000</v>
      </c>
      <c r="B1760" t="s">
        <v>1001</v>
      </c>
      <c r="C1760" t="s">
        <v>47</v>
      </c>
      <c r="D1760" t="s">
        <v>328</v>
      </c>
      <c r="E1760">
        <v>0.1</v>
      </c>
      <c r="F1760">
        <v>235</v>
      </c>
      <c r="G1760">
        <v>23.5</v>
      </c>
    </row>
    <row r="1761" spans="1:7" x14ac:dyDescent="0.2">
      <c r="A1761" t="s">
        <v>1000</v>
      </c>
      <c r="B1761" t="s">
        <v>1001</v>
      </c>
      <c r="C1761" t="s">
        <v>49</v>
      </c>
      <c r="D1761" t="s">
        <v>290</v>
      </c>
      <c r="E1761">
        <v>7.4999999999999997E-2</v>
      </c>
      <c r="F1761">
        <v>248</v>
      </c>
      <c r="G1761">
        <v>18.600000000000001</v>
      </c>
    </row>
    <row r="1762" spans="1:7" x14ac:dyDescent="0.2">
      <c r="A1762" t="s">
        <v>1000</v>
      </c>
      <c r="B1762" t="s">
        <v>1001</v>
      </c>
      <c r="C1762" t="s">
        <v>19</v>
      </c>
      <c r="D1762" t="s">
        <v>329</v>
      </c>
      <c r="E1762">
        <v>2</v>
      </c>
      <c r="F1762">
        <v>2.9</v>
      </c>
      <c r="G1762">
        <v>5.8</v>
      </c>
    </row>
    <row r="1763" spans="1:7" x14ac:dyDescent="0.2">
      <c r="A1763" t="s">
        <v>1000</v>
      </c>
      <c r="B1763" t="s">
        <v>1001</v>
      </c>
      <c r="C1763" t="s">
        <v>20</v>
      </c>
      <c r="D1763" t="s">
        <v>330</v>
      </c>
      <c r="E1763">
        <v>2</v>
      </c>
      <c r="F1763">
        <v>2.9</v>
      </c>
      <c r="G1763">
        <v>5.8</v>
      </c>
    </row>
    <row r="1764" spans="1:7" x14ac:dyDescent="0.2">
      <c r="A1764" t="s">
        <v>1000</v>
      </c>
      <c r="B1764" t="s">
        <v>1001</v>
      </c>
      <c r="C1764" t="s">
        <v>22</v>
      </c>
      <c r="D1764" t="s">
        <v>331</v>
      </c>
      <c r="E1764">
        <v>2</v>
      </c>
      <c r="F1764">
        <v>2.5</v>
      </c>
      <c r="G1764">
        <v>5</v>
      </c>
    </row>
    <row r="1765" spans="1:7" x14ac:dyDescent="0.2">
      <c r="A1765" t="s">
        <v>1000</v>
      </c>
      <c r="B1765" t="s">
        <v>1001</v>
      </c>
      <c r="C1765" t="s">
        <v>29</v>
      </c>
      <c r="D1765" t="s">
        <v>292</v>
      </c>
      <c r="E1765">
        <v>0.8</v>
      </c>
      <c r="F1765">
        <v>27</v>
      </c>
      <c r="G1765">
        <v>21.6</v>
      </c>
    </row>
    <row r="1766" spans="1:7" x14ac:dyDescent="0.2">
      <c r="A1766" t="s">
        <v>1000</v>
      </c>
      <c r="B1766" t="s">
        <v>1001</v>
      </c>
      <c r="C1766" t="s">
        <v>30</v>
      </c>
      <c r="D1766" t="s">
        <v>332</v>
      </c>
      <c r="E1766">
        <v>2</v>
      </c>
      <c r="F1766">
        <v>6</v>
      </c>
      <c r="G1766">
        <v>12</v>
      </c>
    </row>
    <row r="1767" spans="1:7" x14ac:dyDescent="0.2">
      <c r="A1767" t="s">
        <v>1000</v>
      </c>
      <c r="B1767" t="s">
        <v>1001</v>
      </c>
      <c r="C1767" t="s">
        <v>104</v>
      </c>
      <c r="D1767" t="s">
        <v>343</v>
      </c>
      <c r="E1767">
        <v>1.4999999999999999E-2</v>
      </c>
      <c r="F1767">
        <v>890</v>
      </c>
      <c r="G1767">
        <v>13.35</v>
      </c>
    </row>
    <row r="1768" spans="1:7" x14ac:dyDescent="0.2">
      <c r="A1768" t="s">
        <v>1000</v>
      </c>
      <c r="B1768" t="s">
        <v>1001</v>
      </c>
      <c r="C1768" t="s">
        <v>121</v>
      </c>
      <c r="D1768" t="s">
        <v>301</v>
      </c>
      <c r="E1768">
        <v>1</v>
      </c>
      <c r="F1768">
        <v>0.95</v>
      </c>
      <c r="G1768">
        <v>0.95</v>
      </c>
    </row>
    <row r="1769" spans="1:7" x14ac:dyDescent="0.2">
      <c r="A1769" t="s">
        <v>1000</v>
      </c>
      <c r="B1769" t="s">
        <v>1001</v>
      </c>
      <c r="C1769" t="s">
        <v>122</v>
      </c>
      <c r="D1769" t="s">
        <v>302</v>
      </c>
      <c r="E1769">
        <v>1</v>
      </c>
      <c r="F1769">
        <v>4.2</v>
      </c>
      <c r="G1769">
        <v>4.2</v>
      </c>
    </row>
    <row r="1770" spans="1:7" x14ac:dyDescent="0.2">
      <c r="A1770" t="s">
        <v>1000</v>
      </c>
      <c r="B1770" t="s">
        <v>1001</v>
      </c>
      <c r="C1770" t="s">
        <v>4</v>
      </c>
      <c r="D1770" t="s">
        <v>304</v>
      </c>
      <c r="E1770">
        <v>5.6</v>
      </c>
      <c r="F1770">
        <v>10.1</v>
      </c>
      <c r="G1770">
        <v>56.56</v>
      </c>
    </row>
    <row r="1771" spans="1:7" x14ac:dyDescent="0.2">
      <c r="A1771" t="s">
        <v>1000</v>
      </c>
      <c r="B1771" t="s">
        <v>1001</v>
      </c>
      <c r="C1771" t="s">
        <v>5</v>
      </c>
      <c r="D1771" t="s">
        <v>305</v>
      </c>
      <c r="E1771">
        <v>0.2</v>
      </c>
      <c r="F1771">
        <v>11.5</v>
      </c>
      <c r="G1771">
        <v>2.2999999999999998</v>
      </c>
    </row>
    <row r="1772" spans="1:7" x14ac:dyDescent="0.2">
      <c r="A1772" t="s">
        <v>1000</v>
      </c>
      <c r="B1772" t="s">
        <v>1001</v>
      </c>
      <c r="C1772" t="s">
        <v>105</v>
      </c>
      <c r="D1772" t="s">
        <v>313</v>
      </c>
      <c r="E1772">
        <v>200</v>
      </c>
      <c r="F1772">
        <v>0.1</v>
      </c>
      <c r="G1772">
        <v>20</v>
      </c>
    </row>
    <row r="1773" spans="1:7" x14ac:dyDescent="0.2">
      <c r="A1773" t="s">
        <v>1000</v>
      </c>
      <c r="B1773" t="s">
        <v>1001</v>
      </c>
      <c r="C1773" t="s">
        <v>106</v>
      </c>
      <c r="D1773" t="s">
        <v>364</v>
      </c>
      <c r="E1773">
        <v>50</v>
      </c>
      <c r="F1773">
        <v>0.1</v>
      </c>
      <c r="G1773">
        <v>5</v>
      </c>
    </row>
    <row r="1774" spans="1:7" x14ac:dyDescent="0.2">
      <c r="A1774" t="s">
        <v>1000</v>
      </c>
      <c r="B1774" t="s">
        <v>1001</v>
      </c>
      <c r="C1774" t="s">
        <v>112</v>
      </c>
      <c r="D1774" t="s">
        <v>362</v>
      </c>
      <c r="E1774">
        <v>50</v>
      </c>
      <c r="F1774">
        <v>0.1</v>
      </c>
      <c r="G1774">
        <v>5</v>
      </c>
    </row>
    <row r="1775" spans="1:7" x14ac:dyDescent="0.2">
      <c r="A1775" t="s">
        <v>998</v>
      </c>
      <c r="B1775" t="s">
        <v>999</v>
      </c>
      <c r="C1775" t="s">
        <v>94</v>
      </c>
      <c r="D1775" t="s">
        <v>280</v>
      </c>
      <c r="E1775">
        <v>1</v>
      </c>
      <c r="F1775">
        <v>3.5</v>
      </c>
      <c r="G1775">
        <v>3.5</v>
      </c>
    </row>
    <row r="1776" spans="1:7" x14ac:dyDescent="0.2">
      <c r="A1776" t="s">
        <v>998</v>
      </c>
      <c r="B1776" t="s">
        <v>999</v>
      </c>
      <c r="C1776" t="s">
        <v>95</v>
      </c>
      <c r="D1776" t="s">
        <v>281</v>
      </c>
      <c r="E1776">
        <v>1</v>
      </c>
      <c r="F1776">
        <v>2</v>
      </c>
      <c r="G1776">
        <v>2</v>
      </c>
    </row>
    <row r="1777" spans="1:7" x14ac:dyDescent="0.2">
      <c r="A1777" t="s">
        <v>998</v>
      </c>
      <c r="B1777" t="s">
        <v>999</v>
      </c>
      <c r="C1777" t="s">
        <v>44</v>
      </c>
      <c r="D1777" t="s">
        <v>324</v>
      </c>
      <c r="E1777">
        <v>0.25</v>
      </c>
      <c r="F1777">
        <v>65</v>
      </c>
      <c r="G1777">
        <v>16.25</v>
      </c>
    </row>
    <row r="1778" spans="1:7" x14ac:dyDescent="0.2">
      <c r="A1778" t="s">
        <v>998</v>
      </c>
      <c r="B1778" t="s">
        <v>999</v>
      </c>
      <c r="C1778" t="s">
        <v>53</v>
      </c>
      <c r="D1778" t="s">
        <v>325</v>
      </c>
      <c r="E1778">
        <v>1.1499999999999999</v>
      </c>
      <c r="F1778">
        <v>120</v>
      </c>
      <c r="G1778">
        <v>138</v>
      </c>
    </row>
    <row r="1779" spans="1:7" x14ac:dyDescent="0.2">
      <c r="A1779" t="s">
        <v>998</v>
      </c>
      <c r="B1779" t="s">
        <v>999</v>
      </c>
      <c r="C1779" t="s">
        <v>60</v>
      </c>
      <c r="D1779" t="s">
        <v>337</v>
      </c>
      <c r="E1779">
        <v>0.2</v>
      </c>
      <c r="F1779">
        <v>130</v>
      </c>
      <c r="G1779">
        <v>26</v>
      </c>
    </row>
    <row r="1780" spans="1:7" x14ac:dyDescent="0.2">
      <c r="A1780" t="s">
        <v>998</v>
      </c>
      <c r="B1780" t="s">
        <v>999</v>
      </c>
      <c r="C1780" t="s">
        <v>61</v>
      </c>
      <c r="D1780" t="s">
        <v>341</v>
      </c>
      <c r="E1780">
        <v>0.2</v>
      </c>
      <c r="F1780">
        <v>190</v>
      </c>
      <c r="G1780">
        <v>38</v>
      </c>
    </row>
    <row r="1781" spans="1:7" x14ac:dyDescent="0.2">
      <c r="A1781" t="s">
        <v>998</v>
      </c>
      <c r="B1781" t="s">
        <v>999</v>
      </c>
      <c r="C1781" t="s">
        <v>63</v>
      </c>
      <c r="D1781" t="s">
        <v>354</v>
      </c>
      <c r="E1781">
        <v>0.9</v>
      </c>
      <c r="F1781">
        <v>190</v>
      </c>
      <c r="G1781">
        <v>171</v>
      </c>
    </row>
    <row r="1782" spans="1:7" x14ac:dyDescent="0.2">
      <c r="A1782" t="s">
        <v>998</v>
      </c>
      <c r="B1782" t="s">
        <v>999</v>
      </c>
      <c r="C1782" t="s">
        <v>69</v>
      </c>
      <c r="D1782" t="s">
        <v>288</v>
      </c>
      <c r="E1782">
        <v>0.19</v>
      </c>
      <c r="F1782">
        <v>190</v>
      </c>
      <c r="G1782">
        <v>36.1</v>
      </c>
    </row>
    <row r="1783" spans="1:7" x14ac:dyDescent="0.2">
      <c r="A1783" t="s">
        <v>998</v>
      </c>
      <c r="B1783" t="s">
        <v>999</v>
      </c>
      <c r="C1783" t="s">
        <v>93</v>
      </c>
      <c r="D1783" t="s">
        <v>327</v>
      </c>
      <c r="E1783">
        <v>0.15</v>
      </c>
      <c r="F1783">
        <v>70</v>
      </c>
      <c r="G1783">
        <v>10.5</v>
      </c>
    </row>
    <row r="1784" spans="1:7" x14ac:dyDescent="0.2">
      <c r="A1784" t="s">
        <v>998</v>
      </c>
      <c r="B1784" t="s">
        <v>999</v>
      </c>
      <c r="C1784" t="s">
        <v>47</v>
      </c>
      <c r="D1784" t="s">
        <v>328</v>
      </c>
      <c r="E1784">
        <v>0.1</v>
      </c>
      <c r="F1784">
        <v>235</v>
      </c>
      <c r="G1784">
        <v>23.5</v>
      </c>
    </row>
    <row r="1785" spans="1:7" x14ac:dyDescent="0.2">
      <c r="A1785" t="s">
        <v>998</v>
      </c>
      <c r="B1785" t="s">
        <v>999</v>
      </c>
      <c r="C1785" t="s">
        <v>49</v>
      </c>
      <c r="D1785" t="s">
        <v>290</v>
      </c>
      <c r="E1785">
        <v>7.4999999999999997E-2</v>
      </c>
      <c r="F1785">
        <v>248</v>
      </c>
      <c r="G1785">
        <v>18.600000000000001</v>
      </c>
    </row>
    <row r="1786" spans="1:7" x14ac:dyDescent="0.2">
      <c r="A1786" t="s">
        <v>998</v>
      </c>
      <c r="B1786" t="s">
        <v>999</v>
      </c>
      <c r="C1786" t="s">
        <v>19</v>
      </c>
      <c r="D1786" t="s">
        <v>329</v>
      </c>
      <c r="E1786">
        <v>2</v>
      </c>
      <c r="F1786">
        <v>2.9</v>
      </c>
      <c r="G1786">
        <v>5.8</v>
      </c>
    </row>
    <row r="1787" spans="1:7" x14ac:dyDescent="0.2">
      <c r="A1787" t="s">
        <v>998</v>
      </c>
      <c r="B1787" t="s">
        <v>999</v>
      </c>
      <c r="C1787" t="s">
        <v>20</v>
      </c>
      <c r="D1787" t="s">
        <v>330</v>
      </c>
      <c r="E1787">
        <v>2</v>
      </c>
      <c r="F1787">
        <v>2.9</v>
      </c>
      <c r="G1787">
        <v>5.8</v>
      </c>
    </row>
    <row r="1788" spans="1:7" x14ac:dyDescent="0.2">
      <c r="A1788" t="s">
        <v>998</v>
      </c>
      <c r="B1788" t="s">
        <v>999</v>
      </c>
      <c r="C1788" t="s">
        <v>22</v>
      </c>
      <c r="D1788" t="s">
        <v>331</v>
      </c>
      <c r="E1788">
        <v>2</v>
      </c>
      <c r="F1788">
        <v>2.5</v>
      </c>
      <c r="G1788">
        <v>5</v>
      </c>
    </row>
    <row r="1789" spans="1:7" x14ac:dyDescent="0.2">
      <c r="A1789" t="s">
        <v>998</v>
      </c>
      <c r="B1789" t="s">
        <v>999</v>
      </c>
      <c r="C1789" t="s">
        <v>29</v>
      </c>
      <c r="D1789" t="s">
        <v>292</v>
      </c>
      <c r="E1789">
        <v>0.8</v>
      </c>
      <c r="F1789">
        <v>27</v>
      </c>
      <c r="G1789">
        <v>21.6</v>
      </c>
    </row>
    <row r="1790" spans="1:7" x14ac:dyDescent="0.2">
      <c r="A1790" t="s">
        <v>998</v>
      </c>
      <c r="B1790" t="s">
        <v>999</v>
      </c>
      <c r="C1790" t="s">
        <v>30</v>
      </c>
      <c r="D1790" t="s">
        <v>332</v>
      </c>
      <c r="E1790">
        <v>2</v>
      </c>
      <c r="F1790">
        <v>6</v>
      </c>
      <c r="G1790">
        <v>12</v>
      </c>
    </row>
    <row r="1791" spans="1:7" x14ac:dyDescent="0.2">
      <c r="A1791" t="s">
        <v>998</v>
      </c>
      <c r="B1791" t="s">
        <v>999</v>
      </c>
      <c r="C1791" t="s">
        <v>104</v>
      </c>
      <c r="D1791" t="s">
        <v>343</v>
      </c>
      <c r="E1791">
        <v>1.4999999999999999E-2</v>
      </c>
      <c r="F1791">
        <v>890</v>
      </c>
      <c r="G1791">
        <v>13.35</v>
      </c>
    </row>
    <row r="1792" spans="1:7" x14ac:dyDescent="0.2">
      <c r="A1792" t="s">
        <v>998</v>
      </c>
      <c r="B1792" t="s">
        <v>999</v>
      </c>
      <c r="C1792" t="s">
        <v>121</v>
      </c>
      <c r="D1792" t="s">
        <v>301</v>
      </c>
      <c r="E1792">
        <v>1</v>
      </c>
      <c r="F1792">
        <v>0.95</v>
      </c>
      <c r="G1792">
        <v>0.95</v>
      </c>
    </row>
    <row r="1793" spans="1:7" x14ac:dyDescent="0.2">
      <c r="A1793" t="s">
        <v>998</v>
      </c>
      <c r="B1793" t="s">
        <v>999</v>
      </c>
      <c r="C1793" t="s">
        <v>122</v>
      </c>
      <c r="D1793" t="s">
        <v>302</v>
      </c>
      <c r="E1793">
        <v>1</v>
      </c>
      <c r="F1793">
        <v>4.2</v>
      </c>
      <c r="G1793">
        <v>4.2</v>
      </c>
    </row>
    <row r="1794" spans="1:7" x14ac:dyDescent="0.2">
      <c r="A1794" t="s">
        <v>998</v>
      </c>
      <c r="B1794" t="s">
        <v>999</v>
      </c>
      <c r="C1794" t="s">
        <v>4</v>
      </c>
      <c r="D1794" t="s">
        <v>304</v>
      </c>
      <c r="E1794">
        <v>5.6</v>
      </c>
      <c r="F1794">
        <v>10.1</v>
      </c>
      <c r="G1794">
        <v>56.56</v>
      </c>
    </row>
    <row r="1795" spans="1:7" x14ac:dyDescent="0.2">
      <c r="A1795" t="s">
        <v>998</v>
      </c>
      <c r="B1795" t="s">
        <v>999</v>
      </c>
      <c r="C1795" t="s">
        <v>5</v>
      </c>
      <c r="D1795" t="s">
        <v>305</v>
      </c>
      <c r="E1795">
        <v>0.2</v>
      </c>
      <c r="F1795">
        <v>11.5</v>
      </c>
      <c r="G1795">
        <v>2.2999999999999998</v>
      </c>
    </row>
    <row r="1796" spans="1:7" x14ac:dyDescent="0.2">
      <c r="A1796" t="s">
        <v>998</v>
      </c>
      <c r="B1796" t="s">
        <v>999</v>
      </c>
      <c r="C1796" t="s">
        <v>105</v>
      </c>
      <c r="D1796" t="s">
        <v>313</v>
      </c>
      <c r="E1796">
        <v>200</v>
      </c>
      <c r="F1796">
        <v>0.1</v>
      </c>
      <c r="G1796">
        <v>20</v>
      </c>
    </row>
    <row r="1797" spans="1:7" x14ac:dyDescent="0.2">
      <c r="A1797" t="s">
        <v>998</v>
      </c>
      <c r="B1797" t="s">
        <v>999</v>
      </c>
      <c r="C1797" t="s">
        <v>112</v>
      </c>
      <c r="D1797" t="s">
        <v>362</v>
      </c>
      <c r="E1797">
        <v>50</v>
      </c>
      <c r="F1797">
        <v>0.1</v>
      </c>
      <c r="G1797">
        <v>5</v>
      </c>
    </row>
    <row r="1798" spans="1:7" x14ac:dyDescent="0.2">
      <c r="A1798" t="s">
        <v>998</v>
      </c>
      <c r="B1798" t="s">
        <v>999</v>
      </c>
      <c r="C1798" t="s">
        <v>119</v>
      </c>
      <c r="D1798" t="s">
        <v>334</v>
      </c>
      <c r="E1798">
        <v>50</v>
      </c>
      <c r="F1798">
        <v>0.1</v>
      </c>
      <c r="G1798">
        <v>5</v>
      </c>
    </row>
    <row r="1799" spans="1:7" x14ac:dyDescent="0.2">
      <c r="A1799" t="s">
        <v>151</v>
      </c>
      <c r="B1799" t="s">
        <v>244</v>
      </c>
      <c r="C1799" t="s">
        <v>94</v>
      </c>
      <c r="D1799" t="s">
        <v>280</v>
      </c>
      <c r="E1799">
        <v>1</v>
      </c>
      <c r="F1799">
        <v>3.5</v>
      </c>
      <c r="G1799">
        <v>3.5</v>
      </c>
    </row>
    <row r="1800" spans="1:7" x14ac:dyDescent="0.2">
      <c r="A1800" t="s">
        <v>151</v>
      </c>
      <c r="B1800" t="s">
        <v>244</v>
      </c>
      <c r="C1800" t="s">
        <v>95</v>
      </c>
      <c r="D1800" t="s">
        <v>281</v>
      </c>
      <c r="E1800">
        <v>2</v>
      </c>
      <c r="F1800">
        <v>2</v>
      </c>
      <c r="G1800">
        <v>4</v>
      </c>
    </row>
    <row r="1801" spans="1:7" x14ac:dyDescent="0.2">
      <c r="A1801" t="s">
        <v>151</v>
      </c>
      <c r="B1801" t="s">
        <v>244</v>
      </c>
      <c r="C1801" t="s">
        <v>44</v>
      </c>
      <c r="D1801" t="s">
        <v>324</v>
      </c>
      <c r="E1801">
        <v>0.25</v>
      </c>
      <c r="F1801">
        <v>65</v>
      </c>
      <c r="G1801">
        <v>16.25</v>
      </c>
    </row>
    <row r="1802" spans="1:7" x14ac:dyDescent="0.2">
      <c r="A1802" t="s">
        <v>151</v>
      </c>
      <c r="B1802" t="s">
        <v>244</v>
      </c>
      <c r="C1802" t="s">
        <v>56</v>
      </c>
      <c r="D1802" t="s">
        <v>287</v>
      </c>
      <c r="E1802">
        <v>0.3</v>
      </c>
      <c r="F1802">
        <v>90</v>
      </c>
      <c r="G1802">
        <v>27</v>
      </c>
    </row>
    <row r="1803" spans="1:7" x14ac:dyDescent="0.2">
      <c r="A1803" t="s">
        <v>151</v>
      </c>
      <c r="B1803" t="s">
        <v>244</v>
      </c>
      <c r="C1803" t="s">
        <v>58</v>
      </c>
      <c r="D1803" t="s">
        <v>365</v>
      </c>
      <c r="E1803">
        <v>1.1000000000000001</v>
      </c>
      <c r="F1803">
        <v>90</v>
      </c>
      <c r="G1803">
        <v>99</v>
      </c>
    </row>
    <row r="1804" spans="1:7" x14ac:dyDescent="0.2">
      <c r="A1804" t="s">
        <v>151</v>
      </c>
      <c r="B1804" t="s">
        <v>244</v>
      </c>
      <c r="C1804" t="s">
        <v>60</v>
      </c>
      <c r="D1804" t="s">
        <v>337</v>
      </c>
      <c r="E1804">
        <v>0.25</v>
      </c>
      <c r="F1804">
        <v>130</v>
      </c>
      <c r="G1804">
        <v>32.5</v>
      </c>
    </row>
    <row r="1805" spans="1:7" x14ac:dyDescent="0.2">
      <c r="A1805" t="s">
        <v>151</v>
      </c>
      <c r="B1805" t="s">
        <v>244</v>
      </c>
      <c r="C1805" t="s">
        <v>61</v>
      </c>
      <c r="D1805" t="s">
        <v>341</v>
      </c>
      <c r="E1805">
        <v>0.8</v>
      </c>
      <c r="F1805">
        <v>190</v>
      </c>
      <c r="G1805">
        <v>152</v>
      </c>
    </row>
    <row r="1806" spans="1:7" x14ac:dyDescent="0.2">
      <c r="A1806" t="s">
        <v>151</v>
      </c>
      <c r="B1806" t="s">
        <v>244</v>
      </c>
      <c r="C1806" t="s">
        <v>69</v>
      </c>
      <c r="D1806" t="s">
        <v>288</v>
      </c>
      <c r="E1806">
        <v>0.35</v>
      </c>
      <c r="F1806">
        <v>190</v>
      </c>
      <c r="G1806">
        <v>66.5</v>
      </c>
    </row>
    <row r="1807" spans="1:7" x14ac:dyDescent="0.2">
      <c r="A1807" t="s">
        <v>151</v>
      </c>
      <c r="B1807" t="s">
        <v>244</v>
      </c>
      <c r="C1807" t="s">
        <v>93</v>
      </c>
      <c r="D1807" t="s">
        <v>327</v>
      </c>
      <c r="E1807">
        <v>0.25</v>
      </c>
      <c r="F1807">
        <v>70</v>
      </c>
      <c r="G1807">
        <v>17.5</v>
      </c>
    </row>
    <row r="1808" spans="1:7" x14ac:dyDescent="0.2">
      <c r="A1808" t="s">
        <v>151</v>
      </c>
      <c r="B1808" t="s">
        <v>244</v>
      </c>
      <c r="C1808" t="s">
        <v>48</v>
      </c>
      <c r="D1808" t="s">
        <v>359</v>
      </c>
      <c r="E1808">
        <v>7.4999999999999997E-2</v>
      </c>
      <c r="F1808">
        <v>412</v>
      </c>
      <c r="G1808">
        <v>30.9</v>
      </c>
    </row>
    <row r="1809" spans="1:7" x14ac:dyDescent="0.2">
      <c r="A1809" t="s">
        <v>151</v>
      </c>
      <c r="B1809" t="s">
        <v>244</v>
      </c>
      <c r="C1809" t="s">
        <v>19</v>
      </c>
      <c r="D1809" t="s">
        <v>329</v>
      </c>
      <c r="E1809">
        <v>2</v>
      </c>
      <c r="F1809">
        <v>2.9</v>
      </c>
      <c r="G1809">
        <v>5.8</v>
      </c>
    </row>
    <row r="1810" spans="1:7" x14ac:dyDescent="0.2">
      <c r="A1810" t="s">
        <v>151</v>
      </c>
      <c r="B1810" t="s">
        <v>244</v>
      </c>
      <c r="C1810" t="s">
        <v>20</v>
      </c>
      <c r="D1810" t="s">
        <v>330</v>
      </c>
      <c r="E1810">
        <v>2</v>
      </c>
      <c r="F1810">
        <v>2.9</v>
      </c>
      <c r="G1810">
        <v>5.8</v>
      </c>
    </row>
    <row r="1811" spans="1:7" x14ac:dyDescent="0.2">
      <c r="A1811" t="s">
        <v>151</v>
      </c>
      <c r="B1811" t="s">
        <v>244</v>
      </c>
      <c r="C1811" t="s">
        <v>21</v>
      </c>
      <c r="D1811" t="s">
        <v>366</v>
      </c>
      <c r="E1811">
        <v>2</v>
      </c>
      <c r="F1811">
        <v>2</v>
      </c>
      <c r="G1811">
        <v>4</v>
      </c>
    </row>
    <row r="1812" spans="1:7" x14ac:dyDescent="0.2">
      <c r="A1812" t="s">
        <v>151</v>
      </c>
      <c r="B1812" t="s">
        <v>244</v>
      </c>
      <c r="C1812" t="s">
        <v>23</v>
      </c>
      <c r="D1812" t="s">
        <v>367</v>
      </c>
      <c r="E1812">
        <v>4</v>
      </c>
      <c r="F1812">
        <v>2.5</v>
      </c>
      <c r="G1812">
        <v>10</v>
      </c>
    </row>
    <row r="1813" spans="1:7" x14ac:dyDescent="0.2">
      <c r="A1813" t="s">
        <v>151</v>
      </c>
      <c r="B1813" t="s">
        <v>244</v>
      </c>
      <c r="C1813" t="s">
        <v>25</v>
      </c>
      <c r="D1813" t="s">
        <v>368</v>
      </c>
      <c r="E1813">
        <v>8</v>
      </c>
      <c r="F1813">
        <v>2</v>
      </c>
      <c r="G1813">
        <v>16</v>
      </c>
    </row>
    <row r="1814" spans="1:7" x14ac:dyDescent="0.2">
      <c r="A1814" t="s">
        <v>151</v>
      </c>
      <c r="B1814" t="s">
        <v>244</v>
      </c>
      <c r="C1814" t="s">
        <v>26</v>
      </c>
      <c r="D1814" t="s">
        <v>361</v>
      </c>
      <c r="E1814">
        <v>4</v>
      </c>
      <c r="F1814">
        <v>1.5</v>
      </c>
      <c r="G1814">
        <v>6</v>
      </c>
    </row>
    <row r="1815" spans="1:7" x14ac:dyDescent="0.2">
      <c r="A1815" t="s">
        <v>151</v>
      </c>
      <c r="B1815" t="s">
        <v>244</v>
      </c>
      <c r="C1815" t="s">
        <v>29</v>
      </c>
      <c r="D1815" t="s">
        <v>292</v>
      </c>
      <c r="E1815">
        <v>1.3</v>
      </c>
      <c r="F1815">
        <v>27</v>
      </c>
      <c r="G1815">
        <v>35.1</v>
      </c>
    </row>
    <row r="1816" spans="1:7" x14ac:dyDescent="0.2">
      <c r="A1816" t="s">
        <v>151</v>
      </c>
      <c r="B1816" t="s">
        <v>244</v>
      </c>
      <c r="C1816" t="s">
        <v>30</v>
      </c>
      <c r="D1816" t="s">
        <v>332</v>
      </c>
      <c r="E1816">
        <v>3</v>
      </c>
      <c r="F1816">
        <v>6</v>
      </c>
      <c r="G1816">
        <v>18</v>
      </c>
    </row>
    <row r="1817" spans="1:7" x14ac:dyDescent="0.2">
      <c r="A1817" t="s">
        <v>151</v>
      </c>
      <c r="B1817" t="s">
        <v>244</v>
      </c>
      <c r="C1817" t="s">
        <v>33</v>
      </c>
      <c r="D1817" t="s">
        <v>369</v>
      </c>
      <c r="E1817">
        <v>2</v>
      </c>
      <c r="F1817">
        <v>100</v>
      </c>
      <c r="G1817">
        <v>200</v>
      </c>
    </row>
    <row r="1818" spans="1:7" x14ac:dyDescent="0.2">
      <c r="A1818" t="s">
        <v>151</v>
      </c>
      <c r="B1818" t="s">
        <v>244</v>
      </c>
      <c r="C1818" t="s">
        <v>104</v>
      </c>
      <c r="D1818" t="s">
        <v>343</v>
      </c>
      <c r="E1818">
        <v>1.4999999999999999E-2</v>
      </c>
      <c r="F1818">
        <v>890</v>
      </c>
      <c r="G1818">
        <v>13.35</v>
      </c>
    </row>
    <row r="1819" spans="1:7" x14ac:dyDescent="0.2">
      <c r="A1819" t="s">
        <v>151</v>
      </c>
      <c r="B1819" t="s">
        <v>244</v>
      </c>
      <c r="C1819" t="s">
        <v>121</v>
      </c>
      <c r="D1819" t="s">
        <v>301</v>
      </c>
      <c r="E1819">
        <v>1</v>
      </c>
      <c r="F1819">
        <v>0.95</v>
      </c>
      <c r="G1819">
        <v>0.95</v>
      </c>
    </row>
    <row r="1820" spans="1:7" x14ac:dyDescent="0.2">
      <c r="A1820" t="s">
        <v>151</v>
      </c>
      <c r="B1820" t="s">
        <v>244</v>
      </c>
      <c r="C1820" t="s">
        <v>122</v>
      </c>
      <c r="D1820" t="s">
        <v>302</v>
      </c>
      <c r="E1820">
        <v>1</v>
      </c>
      <c r="F1820">
        <v>4.2</v>
      </c>
      <c r="G1820">
        <v>4.2</v>
      </c>
    </row>
    <row r="1821" spans="1:7" x14ac:dyDescent="0.2">
      <c r="A1821" t="s">
        <v>151</v>
      </c>
      <c r="B1821" t="s">
        <v>244</v>
      </c>
      <c r="C1821" t="s">
        <v>3</v>
      </c>
      <c r="D1821" t="s">
        <v>370</v>
      </c>
      <c r="E1821">
        <v>3.5</v>
      </c>
      <c r="F1821">
        <v>5</v>
      </c>
      <c r="G1821">
        <v>17.5</v>
      </c>
    </row>
    <row r="1822" spans="1:7" x14ac:dyDescent="0.2">
      <c r="A1822" t="s">
        <v>151</v>
      </c>
      <c r="B1822" t="s">
        <v>244</v>
      </c>
      <c r="C1822" t="s">
        <v>4</v>
      </c>
      <c r="D1822" t="s">
        <v>304</v>
      </c>
      <c r="E1822">
        <v>1.9</v>
      </c>
      <c r="F1822">
        <v>10.1</v>
      </c>
      <c r="G1822">
        <v>19.190000000000001</v>
      </c>
    </row>
    <row r="1823" spans="1:7" x14ac:dyDescent="0.2">
      <c r="A1823" t="s">
        <v>151</v>
      </c>
      <c r="B1823" t="s">
        <v>244</v>
      </c>
      <c r="C1823" t="s">
        <v>5</v>
      </c>
      <c r="D1823" t="s">
        <v>305</v>
      </c>
      <c r="E1823">
        <v>4</v>
      </c>
      <c r="F1823">
        <v>11.5</v>
      </c>
      <c r="G1823">
        <v>46</v>
      </c>
    </row>
    <row r="1824" spans="1:7" x14ac:dyDescent="0.2">
      <c r="A1824" t="s">
        <v>151</v>
      </c>
      <c r="B1824" t="s">
        <v>244</v>
      </c>
      <c r="C1824" t="s">
        <v>12</v>
      </c>
      <c r="D1824" t="s">
        <v>308</v>
      </c>
      <c r="E1824">
        <v>0.7</v>
      </c>
      <c r="F1824">
        <v>7</v>
      </c>
      <c r="G1824">
        <v>4.9000000000000004</v>
      </c>
    </row>
    <row r="1825" spans="1:7" x14ac:dyDescent="0.2">
      <c r="A1825" t="s">
        <v>151</v>
      </c>
      <c r="B1825" t="s">
        <v>244</v>
      </c>
      <c r="C1825" t="s">
        <v>105</v>
      </c>
      <c r="D1825" t="s">
        <v>313</v>
      </c>
      <c r="E1825">
        <v>150</v>
      </c>
      <c r="F1825">
        <v>0.1</v>
      </c>
      <c r="G1825">
        <v>15</v>
      </c>
    </row>
    <row r="1826" spans="1:7" x14ac:dyDescent="0.2">
      <c r="A1826" t="s">
        <v>151</v>
      </c>
      <c r="B1826" t="s">
        <v>244</v>
      </c>
      <c r="C1826" t="s">
        <v>110</v>
      </c>
      <c r="D1826" t="s">
        <v>314</v>
      </c>
      <c r="E1826">
        <v>20</v>
      </c>
      <c r="F1826">
        <v>0.1</v>
      </c>
      <c r="G1826">
        <v>2</v>
      </c>
    </row>
    <row r="1827" spans="1:7" x14ac:dyDescent="0.2">
      <c r="A1827" t="s">
        <v>151</v>
      </c>
      <c r="B1827" t="s">
        <v>244</v>
      </c>
      <c r="C1827" t="s">
        <v>120</v>
      </c>
      <c r="D1827" t="s">
        <v>340</v>
      </c>
      <c r="E1827">
        <v>50</v>
      </c>
      <c r="F1827">
        <v>0.1</v>
      </c>
      <c r="G1827">
        <v>5</v>
      </c>
    </row>
    <row r="1828" spans="1:7" x14ac:dyDescent="0.2">
      <c r="A1828" t="s">
        <v>152</v>
      </c>
      <c r="B1828" t="s">
        <v>243</v>
      </c>
      <c r="C1828" t="s">
        <v>94</v>
      </c>
      <c r="D1828" t="s">
        <v>280</v>
      </c>
      <c r="E1828">
        <v>1</v>
      </c>
      <c r="F1828">
        <v>3.5</v>
      </c>
      <c r="G1828">
        <v>3.5</v>
      </c>
    </row>
    <row r="1829" spans="1:7" x14ac:dyDescent="0.2">
      <c r="A1829" t="s">
        <v>152</v>
      </c>
      <c r="B1829" t="s">
        <v>243</v>
      </c>
      <c r="C1829" t="s">
        <v>95</v>
      </c>
      <c r="D1829" t="s">
        <v>281</v>
      </c>
      <c r="E1829">
        <v>2</v>
      </c>
      <c r="F1829">
        <v>2</v>
      </c>
      <c r="G1829">
        <v>4</v>
      </c>
    </row>
    <row r="1830" spans="1:7" x14ac:dyDescent="0.2">
      <c r="A1830" t="s">
        <v>152</v>
      </c>
      <c r="B1830" t="s">
        <v>243</v>
      </c>
      <c r="C1830" t="s">
        <v>44</v>
      </c>
      <c r="D1830" t="s">
        <v>324</v>
      </c>
      <c r="E1830">
        <v>0.25</v>
      </c>
      <c r="F1830">
        <v>65</v>
      </c>
      <c r="G1830">
        <v>16.25</v>
      </c>
    </row>
    <row r="1831" spans="1:7" x14ac:dyDescent="0.2">
      <c r="A1831" t="s">
        <v>152</v>
      </c>
      <c r="B1831" t="s">
        <v>243</v>
      </c>
      <c r="C1831" t="s">
        <v>56</v>
      </c>
      <c r="D1831" t="s">
        <v>287</v>
      </c>
      <c r="E1831">
        <v>0.3</v>
      </c>
      <c r="F1831">
        <v>90</v>
      </c>
      <c r="G1831">
        <v>27</v>
      </c>
    </row>
    <row r="1832" spans="1:7" x14ac:dyDescent="0.2">
      <c r="A1832" t="s">
        <v>152</v>
      </c>
      <c r="B1832" t="s">
        <v>243</v>
      </c>
      <c r="C1832" t="s">
        <v>58</v>
      </c>
      <c r="D1832" t="s">
        <v>365</v>
      </c>
      <c r="E1832">
        <v>1.1000000000000001</v>
      </c>
      <c r="F1832">
        <v>90</v>
      </c>
      <c r="G1832">
        <v>99</v>
      </c>
    </row>
    <row r="1833" spans="1:7" x14ac:dyDescent="0.2">
      <c r="A1833" t="s">
        <v>152</v>
      </c>
      <c r="B1833" t="s">
        <v>243</v>
      </c>
      <c r="C1833" t="s">
        <v>60</v>
      </c>
      <c r="D1833" t="s">
        <v>337</v>
      </c>
      <c r="E1833">
        <v>0.25</v>
      </c>
      <c r="F1833">
        <v>130</v>
      </c>
      <c r="G1833">
        <v>32.5</v>
      </c>
    </row>
    <row r="1834" spans="1:7" x14ac:dyDescent="0.2">
      <c r="A1834" t="s">
        <v>152</v>
      </c>
      <c r="B1834" t="s">
        <v>243</v>
      </c>
      <c r="C1834" t="s">
        <v>66</v>
      </c>
      <c r="D1834" t="s">
        <v>353</v>
      </c>
      <c r="E1834">
        <v>0.8</v>
      </c>
      <c r="F1834">
        <v>190</v>
      </c>
      <c r="G1834">
        <v>152</v>
      </c>
    </row>
    <row r="1835" spans="1:7" x14ac:dyDescent="0.2">
      <c r="A1835" t="s">
        <v>152</v>
      </c>
      <c r="B1835" t="s">
        <v>243</v>
      </c>
      <c r="C1835" t="s">
        <v>69</v>
      </c>
      <c r="D1835" t="s">
        <v>288</v>
      </c>
      <c r="E1835">
        <v>0.35</v>
      </c>
      <c r="F1835">
        <v>190</v>
      </c>
      <c r="G1835">
        <v>66.5</v>
      </c>
    </row>
    <row r="1836" spans="1:7" x14ac:dyDescent="0.2">
      <c r="A1836" t="s">
        <v>152</v>
      </c>
      <c r="B1836" t="s">
        <v>243</v>
      </c>
      <c r="C1836" t="s">
        <v>93</v>
      </c>
      <c r="D1836" t="s">
        <v>327</v>
      </c>
      <c r="E1836">
        <v>0.25</v>
      </c>
      <c r="F1836">
        <v>70</v>
      </c>
      <c r="G1836">
        <v>17.5</v>
      </c>
    </row>
    <row r="1837" spans="1:7" x14ac:dyDescent="0.2">
      <c r="A1837" t="s">
        <v>152</v>
      </c>
      <c r="B1837" t="s">
        <v>243</v>
      </c>
      <c r="C1837" t="s">
        <v>48</v>
      </c>
      <c r="D1837" t="s">
        <v>359</v>
      </c>
      <c r="E1837">
        <v>7.4999999999999997E-2</v>
      </c>
      <c r="F1837">
        <v>412</v>
      </c>
      <c r="G1837">
        <v>30.9</v>
      </c>
    </row>
    <row r="1838" spans="1:7" x14ac:dyDescent="0.2">
      <c r="A1838" t="s">
        <v>152</v>
      </c>
      <c r="B1838" t="s">
        <v>243</v>
      </c>
      <c r="C1838" t="s">
        <v>19</v>
      </c>
      <c r="D1838" t="s">
        <v>329</v>
      </c>
      <c r="E1838">
        <v>2</v>
      </c>
      <c r="F1838">
        <v>2.9</v>
      </c>
      <c r="G1838">
        <v>5.8</v>
      </c>
    </row>
    <row r="1839" spans="1:7" x14ac:dyDescent="0.2">
      <c r="A1839" t="s">
        <v>152</v>
      </c>
      <c r="B1839" t="s">
        <v>243</v>
      </c>
      <c r="C1839" t="s">
        <v>20</v>
      </c>
      <c r="D1839" t="s">
        <v>330</v>
      </c>
      <c r="E1839">
        <v>2</v>
      </c>
      <c r="F1839">
        <v>2.9</v>
      </c>
      <c r="G1839">
        <v>5.8</v>
      </c>
    </row>
    <row r="1840" spans="1:7" x14ac:dyDescent="0.2">
      <c r="A1840" t="s">
        <v>152</v>
      </c>
      <c r="B1840" t="s">
        <v>243</v>
      </c>
      <c r="C1840" t="s">
        <v>21</v>
      </c>
      <c r="D1840" t="s">
        <v>366</v>
      </c>
      <c r="E1840">
        <v>2</v>
      </c>
      <c r="F1840">
        <v>2</v>
      </c>
      <c r="G1840">
        <v>4</v>
      </c>
    </row>
    <row r="1841" spans="1:7" x14ac:dyDescent="0.2">
      <c r="A1841" t="s">
        <v>152</v>
      </c>
      <c r="B1841" t="s">
        <v>243</v>
      </c>
      <c r="C1841" t="s">
        <v>23</v>
      </c>
      <c r="D1841" t="s">
        <v>367</v>
      </c>
      <c r="E1841">
        <v>4</v>
      </c>
      <c r="F1841">
        <v>2.5</v>
      </c>
      <c r="G1841">
        <v>10</v>
      </c>
    </row>
    <row r="1842" spans="1:7" x14ac:dyDescent="0.2">
      <c r="A1842" t="s">
        <v>152</v>
      </c>
      <c r="B1842" t="s">
        <v>243</v>
      </c>
      <c r="C1842" t="s">
        <v>25</v>
      </c>
      <c r="D1842" t="s">
        <v>368</v>
      </c>
      <c r="E1842">
        <v>8</v>
      </c>
      <c r="F1842">
        <v>2</v>
      </c>
      <c r="G1842">
        <v>16</v>
      </c>
    </row>
    <row r="1843" spans="1:7" x14ac:dyDescent="0.2">
      <c r="A1843" t="s">
        <v>152</v>
      </c>
      <c r="B1843" t="s">
        <v>243</v>
      </c>
      <c r="C1843" t="s">
        <v>26</v>
      </c>
      <c r="D1843" t="s">
        <v>361</v>
      </c>
      <c r="E1843">
        <v>4</v>
      </c>
      <c r="F1843">
        <v>1.5</v>
      </c>
      <c r="G1843">
        <v>6</v>
      </c>
    </row>
    <row r="1844" spans="1:7" x14ac:dyDescent="0.2">
      <c r="A1844" t="s">
        <v>152</v>
      </c>
      <c r="B1844" t="s">
        <v>243</v>
      </c>
      <c r="C1844" t="s">
        <v>29</v>
      </c>
      <c r="D1844" t="s">
        <v>292</v>
      </c>
      <c r="E1844">
        <v>1.3</v>
      </c>
      <c r="F1844">
        <v>27</v>
      </c>
      <c r="G1844">
        <v>35.1</v>
      </c>
    </row>
    <row r="1845" spans="1:7" x14ac:dyDescent="0.2">
      <c r="A1845" t="s">
        <v>152</v>
      </c>
      <c r="B1845" t="s">
        <v>243</v>
      </c>
      <c r="C1845" t="s">
        <v>30</v>
      </c>
      <c r="D1845" t="s">
        <v>332</v>
      </c>
      <c r="E1845">
        <v>3</v>
      </c>
      <c r="F1845">
        <v>6</v>
      </c>
      <c r="G1845">
        <v>18</v>
      </c>
    </row>
    <row r="1846" spans="1:7" x14ac:dyDescent="0.2">
      <c r="A1846" t="s">
        <v>152</v>
      </c>
      <c r="B1846" t="s">
        <v>243</v>
      </c>
      <c r="C1846" t="s">
        <v>33</v>
      </c>
      <c r="D1846" t="s">
        <v>369</v>
      </c>
      <c r="E1846">
        <v>2</v>
      </c>
      <c r="F1846">
        <v>100</v>
      </c>
      <c r="G1846">
        <v>200</v>
      </c>
    </row>
    <row r="1847" spans="1:7" x14ac:dyDescent="0.2">
      <c r="A1847" t="s">
        <v>152</v>
      </c>
      <c r="B1847" t="s">
        <v>243</v>
      </c>
      <c r="C1847" t="s">
        <v>104</v>
      </c>
      <c r="D1847" t="s">
        <v>343</v>
      </c>
      <c r="E1847">
        <v>1.4999999999999999E-2</v>
      </c>
      <c r="F1847">
        <v>890</v>
      </c>
      <c r="G1847">
        <v>13.35</v>
      </c>
    </row>
    <row r="1848" spans="1:7" x14ac:dyDescent="0.2">
      <c r="A1848" t="s">
        <v>152</v>
      </c>
      <c r="B1848" t="s">
        <v>243</v>
      </c>
      <c r="C1848" t="s">
        <v>121</v>
      </c>
      <c r="D1848" t="s">
        <v>301</v>
      </c>
      <c r="E1848">
        <v>1</v>
      </c>
      <c r="F1848">
        <v>0.95</v>
      </c>
      <c r="G1848">
        <v>0.95</v>
      </c>
    </row>
    <row r="1849" spans="1:7" x14ac:dyDescent="0.2">
      <c r="A1849" t="s">
        <v>152</v>
      </c>
      <c r="B1849" t="s">
        <v>243</v>
      </c>
      <c r="C1849" t="s">
        <v>122</v>
      </c>
      <c r="D1849" t="s">
        <v>302</v>
      </c>
      <c r="E1849">
        <v>1</v>
      </c>
      <c r="F1849">
        <v>4.2</v>
      </c>
      <c r="G1849">
        <v>4.2</v>
      </c>
    </row>
    <row r="1850" spans="1:7" x14ac:dyDescent="0.2">
      <c r="A1850" t="s">
        <v>152</v>
      </c>
      <c r="B1850" t="s">
        <v>243</v>
      </c>
      <c r="C1850" t="s">
        <v>3</v>
      </c>
      <c r="D1850" t="s">
        <v>370</v>
      </c>
      <c r="E1850">
        <v>3.5</v>
      </c>
      <c r="F1850">
        <v>5</v>
      </c>
      <c r="G1850">
        <v>17.5</v>
      </c>
    </row>
    <row r="1851" spans="1:7" x14ac:dyDescent="0.2">
      <c r="A1851" t="s">
        <v>152</v>
      </c>
      <c r="B1851" t="s">
        <v>243</v>
      </c>
      <c r="C1851" t="s">
        <v>4</v>
      </c>
      <c r="D1851" t="s">
        <v>304</v>
      </c>
      <c r="E1851">
        <v>1.9</v>
      </c>
      <c r="F1851">
        <v>10.1</v>
      </c>
      <c r="G1851">
        <v>19.190000000000001</v>
      </c>
    </row>
    <row r="1852" spans="1:7" x14ac:dyDescent="0.2">
      <c r="A1852" t="s">
        <v>152</v>
      </c>
      <c r="B1852" t="s">
        <v>243</v>
      </c>
      <c r="C1852" t="s">
        <v>5</v>
      </c>
      <c r="D1852" t="s">
        <v>305</v>
      </c>
      <c r="E1852">
        <v>4</v>
      </c>
      <c r="F1852">
        <v>11.5</v>
      </c>
      <c r="G1852">
        <v>46</v>
      </c>
    </row>
    <row r="1853" spans="1:7" x14ac:dyDescent="0.2">
      <c r="A1853" t="s">
        <v>152</v>
      </c>
      <c r="B1853" t="s">
        <v>243</v>
      </c>
      <c r="C1853" t="s">
        <v>12</v>
      </c>
      <c r="D1853" t="s">
        <v>308</v>
      </c>
      <c r="E1853">
        <v>0.7</v>
      </c>
      <c r="F1853">
        <v>7</v>
      </c>
      <c r="G1853">
        <v>4.9000000000000004</v>
      </c>
    </row>
    <row r="1854" spans="1:7" x14ac:dyDescent="0.2">
      <c r="A1854" t="s">
        <v>152</v>
      </c>
      <c r="B1854" t="s">
        <v>243</v>
      </c>
      <c r="C1854" t="s">
        <v>105</v>
      </c>
      <c r="D1854" t="s">
        <v>313</v>
      </c>
      <c r="E1854">
        <v>10</v>
      </c>
      <c r="F1854">
        <v>0.1</v>
      </c>
      <c r="G1854">
        <v>1</v>
      </c>
    </row>
    <row r="1855" spans="1:7" x14ac:dyDescent="0.2">
      <c r="A1855" t="s">
        <v>152</v>
      </c>
      <c r="B1855" t="s">
        <v>243</v>
      </c>
      <c r="C1855" t="s">
        <v>110</v>
      </c>
      <c r="D1855" t="s">
        <v>314</v>
      </c>
      <c r="E1855">
        <v>20</v>
      </c>
      <c r="F1855">
        <v>0.1</v>
      </c>
      <c r="G1855">
        <v>2</v>
      </c>
    </row>
    <row r="1856" spans="1:7" x14ac:dyDescent="0.2">
      <c r="A1856" t="s">
        <v>152</v>
      </c>
      <c r="B1856" t="s">
        <v>243</v>
      </c>
      <c r="C1856" t="s">
        <v>120</v>
      </c>
      <c r="D1856" t="s">
        <v>340</v>
      </c>
      <c r="E1856">
        <v>200</v>
      </c>
      <c r="F1856">
        <v>0.1</v>
      </c>
      <c r="G1856">
        <v>20</v>
      </c>
    </row>
    <row r="1857" spans="1:7" x14ac:dyDescent="0.2">
      <c r="A1857" t="s">
        <v>862</v>
      </c>
      <c r="B1857" t="s">
        <v>863</v>
      </c>
      <c r="C1857" t="s">
        <v>94</v>
      </c>
      <c r="D1857" t="s">
        <v>280</v>
      </c>
      <c r="E1857">
        <v>1</v>
      </c>
      <c r="F1857">
        <v>3.5</v>
      </c>
      <c r="G1857">
        <v>3.5</v>
      </c>
    </row>
    <row r="1858" spans="1:7" x14ac:dyDescent="0.2">
      <c r="A1858" t="s">
        <v>862</v>
      </c>
      <c r="B1858" t="s">
        <v>863</v>
      </c>
      <c r="C1858" t="s">
        <v>56</v>
      </c>
      <c r="D1858" t="s">
        <v>287</v>
      </c>
      <c r="E1858">
        <v>0</v>
      </c>
      <c r="F1858">
        <v>90</v>
      </c>
      <c r="G1858">
        <v>0</v>
      </c>
    </row>
    <row r="1859" spans="1:7" x14ac:dyDescent="0.2">
      <c r="A1859" t="s">
        <v>862</v>
      </c>
      <c r="B1859" t="s">
        <v>863</v>
      </c>
      <c r="C1859" t="s">
        <v>69</v>
      </c>
      <c r="D1859" t="s">
        <v>288</v>
      </c>
      <c r="E1859">
        <v>0</v>
      </c>
      <c r="F1859">
        <v>190</v>
      </c>
      <c r="G1859">
        <v>0</v>
      </c>
    </row>
    <row r="1860" spans="1:7" x14ac:dyDescent="0.2">
      <c r="A1860" t="s">
        <v>862</v>
      </c>
      <c r="B1860" t="s">
        <v>863</v>
      </c>
      <c r="C1860" t="s">
        <v>79</v>
      </c>
      <c r="D1860" t="s">
        <v>289</v>
      </c>
      <c r="E1860">
        <v>0</v>
      </c>
      <c r="F1860">
        <v>380</v>
      </c>
      <c r="G1860">
        <v>0</v>
      </c>
    </row>
    <row r="1861" spans="1:7" x14ac:dyDescent="0.2">
      <c r="A1861" t="s">
        <v>862</v>
      </c>
      <c r="B1861" t="s">
        <v>863</v>
      </c>
      <c r="C1861" t="s">
        <v>27</v>
      </c>
      <c r="D1861" t="s">
        <v>396</v>
      </c>
      <c r="E1861">
        <v>4</v>
      </c>
      <c r="F1861">
        <v>1.5</v>
      </c>
      <c r="G1861">
        <v>6</v>
      </c>
    </row>
    <row r="1862" spans="1:7" x14ac:dyDescent="0.2">
      <c r="A1862" t="s">
        <v>862</v>
      </c>
      <c r="B1862" t="s">
        <v>863</v>
      </c>
      <c r="C1862" t="s">
        <v>29</v>
      </c>
      <c r="D1862" t="s">
        <v>292</v>
      </c>
      <c r="E1862">
        <v>0.38</v>
      </c>
      <c r="F1862">
        <v>27</v>
      </c>
      <c r="G1862">
        <v>10.26</v>
      </c>
    </row>
    <row r="1863" spans="1:7" x14ac:dyDescent="0.2">
      <c r="A1863" t="s">
        <v>862</v>
      </c>
      <c r="B1863" t="s">
        <v>863</v>
      </c>
      <c r="C1863" t="s">
        <v>31</v>
      </c>
      <c r="D1863" t="s">
        <v>293</v>
      </c>
      <c r="E1863">
        <v>1</v>
      </c>
      <c r="F1863">
        <v>5</v>
      </c>
      <c r="G1863">
        <v>5</v>
      </c>
    </row>
    <row r="1864" spans="1:7" x14ac:dyDescent="0.2">
      <c r="A1864" t="s">
        <v>862</v>
      </c>
      <c r="B1864" t="s">
        <v>863</v>
      </c>
      <c r="C1864" t="s">
        <v>642</v>
      </c>
      <c r="D1864" t="s">
        <v>643</v>
      </c>
      <c r="E1864">
        <v>1</v>
      </c>
      <c r="F1864">
        <v>25</v>
      </c>
      <c r="G1864">
        <v>25</v>
      </c>
    </row>
    <row r="1865" spans="1:7" x14ac:dyDescent="0.2">
      <c r="A1865" t="s">
        <v>862</v>
      </c>
      <c r="B1865" t="s">
        <v>863</v>
      </c>
      <c r="C1865" t="s">
        <v>644</v>
      </c>
      <c r="D1865" t="s">
        <v>645</v>
      </c>
      <c r="E1865">
        <v>1</v>
      </c>
      <c r="F1865">
        <v>25</v>
      </c>
      <c r="G1865">
        <v>25</v>
      </c>
    </row>
    <row r="1866" spans="1:7" x14ac:dyDescent="0.2">
      <c r="A1866" t="s">
        <v>862</v>
      </c>
      <c r="B1866" t="s">
        <v>863</v>
      </c>
      <c r="C1866" t="s">
        <v>121</v>
      </c>
      <c r="D1866" t="s">
        <v>301</v>
      </c>
      <c r="E1866">
        <v>1</v>
      </c>
      <c r="F1866">
        <v>0.95</v>
      </c>
      <c r="G1866">
        <v>0.95</v>
      </c>
    </row>
    <row r="1867" spans="1:7" x14ac:dyDescent="0.2">
      <c r="A1867" t="s">
        <v>862</v>
      </c>
      <c r="B1867" t="s">
        <v>863</v>
      </c>
      <c r="C1867" t="s">
        <v>122</v>
      </c>
      <c r="D1867" t="s">
        <v>302</v>
      </c>
      <c r="E1867">
        <v>1</v>
      </c>
      <c r="F1867">
        <v>4.2</v>
      </c>
      <c r="G1867">
        <v>4.2</v>
      </c>
    </row>
    <row r="1868" spans="1:7" x14ac:dyDescent="0.2">
      <c r="A1868" t="s">
        <v>862</v>
      </c>
      <c r="B1868" t="s">
        <v>863</v>
      </c>
      <c r="C1868" t="s">
        <v>3</v>
      </c>
      <c r="D1868" t="s">
        <v>370</v>
      </c>
      <c r="E1868">
        <v>0.4</v>
      </c>
      <c r="F1868">
        <v>5</v>
      </c>
      <c r="G1868">
        <v>2</v>
      </c>
    </row>
    <row r="1869" spans="1:7" x14ac:dyDescent="0.2">
      <c r="A1869" t="s">
        <v>862</v>
      </c>
      <c r="B1869" t="s">
        <v>863</v>
      </c>
      <c r="C1869" t="s">
        <v>5</v>
      </c>
      <c r="D1869" t="s">
        <v>305</v>
      </c>
      <c r="E1869">
        <v>0.6</v>
      </c>
      <c r="F1869">
        <v>11.5</v>
      </c>
      <c r="G1869">
        <v>6.9</v>
      </c>
    </row>
    <row r="1870" spans="1:7" x14ac:dyDescent="0.2">
      <c r="A1870" t="s">
        <v>862</v>
      </c>
      <c r="B1870" t="s">
        <v>863</v>
      </c>
      <c r="C1870" t="s">
        <v>7</v>
      </c>
      <c r="D1870" t="s">
        <v>307</v>
      </c>
      <c r="E1870">
        <v>0.3</v>
      </c>
      <c r="F1870">
        <v>6.7</v>
      </c>
      <c r="G1870">
        <v>2.0099999999999998</v>
      </c>
    </row>
    <row r="1871" spans="1:7" x14ac:dyDescent="0.2">
      <c r="A1871" t="s">
        <v>862</v>
      </c>
      <c r="B1871" t="s">
        <v>863</v>
      </c>
      <c r="C1871" t="s">
        <v>804</v>
      </c>
      <c r="D1871" t="s">
        <v>805</v>
      </c>
      <c r="E1871">
        <v>0.25</v>
      </c>
      <c r="F1871">
        <v>7</v>
      </c>
      <c r="G1871">
        <v>1.75</v>
      </c>
    </row>
    <row r="1872" spans="1:7" x14ac:dyDescent="0.2">
      <c r="A1872" t="s">
        <v>862</v>
      </c>
      <c r="B1872" t="s">
        <v>863</v>
      </c>
      <c r="C1872" t="s">
        <v>13</v>
      </c>
      <c r="D1872" t="s">
        <v>309</v>
      </c>
      <c r="E1872">
        <v>0.16</v>
      </c>
      <c r="F1872">
        <v>7</v>
      </c>
      <c r="G1872">
        <v>1.1200000000000001</v>
      </c>
    </row>
    <row r="1873" spans="1:7" x14ac:dyDescent="0.2">
      <c r="A1873" t="s">
        <v>862</v>
      </c>
      <c r="B1873" t="s">
        <v>863</v>
      </c>
      <c r="C1873" t="s">
        <v>105</v>
      </c>
      <c r="D1873" t="s">
        <v>313</v>
      </c>
      <c r="E1873">
        <v>0</v>
      </c>
      <c r="F1873">
        <v>0.1</v>
      </c>
      <c r="G1873">
        <v>0</v>
      </c>
    </row>
    <row r="1874" spans="1:7" x14ac:dyDescent="0.2">
      <c r="A1874" t="s">
        <v>862</v>
      </c>
      <c r="B1874" t="s">
        <v>863</v>
      </c>
      <c r="C1874" t="s">
        <v>110</v>
      </c>
      <c r="D1874" t="s">
        <v>314</v>
      </c>
      <c r="E1874">
        <v>0</v>
      </c>
      <c r="F1874">
        <v>0.1</v>
      </c>
      <c r="G1874">
        <v>0</v>
      </c>
    </row>
    <row r="1875" spans="1:7" x14ac:dyDescent="0.2">
      <c r="A1875" t="s">
        <v>866</v>
      </c>
      <c r="B1875" t="s">
        <v>867</v>
      </c>
      <c r="C1875" t="s">
        <v>94</v>
      </c>
      <c r="D1875" t="s">
        <v>280</v>
      </c>
      <c r="E1875">
        <v>1</v>
      </c>
      <c r="F1875">
        <v>3.5</v>
      </c>
      <c r="G1875">
        <v>3.5</v>
      </c>
    </row>
    <row r="1876" spans="1:7" x14ac:dyDescent="0.2">
      <c r="A1876" t="s">
        <v>866</v>
      </c>
      <c r="B1876" t="s">
        <v>867</v>
      </c>
      <c r="C1876" t="s">
        <v>56</v>
      </c>
      <c r="D1876" t="s">
        <v>287</v>
      </c>
      <c r="E1876">
        <v>0</v>
      </c>
      <c r="F1876">
        <v>90</v>
      </c>
      <c r="G1876">
        <v>0</v>
      </c>
    </row>
    <row r="1877" spans="1:7" x14ac:dyDescent="0.2">
      <c r="A1877" t="s">
        <v>866</v>
      </c>
      <c r="B1877" t="s">
        <v>867</v>
      </c>
      <c r="C1877" t="s">
        <v>69</v>
      </c>
      <c r="D1877" t="s">
        <v>288</v>
      </c>
      <c r="E1877">
        <v>0</v>
      </c>
      <c r="F1877">
        <v>190</v>
      </c>
      <c r="G1877">
        <v>0</v>
      </c>
    </row>
    <row r="1878" spans="1:7" x14ac:dyDescent="0.2">
      <c r="A1878" t="s">
        <v>866</v>
      </c>
      <c r="B1878" t="s">
        <v>867</v>
      </c>
      <c r="C1878" t="s">
        <v>80</v>
      </c>
      <c r="D1878" t="s">
        <v>317</v>
      </c>
      <c r="E1878">
        <v>0</v>
      </c>
      <c r="F1878">
        <v>380</v>
      </c>
      <c r="G1878">
        <v>0</v>
      </c>
    </row>
    <row r="1879" spans="1:7" x14ac:dyDescent="0.2">
      <c r="A1879" t="s">
        <v>866</v>
      </c>
      <c r="B1879" t="s">
        <v>867</v>
      </c>
      <c r="C1879" t="s">
        <v>27</v>
      </c>
      <c r="D1879" t="s">
        <v>396</v>
      </c>
      <c r="E1879">
        <v>4</v>
      </c>
      <c r="F1879">
        <v>1.5</v>
      </c>
      <c r="G1879">
        <v>6</v>
      </c>
    </row>
    <row r="1880" spans="1:7" x14ac:dyDescent="0.2">
      <c r="A1880" t="s">
        <v>866</v>
      </c>
      <c r="B1880" t="s">
        <v>867</v>
      </c>
      <c r="C1880" t="s">
        <v>29</v>
      </c>
      <c r="D1880" t="s">
        <v>292</v>
      </c>
      <c r="E1880">
        <v>0.38</v>
      </c>
      <c r="F1880">
        <v>27</v>
      </c>
      <c r="G1880">
        <v>10.26</v>
      </c>
    </row>
    <row r="1881" spans="1:7" x14ac:dyDescent="0.2">
      <c r="A1881" t="s">
        <v>866</v>
      </c>
      <c r="B1881" t="s">
        <v>867</v>
      </c>
      <c r="C1881" t="s">
        <v>31</v>
      </c>
      <c r="D1881" t="s">
        <v>293</v>
      </c>
      <c r="E1881">
        <v>1</v>
      </c>
      <c r="F1881">
        <v>5</v>
      </c>
      <c r="G1881">
        <v>5</v>
      </c>
    </row>
    <row r="1882" spans="1:7" x14ac:dyDescent="0.2">
      <c r="A1882" t="s">
        <v>866</v>
      </c>
      <c r="B1882" t="s">
        <v>867</v>
      </c>
      <c r="C1882" t="s">
        <v>642</v>
      </c>
      <c r="D1882" t="s">
        <v>643</v>
      </c>
      <c r="E1882">
        <v>1</v>
      </c>
      <c r="F1882">
        <v>25</v>
      </c>
      <c r="G1882">
        <v>25</v>
      </c>
    </row>
    <row r="1883" spans="1:7" x14ac:dyDescent="0.2">
      <c r="A1883" t="s">
        <v>866</v>
      </c>
      <c r="B1883" t="s">
        <v>867</v>
      </c>
      <c r="C1883" t="s">
        <v>644</v>
      </c>
      <c r="D1883" t="s">
        <v>645</v>
      </c>
      <c r="E1883">
        <v>1</v>
      </c>
      <c r="F1883">
        <v>25</v>
      </c>
      <c r="G1883">
        <v>25</v>
      </c>
    </row>
    <row r="1884" spans="1:7" x14ac:dyDescent="0.2">
      <c r="A1884" t="s">
        <v>866</v>
      </c>
      <c r="B1884" t="s">
        <v>867</v>
      </c>
      <c r="C1884" t="s">
        <v>121</v>
      </c>
      <c r="D1884" t="s">
        <v>301</v>
      </c>
      <c r="E1884">
        <v>1</v>
      </c>
      <c r="F1884">
        <v>0.95</v>
      </c>
      <c r="G1884">
        <v>0.95</v>
      </c>
    </row>
    <row r="1885" spans="1:7" x14ac:dyDescent="0.2">
      <c r="A1885" t="s">
        <v>866</v>
      </c>
      <c r="B1885" t="s">
        <v>867</v>
      </c>
      <c r="C1885" t="s">
        <v>122</v>
      </c>
      <c r="D1885" t="s">
        <v>302</v>
      </c>
      <c r="E1885">
        <v>1</v>
      </c>
      <c r="F1885">
        <v>4.2</v>
      </c>
      <c r="G1885">
        <v>4.2</v>
      </c>
    </row>
    <row r="1886" spans="1:7" x14ac:dyDescent="0.2">
      <c r="A1886" t="s">
        <v>866</v>
      </c>
      <c r="B1886" t="s">
        <v>867</v>
      </c>
      <c r="C1886" t="s">
        <v>3</v>
      </c>
      <c r="D1886" t="s">
        <v>370</v>
      </c>
      <c r="E1886">
        <v>0.4</v>
      </c>
      <c r="F1886">
        <v>5</v>
      </c>
      <c r="G1886">
        <v>2</v>
      </c>
    </row>
    <row r="1887" spans="1:7" x14ac:dyDescent="0.2">
      <c r="A1887" t="s">
        <v>866</v>
      </c>
      <c r="B1887" t="s">
        <v>867</v>
      </c>
      <c r="C1887" t="s">
        <v>5</v>
      </c>
      <c r="D1887" t="s">
        <v>305</v>
      </c>
      <c r="E1887">
        <v>0.6</v>
      </c>
      <c r="F1887">
        <v>11.5</v>
      </c>
      <c r="G1887">
        <v>6.9</v>
      </c>
    </row>
    <row r="1888" spans="1:7" x14ac:dyDescent="0.2">
      <c r="A1888" t="s">
        <v>866</v>
      </c>
      <c r="B1888" t="s">
        <v>867</v>
      </c>
      <c r="C1888" t="s">
        <v>7</v>
      </c>
      <c r="D1888" t="s">
        <v>307</v>
      </c>
      <c r="E1888">
        <v>0.3</v>
      </c>
      <c r="F1888">
        <v>6.7</v>
      </c>
      <c r="G1888">
        <v>2.0099999999999998</v>
      </c>
    </row>
    <row r="1889" spans="1:7" x14ac:dyDescent="0.2">
      <c r="A1889" t="s">
        <v>866</v>
      </c>
      <c r="B1889" t="s">
        <v>867</v>
      </c>
      <c r="C1889" t="s">
        <v>804</v>
      </c>
      <c r="D1889" t="s">
        <v>805</v>
      </c>
      <c r="E1889">
        <v>0.25</v>
      </c>
      <c r="F1889">
        <v>7</v>
      </c>
      <c r="G1889">
        <v>1.75</v>
      </c>
    </row>
    <row r="1890" spans="1:7" x14ac:dyDescent="0.2">
      <c r="A1890" t="s">
        <v>866</v>
      </c>
      <c r="B1890" t="s">
        <v>867</v>
      </c>
      <c r="C1890" t="s">
        <v>13</v>
      </c>
      <c r="D1890" t="s">
        <v>309</v>
      </c>
      <c r="E1890">
        <v>0.16</v>
      </c>
      <c r="F1890">
        <v>7</v>
      </c>
      <c r="G1890">
        <v>1.1200000000000001</v>
      </c>
    </row>
    <row r="1891" spans="1:7" x14ac:dyDescent="0.2">
      <c r="A1891" t="s">
        <v>866</v>
      </c>
      <c r="B1891" t="s">
        <v>867</v>
      </c>
      <c r="C1891" t="s">
        <v>105</v>
      </c>
      <c r="D1891" t="s">
        <v>313</v>
      </c>
      <c r="E1891">
        <v>0</v>
      </c>
      <c r="F1891">
        <v>0.1</v>
      </c>
      <c r="G1891">
        <v>0</v>
      </c>
    </row>
    <row r="1892" spans="1:7" x14ac:dyDescent="0.2">
      <c r="A1892" t="s">
        <v>866</v>
      </c>
      <c r="B1892" t="s">
        <v>867</v>
      </c>
      <c r="C1892" t="s">
        <v>110</v>
      </c>
      <c r="D1892" t="s">
        <v>314</v>
      </c>
      <c r="E1892">
        <v>0</v>
      </c>
      <c r="F1892">
        <v>0.1</v>
      </c>
      <c r="G1892">
        <v>0</v>
      </c>
    </row>
    <row r="1893" spans="1:7" x14ac:dyDescent="0.2">
      <c r="A1893" t="s">
        <v>864</v>
      </c>
      <c r="B1893" t="s">
        <v>865</v>
      </c>
      <c r="C1893" t="s">
        <v>94</v>
      </c>
      <c r="D1893" t="s">
        <v>280</v>
      </c>
      <c r="E1893">
        <v>1</v>
      </c>
      <c r="F1893">
        <v>3.5</v>
      </c>
      <c r="G1893">
        <v>3.5</v>
      </c>
    </row>
    <row r="1894" spans="1:7" x14ac:dyDescent="0.2">
      <c r="A1894" t="s">
        <v>864</v>
      </c>
      <c r="B1894" t="s">
        <v>865</v>
      </c>
      <c r="C1894" t="s">
        <v>52</v>
      </c>
      <c r="D1894" t="s">
        <v>321</v>
      </c>
      <c r="E1894">
        <v>0</v>
      </c>
      <c r="F1894">
        <v>120</v>
      </c>
      <c r="G1894">
        <v>0</v>
      </c>
    </row>
    <row r="1895" spans="1:7" x14ac:dyDescent="0.2">
      <c r="A1895" t="s">
        <v>864</v>
      </c>
      <c r="B1895" t="s">
        <v>865</v>
      </c>
      <c r="C1895" t="s">
        <v>69</v>
      </c>
      <c r="D1895" t="s">
        <v>288</v>
      </c>
      <c r="E1895">
        <v>0</v>
      </c>
      <c r="F1895">
        <v>190</v>
      </c>
      <c r="G1895">
        <v>0</v>
      </c>
    </row>
    <row r="1896" spans="1:7" x14ac:dyDescent="0.2">
      <c r="A1896" t="s">
        <v>864</v>
      </c>
      <c r="B1896" t="s">
        <v>865</v>
      </c>
      <c r="C1896" t="s">
        <v>81</v>
      </c>
      <c r="D1896" t="s">
        <v>322</v>
      </c>
      <c r="E1896">
        <v>0</v>
      </c>
      <c r="F1896">
        <v>380</v>
      </c>
      <c r="G1896">
        <v>0</v>
      </c>
    </row>
    <row r="1897" spans="1:7" x14ac:dyDescent="0.2">
      <c r="A1897" t="s">
        <v>864</v>
      </c>
      <c r="B1897" t="s">
        <v>865</v>
      </c>
      <c r="C1897" t="s">
        <v>27</v>
      </c>
      <c r="D1897" t="s">
        <v>396</v>
      </c>
      <c r="E1897">
        <v>4</v>
      </c>
      <c r="F1897">
        <v>1.5</v>
      </c>
      <c r="G1897">
        <v>6</v>
      </c>
    </row>
    <row r="1898" spans="1:7" x14ac:dyDescent="0.2">
      <c r="A1898" t="s">
        <v>864</v>
      </c>
      <c r="B1898" t="s">
        <v>865</v>
      </c>
      <c r="C1898" t="s">
        <v>29</v>
      </c>
      <c r="D1898" t="s">
        <v>292</v>
      </c>
      <c r="E1898">
        <v>0.38</v>
      </c>
      <c r="F1898">
        <v>27</v>
      </c>
      <c r="G1898">
        <v>10.26</v>
      </c>
    </row>
    <row r="1899" spans="1:7" x14ac:dyDescent="0.2">
      <c r="A1899" t="s">
        <v>864</v>
      </c>
      <c r="B1899" t="s">
        <v>865</v>
      </c>
      <c r="C1899" t="s">
        <v>31</v>
      </c>
      <c r="D1899" t="s">
        <v>293</v>
      </c>
      <c r="E1899">
        <v>1</v>
      </c>
      <c r="F1899">
        <v>5</v>
      </c>
      <c r="G1899">
        <v>5</v>
      </c>
    </row>
    <row r="1900" spans="1:7" x14ac:dyDescent="0.2">
      <c r="A1900" t="s">
        <v>864</v>
      </c>
      <c r="B1900" t="s">
        <v>865</v>
      </c>
      <c r="C1900" t="s">
        <v>642</v>
      </c>
      <c r="D1900" t="s">
        <v>643</v>
      </c>
      <c r="E1900">
        <v>1</v>
      </c>
      <c r="F1900">
        <v>25</v>
      </c>
      <c r="G1900">
        <v>25</v>
      </c>
    </row>
    <row r="1901" spans="1:7" x14ac:dyDescent="0.2">
      <c r="A1901" t="s">
        <v>864</v>
      </c>
      <c r="B1901" t="s">
        <v>865</v>
      </c>
      <c r="C1901" t="s">
        <v>644</v>
      </c>
      <c r="D1901" t="s">
        <v>645</v>
      </c>
      <c r="E1901">
        <v>1</v>
      </c>
      <c r="F1901">
        <v>25</v>
      </c>
      <c r="G1901">
        <v>25</v>
      </c>
    </row>
    <row r="1902" spans="1:7" x14ac:dyDescent="0.2">
      <c r="A1902" t="s">
        <v>864</v>
      </c>
      <c r="B1902" t="s">
        <v>865</v>
      </c>
      <c r="C1902" t="s">
        <v>121</v>
      </c>
      <c r="D1902" t="s">
        <v>301</v>
      </c>
      <c r="E1902">
        <v>1</v>
      </c>
      <c r="F1902">
        <v>0.95</v>
      </c>
      <c r="G1902">
        <v>0.95</v>
      </c>
    </row>
    <row r="1903" spans="1:7" x14ac:dyDescent="0.2">
      <c r="A1903" t="s">
        <v>864</v>
      </c>
      <c r="B1903" t="s">
        <v>865</v>
      </c>
      <c r="C1903" t="s">
        <v>122</v>
      </c>
      <c r="D1903" t="s">
        <v>302</v>
      </c>
      <c r="E1903">
        <v>1</v>
      </c>
      <c r="F1903">
        <v>4.2</v>
      </c>
      <c r="G1903">
        <v>4.2</v>
      </c>
    </row>
    <row r="1904" spans="1:7" x14ac:dyDescent="0.2">
      <c r="A1904" t="s">
        <v>864</v>
      </c>
      <c r="B1904" t="s">
        <v>865</v>
      </c>
      <c r="C1904" t="s">
        <v>3</v>
      </c>
      <c r="D1904" t="s">
        <v>370</v>
      </c>
      <c r="E1904">
        <v>0.4</v>
      </c>
      <c r="F1904">
        <v>5</v>
      </c>
      <c r="G1904">
        <v>2</v>
      </c>
    </row>
    <row r="1905" spans="1:7" x14ac:dyDescent="0.2">
      <c r="A1905" t="s">
        <v>864</v>
      </c>
      <c r="B1905" t="s">
        <v>865</v>
      </c>
      <c r="C1905" t="s">
        <v>5</v>
      </c>
      <c r="D1905" t="s">
        <v>305</v>
      </c>
      <c r="E1905">
        <v>0.6</v>
      </c>
      <c r="F1905">
        <v>11.5</v>
      </c>
      <c r="G1905">
        <v>6.9</v>
      </c>
    </row>
    <row r="1906" spans="1:7" x14ac:dyDescent="0.2">
      <c r="A1906" t="s">
        <v>864</v>
      </c>
      <c r="B1906" t="s">
        <v>865</v>
      </c>
      <c r="C1906" t="s">
        <v>7</v>
      </c>
      <c r="D1906" t="s">
        <v>307</v>
      </c>
      <c r="E1906">
        <v>0.3</v>
      </c>
      <c r="F1906">
        <v>6.7</v>
      </c>
      <c r="G1906">
        <v>2.0099999999999998</v>
      </c>
    </row>
    <row r="1907" spans="1:7" x14ac:dyDescent="0.2">
      <c r="A1907" t="s">
        <v>864</v>
      </c>
      <c r="B1907" t="s">
        <v>865</v>
      </c>
      <c r="C1907" t="s">
        <v>804</v>
      </c>
      <c r="D1907" t="s">
        <v>805</v>
      </c>
      <c r="E1907">
        <v>0.25</v>
      </c>
      <c r="F1907">
        <v>7</v>
      </c>
      <c r="G1907">
        <v>1.75</v>
      </c>
    </row>
    <row r="1908" spans="1:7" x14ac:dyDescent="0.2">
      <c r="A1908" t="s">
        <v>864</v>
      </c>
      <c r="B1908" t="s">
        <v>865</v>
      </c>
      <c r="C1908" t="s">
        <v>13</v>
      </c>
      <c r="D1908" t="s">
        <v>309</v>
      </c>
      <c r="E1908">
        <v>0.16</v>
      </c>
      <c r="F1908">
        <v>7</v>
      </c>
      <c r="G1908">
        <v>1.1200000000000001</v>
      </c>
    </row>
    <row r="1909" spans="1:7" x14ac:dyDescent="0.2">
      <c r="A1909" t="s">
        <v>864</v>
      </c>
      <c r="B1909" t="s">
        <v>865</v>
      </c>
      <c r="C1909" t="s">
        <v>105</v>
      </c>
      <c r="D1909" t="s">
        <v>313</v>
      </c>
      <c r="E1909">
        <v>0</v>
      </c>
      <c r="F1909">
        <v>0.1</v>
      </c>
      <c r="G1909">
        <v>0</v>
      </c>
    </row>
    <row r="1910" spans="1:7" x14ac:dyDescent="0.2">
      <c r="A1910" t="s">
        <v>864</v>
      </c>
      <c r="B1910" t="s">
        <v>865</v>
      </c>
      <c r="C1910" t="s">
        <v>108</v>
      </c>
      <c r="D1910" t="s">
        <v>323</v>
      </c>
      <c r="E1910">
        <v>0</v>
      </c>
      <c r="F1910">
        <v>0.1</v>
      </c>
      <c r="G1910">
        <v>0</v>
      </c>
    </row>
    <row r="1911" spans="1:7" x14ac:dyDescent="0.2">
      <c r="A1911" t="s">
        <v>1004</v>
      </c>
      <c r="B1911" t="s">
        <v>1005</v>
      </c>
      <c r="C1911" t="s">
        <v>94</v>
      </c>
      <c r="D1911" t="s">
        <v>280</v>
      </c>
      <c r="E1911">
        <v>1</v>
      </c>
      <c r="F1911">
        <v>3.5</v>
      </c>
      <c r="G1911">
        <v>3.5</v>
      </c>
    </row>
    <row r="1912" spans="1:7" x14ac:dyDescent="0.2">
      <c r="A1912" t="s">
        <v>1004</v>
      </c>
      <c r="B1912" t="s">
        <v>1005</v>
      </c>
      <c r="C1912" t="s">
        <v>95</v>
      </c>
      <c r="D1912" t="s">
        <v>281</v>
      </c>
      <c r="E1912">
        <v>1</v>
      </c>
      <c r="F1912">
        <v>2</v>
      </c>
      <c r="G1912">
        <v>2</v>
      </c>
    </row>
    <row r="1913" spans="1:7" x14ac:dyDescent="0.2">
      <c r="A1913" t="s">
        <v>1004</v>
      </c>
      <c r="B1913" t="s">
        <v>1005</v>
      </c>
      <c r="C1913" t="s">
        <v>44</v>
      </c>
      <c r="D1913" t="s">
        <v>324</v>
      </c>
      <c r="E1913">
        <v>0.25</v>
      </c>
      <c r="F1913">
        <v>65</v>
      </c>
      <c r="G1913">
        <v>16.25</v>
      </c>
    </row>
    <row r="1914" spans="1:7" x14ac:dyDescent="0.2">
      <c r="A1914" t="s">
        <v>1004</v>
      </c>
      <c r="B1914" t="s">
        <v>1005</v>
      </c>
      <c r="C1914" t="s">
        <v>53</v>
      </c>
      <c r="D1914" t="s">
        <v>325</v>
      </c>
      <c r="E1914">
        <v>1.5</v>
      </c>
      <c r="F1914">
        <v>120</v>
      </c>
      <c r="G1914">
        <v>180</v>
      </c>
    </row>
    <row r="1915" spans="1:7" x14ac:dyDescent="0.2">
      <c r="A1915" t="s">
        <v>1004</v>
      </c>
      <c r="B1915" t="s">
        <v>1005</v>
      </c>
      <c r="C1915" t="s">
        <v>60</v>
      </c>
      <c r="D1915" t="s">
        <v>337</v>
      </c>
      <c r="E1915">
        <v>0.25</v>
      </c>
      <c r="F1915">
        <v>130</v>
      </c>
      <c r="G1915">
        <v>32.5</v>
      </c>
    </row>
    <row r="1916" spans="1:7" x14ac:dyDescent="0.2">
      <c r="A1916" t="s">
        <v>1004</v>
      </c>
      <c r="B1916" t="s">
        <v>1005</v>
      </c>
      <c r="C1916" t="s">
        <v>61</v>
      </c>
      <c r="D1916" t="s">
        <v>341</v>
      </c>
      <c r="E1916">
        <v>1.5</v>
      </c>
      <c r="F1916">
        <v>190</v>
      </c>
      <c r="G1916">
        <v>285</v>
      </c>
    </row>
    <row r="1917" spans="1:7" x14ac:dyDescent="0.2">
      <c r="A1917" t="s">
        <v>1004</v>
      </c>
      <c r="B1917" t="s">
        <v>1005</v>
      </c>
      <c r="C1917" t="s">
        <v>69</v>
      </c>
      <c r="D1917" t="s">
        <v>288</v>
      </c>
      <c r="E1917">
        <v>0.25</v>
      </c>
      <c r="F1917">
        <v>190</v>
      </c>
      <c r="G1917">
        <v>47.5</v>
      </c>
    </row>
    <row r="1918" spans="1:7" x14ac:dyDescent="0.2">
      <c r="A1918" t="s">
        <v>1004</v>
      </c>
      <c r="B1918" t="s">
        <v>1005</v>
      </c>
      <c r="C1918" t="s">
        <v>93</v>
      </c>
      <c r="D1918" t="s">
        <v>327</v>
      </c>
      <c r="E1918">
        <v>0.25</v>
      </c>
      <c r="F1918">
        <v>70</v>
      </c>
      <c r="G1918">
        <v>17.5</v>
      </c>
    </row>
    <row r="1919" spans="1:7" x14ac:dyDescent="0.2">
      <c r="A1919" t="s">
        <v>1004</v>
      </c>
      <c r="B1919" t="s">
        <v>1005</v>
      </c>
      <c r="C1919" t="s">
        <v>47</v>
      </c>
      <c r="D1919" t="s">
        <v>328</v>
      </c>
      <c r="E1919">
        <v>0.1</v>
      </c>
      <c r="F1919">
        <v>235</v>
      </c>
      <c r="G1919">
        <v>23.5</v>
      </c>
    </row>
    <row r="1920" spans="1:7" x14ac:dyDescent="0.2">
      <c r="A1920" t="s">
        <v>1004</v>
      </c>
      <c r="B1920" t="s">
        <v>1005</v>
      </c>
      <c r="C1920" t="s">
        <v>48</v>
      </c>
      <c r="D1920" t="s">
        <v>359</v>
      </c>
      <c r="E1920">
        <v>7.4999999999999997E-2</v>
      </c>
      <c r="F1920">
        <v>412</v>
      </c>
      <c r="G1920">
        <v>30.9</v>
      </c>
    </row>
    <row r="1921" spans="1:7" x14ac:dyDescent="0.2">
      <c r="A1921" t="s">
        <v>1004</v>
      </c>
      <c r="B1921" t="s">
        <v>1005</v>
      </c>
      <c r="C1921" t="s">
        <v>19</v>
      </c>
      <c r="D1921" t="s">
        <v>329</v>
      </c>
      <c r="E1921">
        <v>1</v>
      </c>
      <c r="F1921">
        <v>2.9</v>
      </c>
      <c r="G1921">
        <v>2.9</v>
      </c>
    </row>
    <row r="1922" spans="1:7" x14ac:dyDescent="0.2">
      <c r="A1922" t="s">
        <v>1004</v>
      </c>
      <c r="B1922" t="s">
        <v>1005</v>
      </c>
      <c r="C1922" t="s">
        <v>20</v>
      </c>
      <c r="D1922" t="s">
        <v>330</v>
      </c>
      <c r="E1922">
        <v>1</v>
      </c>
      <c r="F1922">
        <v>2.9</v>
      </c>
      <c r="G1922">
        <v>2.9</v>
      </c>
    </row>
    <row r="1923" spans="1:7" x14ac:dyDescent="0.2">
      <c r="A1923" t="s">
        <v>1004</v>
      </c>
      <c r="B1923" t="s">
        <v>1005</v>
      </c>
      <c r="C1923" t="s">
        <v>24</v>
      </c>
      <c r="D1923" t="s">
        <v>360</v>
      </c>
      <c r="E1923">
        <v>2</v>
      </c>
      <c r="F1923">
        <v>2.2000000000000002</v>
      </c>
      <c r="G1923">
        <v>4.4000000000000004</v>
      </c>
    </row>
    <row r="1924" spans="1:7" x14ac:dyDescent="0.2">
      <c r="A1924" t="s">
        <v>1004</v>
      </c>
      <c r="B1924" t="s">
        <v>1005</v>
      </c>
      <c r="C1924" t="s">
        <v>29</v>
      </c>
      <c r="D1924" t="s">
        <v>292</v>
      </c>
      <c r="E1924">
        <v>0.8</v>
      </c>
      <c r="F1924">
        <v>27</v>
      </c>
      <c r="G1924">
        <v>21.6</v>
      </c>
    </row>
    <row r="1925" spans="1:7" x14ac:dyDescent="0.2">
      <c r="A1925" t="s">
        <v>1004</v>
      </c>
      <c r="B1925" t="s">
        <v>1005</v>
      </c>
      <c r="C1925" t="s">
        <v>30</v>
      </c>
      <c r="D1925" t="s">
        <v>332</v>
      </c>
      <c r="E1925">
        <v>2</v>
      </c>
      <c r="F1925">
        <v>6</v>
      </c>
      <c r="G1925">
        <v>12</v>
      </c>
    </row>
    <row r="1926" spans="1:7" x14ac:dyDescent="0.2">
      <c r="A1926" t="s">
        <v>1004</v>
      </c>
      <c r="B1926" t="s">
        <v>1005</v>
      </c>
      <c r="C1926" t="s">
        <v>35</v>
      </c>
      <c r="D1926" t="s">
        <v>295</v>
      </c>
      <c r="E1926">
        <v>1</v>
      </c>
      <c r="F1926">
        <v>18</v>
      </c>
      <c r="G1926">
        <v>18</v>
      </c>
    </row>
    <row r="1927" spans="1:7" x14ac:dyDescent="0.2">
      <c r="A1927" t="s">
        <v>1004</v>
      </c>
      <c r="B1927" t="s">
        <v>1005</v>
      </c>
      <c r="C1927" t="s">
        <v>104</v>
      </c>
      <c r="D1927" t="s">
        <v>343</v>
      </c>
      <c r="E1927">
        <v>1.4999999999999999E-2</v>
      </c>
      <c r="F1927">
        <v>890</v>
      </c>
      <c r="G1927">
        <v>13.35</v>
      </c>
    </row>
    <row r="1928" spans="1:7" x14ac:dyDescent="0.2">
      <c r="A1928" t="s">
        <v>1004</v>
      </c>
      <c r="B1928" t="s">
        <v>1005</v>
      </c>
      <c r="C1928" t="s">
        <v>121</v>
      </c>
      <c r="D1928" t="s">
        <v>301</v>
      </c>
      <c r="E1928">
        <v>1</v>
      </c>
      <c r="F1928">
        <v>0.95</v>
      </c>
      <c r="G1928">
        <v>0.95</v>
      </c>
    </row>
    <row r="1929" spans="1:7" x14ac:dyDescent="0.2">
      <c r="A1929" t="s">
        <v>1004</v>
      </c>
      <c r="B1929" t="s">
        <v>1005</v>
      </c>
      <c r="C1929" t="s">
        <v>122</v>
      </c>
      <c r="D1929" t="s">
        <v>302</v>
      </c>
      <c r="E1929">
        <v>1</v>
      </c>
      <c r="F1929">
        <v>4.2</v>
      </c>
      <c r="G1929">
        <v>4.2</v>
      </c>
    </row>
    <row r="1930" spans="1:7" x14ac:dyDescent="0.2">
      <c r="A1930" t="s">
        <v>1004</v>
      </c>
      <c r="B1930" t="s">
        <v>1005</v>
      </c>
      <c r="C1930" t="s">
        <v>4</v>
      </c>
      <c r="D1930" t="s">
        <v>304</v>
      </c>
      <c r="E1930">
        <v>2.6</v>
      </c>
      <c r="F1930">
        <v>10.1</v>
      </c>
      <c r="G1930">
        <v>26.26</v>
      </c>
    </row>
    <row r="1931" spans="1:7" x14ac:dyDescent="0.2">
      <c r="A1931" t="s">
        <v>1004</v>
      </c>
      <c r="B1931" t="s">
        <v>1005</v>
      </c>
      <c r="C1931" t="s">
        <v>5</v>
      </c>
      <c r="D1931" t="s">
        <v>305</v>
      </c>
      <c r="E1931">
        <v>1.7</v>
      </c>
      <c r="F1931">
        <v>11.5</v>
      </c>
      <c r="G1931">
        <v>19.55</v>
      </c>
    </row>
    <row r="1932" spans="1:7" x14ac:dyDescent="0.2">
      <c r="A1932" t="s">
        <v>1004</v>
      </c>
      <c r="B1932" t="s">
        <v>1005</v>
      </c>
      <c r="C1932" t="s">
        <v>6</v>
      </c>
      <c r="D1932" t="s">
        <v>306</v>
      </c>
      <c r="E1932">
        <v>0.8</v>
      </c>
      <c r="F1932">
        <v>16.8</v>
      </c>
      <c r="G1932">
        <v>13.44</v>
      </c>
    </row>
    <row r="1933" spans="1:7" x14ac:dyDescent="0.2">
      <c r="A1933" t="s">
        <v>1004</v>
      </c>
      <c r="B1933" t="s">
        <v>1005</v>
      </c>
      <c r="C1933" t="s">
        <v>105</v>
      </c>
      <c r="D1933" t="s">
        <v>313</v>
      </c>
      <c r="E1933">
        <v>200</v>
      </c>
      <c r="F1933">
        <v>0.1</v>
      </c>
      <c r="G1933">
        <v>20</v>
      </c>
    </row>
    <row r="1934" spans="1:7" x14ac:dyDescent="0.2">
      <c r="A1934" t="s">
        <v>1004</v>
      </c>
      <c r="B1934" t="s">
        <v>1005</v>
      </c>
      <c r="C1934" t="s">
        <v>107</v>
      </c>
      <c r="D1934" t="s">
        <v>316</v>
      </c>
      <c r="E1934">
        <v>50</v>
      </c>
      <c r="F1934">
        <v>0.1</v>
      </c>
      <c r="G1934">
        <v>5</v>
      </c>
    </row>
    <row r="1935" spans="1:7" x14ac:dyDescent="0.2">
      <c r="A1935" t="s">
        <v>1006</v>
      </c>
      <c r="B1935" t="s">
        <v>1007</v>
      </c>
      <c r="C1935" t="s">
        <v>94</v>
      </c>
      <c r="D1935" t="s">
        <v>280</v>
      </c>
      <c r="E1935">
        <v>1</v>
      </c>
      <c r="F1935">
        <v>3.5</v>
      </c>
      <c r="G1935">
        <v>3.5</v>
      </c>
    </row>
    <row r="1936" spans="1:7" x14ac:dyDescent="0.2">
      <c r="A1936" t="s">
        <v>1006</v>
      </c>
      <c r="B1936" t="s">
        <v>1007</v>
      </c>
      <c r="C1936" t="s">
        <v>95</v>
      </c>
      <c r="D1936" t="s">
        <v>281</v>
      </c>
      <c r="E1936">
        <v>1</v>
      </c>
      <c r="F1936">
        <v>2</v>
      </c>
      <c r="G1936">
        <v>2</v>
      </c>
    </row>
    <row r="1937" spans="1:7" x14ac:dyDescent="0.2">
      <c r="A1937" t="s">
        <v>1006</v>
      </c>
      <c r="B1937" t="s">
        <v>1007</v>
      </c>
      <c r="C1937" t="s">
        <v>44</v>
      </c>
      <c r="D1937" t="s">
        <v>324</v>
      </c>
      <c r="E1937">
        <v>0.25</v>
      </c>
      <c r="F1937">
        <v>65</v>
      </c>
      <c r="G1937">
        <v>16.25</v>
      </c>
    </row>
    <row r="1938" spans="1:7" x14ac:dyDescent="0.2">
      <c r="A1938" t="s">
        <v>1006</v>
      </c>
      <c r="B1938" t="s">
        <v>1007</v>
      </c>
      <c r="C1938" t="s">
        <v>53</v>
      </c>
      <c r="D1938" t="s">
        <v>325</v>
      </c>
      <c r="E1938">
        <v>1.5</v>
      </c>
      <c r="F1938">
        <v>120</v>
      </c>
      <c r="G1938">
        <v>180</v>
      </c>
    </row>
    <row r="1939" spans="1:7" x14ac:dyDescent="0.2">
      <c r="A1939" t="s">
        <v>1006</v>
      </c>
      <c r="B1939" t="s">
        <v>1007</v>
      </c>
      <c r="C1939" t="s">
        <v>60</v>
      </c>
      <c r="D1939" t="s">
        <v>337</v>
      </c>
      <c r="E1939">
        <v>0.25</v>
      </c>
      <c r="F1939">
        <v>130</v>
      </c>
      <c r="G1939">
        <v>32.5</v>
      </c>
    </row>
    <row r="1940" spans="1:7" x14ac:dyDescent="0.2">
      <c r="A1940" t="s">
        <v>1006</v>
      </c>
      <c r="B1940" t="s">
        <v>1007</v>
      </c>
      <c r="C1940" t="s">
        <v>61</v>
      </c>
      <c r="D1940" t="s">
        <v>341</v>
      </c>
      <c r="E1940">
        <v>0.25</v>
      </c>
      <c r="F1940">
        <v>190</v>
      </c>
      <c r="G1940">
        <v>47.5</v>
      </c>
    </row>
    <row r="1941" spans="1:7" x14ac:dyDescent="0.2">
      <c r="A1941" t="s">
        <v>1006</v>
      </c>
      <c r="B1941" t="s">
        <v>1007</v>
      </c>
      <c r="C1941" t="s">
        <v>65</v>
      </c>
      <c r="D1941" t="s">
        <v>351</v>
      </c>
      <c r="E1941">
        <v>1.25</v>
      </c>
      <c r="F1941">
        <v>190</v>
      </c>
      <c r="G1941">
        <v>237.5</v>
      </c>
    </row>
    <row r="1942" spans="1:7" x14ac:dyDescent="0.2">
      <c r="A1942" t="s">
        <v>1006</v>
      </c>
      <c r="B1942" t="s">
        <v>1007</v>
      </c>
      <c r="C1942" t="s">
        <v>69</v>
      </c>
      <c r="D1942" t="s">
        <v>288</v>
      </c>
      <c r="E1942">
        <v>0.25</v>
      </c>
      <c r="F1942">
        <v>190</v>
      </c>
      <c r="G1942">
        <v>47.5</v>
      </c>
    </row>
    <row r="1943" spans="1:7" x14ac:dyDescent="0.2">
      <c r="A1943" t="s">
        <v>1006</v>
      </c>
      <c r="B1943" t="s">
        <v>1007</v>
      </c>
      <c r="C1943" t="s">
        <v>93</v>
      </c>
      <c r="D1943" t="s">
        <v>327</v>
      </c>
      <c r="E1943">
        <v>0.25</v>
      </c>
      <c r="F1943">
        <v>70</v>
      </c>
      <c r="G1943">
        <v>17.5</v>
      </c>
    </row>
    <row r="1944" spans="1:7" x14ac:dyDescent="0.2">
      <c r="A1944" t="s">
        <v>1006</v>
      </c>
      <c r="B1944" t="s">
        <v>1007</v>
      </c>
      <c r="C1944" t="s">
        <v>47</v>
      </c>
      <c r="D1944" t="s">
        <v>328</v>
      </c>
      <c r="E1944">
        <v>0.1</v>
      </c>
      <c r="F1944">
        <v>235</v>
      </c>
      <c r="G1944">
        <v>23.5</v>
      </c>
    </row>
    <row r="1945" spans="1:7" x14ac:dyDescent="0.2">
      <c r="A1945" t="s">
        <v>1006</v>
      </c>
      <c r="B1945" t="s">
        <v>1007</v>
      </c>
      <c r="C1945" t="s">
        <v>48</v>
      </c>
      <c r="D1945" t="s">
        <v>359</v>
      </c>
      <c r="E1945">
        <v>7.4999999999999997E-2</v>
      </c>
      <c r="F1945">
        <v>412</v>
      </c>
      <c r="G1945">
        <v>30.9</v>
      </c>
    </row>
    <row r="1946" spans="1:7" x14ac:dyDescent="0.2">
      <c r="A1946" t="s">
        <v>1006</v>
      </c>
      <c r="B1946" t="s">
        <v>1007</v>
      </c>
      <c r="C1946" t="s">
        <v>19</v>
      </c>
      <c r="D1946" t="s">
        <v>329</v>
      </c>
      <c r="E1946">
        <v>1</v>
      </c>
      <c r="F1946">
        <v>2.9</v>
      </c>
      <c r="G1946">
        <v>2.9</v>
      </c>
    </row>
    <row r="1947" spans="1:7" x14ac:dyDescent="0.2">
      <c r="A1947" t="s">
        <v>1006</v>
      </c>
      <c r="B1947" t="s">
        <v>1007</v>
      </c>
      <c r="C1947" t="s">
        <v>20</v>
      </c>
      <c r="D1947" t="s">
        <v>330</v>
      </c>
      <c r="E1947">
        <v>1</v>
      </c>
      <c r="F1947">
        <v>2.9</v>
      </c>
      <c r="G1947">
        <v>2.9</v>
      </c>
    </row>
    <row r="1948" spans="1:7" x14ac:dyDescent="0.2">
      <c r="A1948" t="s">
        <v>1006</v>
      </c>
      <c r="B1948" t="s">
        <v>1007</v>
      </c>
      <c r="C1948" t="s">
        <v>23</v>
      </c>
      <c r="D1948" t="s">
        <v>367</v>
      </c>
      <c r="E1948">
        <v>2</v>
      </c>
      <c r="F1948">
        <v>2.5</v>
      </c>
      <c r="G1948">
        <v>5</v>
      </c>
    </row>
    <row r="1949" spans="1:7" x14ac:dyDescent="0.2">
      <c r="A1949" t="s">
        <v>1006</v>
      </c>
      <c r="B1949" t="s">
        <v>1007</v>
      </c>
      <c r="C1949" t="s">
        <v>29</v>
      </c>
      <c r="D1949" t="s">
        <v>292</v>
      </c>
      <c r="E1949">
        <v>0.8</v>
      </c>
      <c r="F1949">
        <v>27</v>
      </c>
      <c r="G1949">
        <v>21.6</v>
      </c>
    </row>
    <row r="1950" spans="1:7" x14ac:dyDescent="0.2">
      <c r="A1950" t="s">
        <v>1006</v>
      </c>
      <c r="B1950" t="s">
        <v>1007</v>
      </c>
      <c r="C1950" t="s">
        <v>30</v>
      </c>
      <c r="D1950" t="s">
        <v>332</v>
      </c>
      <c r="E1950">
        <v>2</v>
      </c>
      <c r="F1950">
        <v>6</v>
      </c>
      <c r="G1950">
        <v>12</v>
      </c>
    </row>
    <row r="1951" spans="1:7" x14ac:dyDescent="0.2">
      <c r="A1951" t="s">
        <v>1006</v>
      </c>
      <c r="B1951" t="s">
        <v>1007</v>
      </c>
      <c r="C1951" t="s">
        <v>35</v>
      </c>
      <c r="D1951" t="s">
        <v>295</v>
      </c>
      <c r="E1951">
        <v>1</v>
      </c>
      <c r="F1951">
        <v>18</v>
      </c>
      <c r="G1951">
        <v>18</v>
      </c>
    </row>
    <row r="1952" spans="1:7" x14ac:dyDescent="0.2">
      <c r="A1952" t="s">
        <v>1006</v>
      </c>
      <c r="B1952" t="s">
        <v>1007</v>
      </c>
      <c r="C1952" t="s">
        <v>104</v>
      </c>
      <c r="D1952" t="s">
        <v>343</v>
      </c>
      <c r="E1952">
        <v>1.4999999999999999E-2</v>
      </c>
      <c r="F1952">
        <v>890</v>
      </c>
      <c r="G1952">
        <v>13.35</v>
      </c>
    </row>
    <row r="1953" spans="1:7" x14ac:dyDescent="0.2">
      <c r="A1953" t="s">
        <v>1006</v>
      </c>
      <c r="B1953" t="s">
        <v>1007</v>
      </c>
      <c r="C1953" t="s">
        <v>121</v>
      </c>
      <c r="D1953" t="s">
        <v>301</v>
      </c>
      <c r="E1953">
        <v>1</v>
      </c>
      <c r="F1953">
        <v>0.95</v>
      </c>
      <c r="G1953">
        <v>0.95</v>
      </c>
    </row>
    <row r="1954" spans="1:7" x14ac:dyDescent="0.2">
      <c r="A1954" t="s">
        <v>1006</v>
      </c>
      <c r="B1954" t="s">
        <v>1007</v>
      </c>
      <c r="C1954" t="s">
        <v>122</v>
      </c>
      <c r="D1954" t="s">
        <v>302</v>
      </c>
      <c r="E1954">
        <v>1</v>
      </c>
      <c r="F1954">
        <v>4.2</v>
      </c>
      <c r="G1954">
        <v>4.2</v>
      </c>
    </row>
    <row r="1955" spans="1:7" x14ac:dyDescent="0.2">
      <c r="A1955" t="s">
        <v>1006</v>
      </c>
      <c r="B1955" t="s">
        <v>1007</v>
      </c>
      <c r="C1955" t="s">
        <v>4</v>
      </c>
      <c r="D1955" t="s">
        <v>304</v>
      </c>
      <c r="E1955">
        <v>2.6</v>
      </c>
      <c r="F1955">
        <v>10.1</v>
      </c>
      <c r="G1955">
        <v>26.26</v>
      </c>
    </row>
    <row r="1956" spans="1:7" x14ac:dyDescent="0.2">
      <c r="A1956" t="s">
        <v>1006</v>
      </c>
      <c r="B1956" t="s">
        <v>1007</v>
      </c>
      <c r="C1956" t="s">
        <v>5</v>
      </c>
      <c r="D1956" t="s">
        <v>305</v>
      </c>
      <c r="E1956">
        <v>1.7</v>
      </c>
      <c r="F1956">
        <v>11.5</v>
      </c>
      <c r="G1956">
        <v>19.55</v>
      </c>
    </row>
    <row r="1957" spans="1:7" x14ac:dyDescent="0.2">
      <c r="A1957" t="s">
        <v>1006</v>
      </c>
      <c r="B1957" t="s">
        <v>1007</v>
      </c>
      <c r="C1957" t="s">
        <v>6</v>
      </c>
      <c r="D1957" t="s">
        <v>306</v>
      </c>
      <c r="E1957">
        <v>0.8</v>
      </c>
      <c r="F1957">
        <v>16.8</v>
      </c>
      <c r="G1957">
        <v>13.44</v>
      </c>
    </row>
    <row r="1958" spans="1:7" x14ac:dyDescent="0.2">
      <c r="A1958" t="s">
        <v>1006</v>
      </c>
      <c r="B1958" t="s">
        <v>1007</v>
      </c>
      <c r="C1958" t="s">
        <v>105</v>
      </c>
      <c r="D1958" t="s">
        <v>313</v>
      </c>
      <c r="E1958">
        <v>200</v>
      </c>
      <c r="F1958">
        <v>0.1</v>
      </c>
      <c r="G1958">
        <v>20</v>
      </c>
    </row>
    <row r="1959" spans="1:7" x14ac:dyDescent="0.2">
      <c r="A1959" t="s">
        <v>1006</v>
      </c>
      <c r="B1959" t="s">
        <v>1007</v>
      </c>
      <c r="C1959" t="s">
        <v>107</v>
      </c>
      <c r="D1959" t="s">
        <v>316</v>
      </c>
      <c r="E1959">
        <v>50</v>
      </c>
      <c r="F1959">
        <v>0.1</v>
      </c>
      <c r="G1959">
        <v>5</v>
      </c>
    </row>
    <row r="1960" spans="1:7" x14ac:dyDescent="0.2">
      <c r="A1960" t="s">
        <v>1006</v>
      </c>
      <c r="B1960" t="s">
        <v>1007</v>
      </c>
      <c r="C1960" t="s">
        <v>117</v>
      </c>
      <c r="D1960" t="s">
        <v>352</v>
      </c>
      <c r="E1960">
        <v>50</v>
      </c>
      <c r="F1960">
        <v>0.1</v>
      </c>
      <c r="G1960">
        <v>5</v>
      </c>
    </row>
    <row r="1961" spans="1:7" x14ac:dyDescent="0.2">
      <c r="A1961" t="s">
        <v>1008</v>
      </c>
      <c r="B1961" t="s">
        <v>1009</v>
      </c>
      <c r="C1961" t="s">
        <v>94</v>
      </c>
      <c r="D1961" t="s">
        <v>280</v>
      </c>
      <c r="E1961">
        <v>1</v>
      </c>
      <c r="F1961">
        <v>3.5</v>
      </c>
      <c r="G1961">
        <v>3.5</v>
      </c>
    </row>
    <row r="1962" spans="1:7" x14ac:dyDescent="0.2">
      <c r="A1962" t="s">
        <v>1008</v>
      </c>
      <c r="B1962" t="s">
        <v>1009</v>
      </c>
      <c r="C1962" t="s">
        <v>95</v>
      </c>
      <c r="D1962" t="s">
        <v>281</v>
      </c>
      <c r="E1962">
        <v>1</v>
      </c>
      <c r="F1962">
        <v>2</v>
      </c>
      <c r="G1962">
        <v>2</v>
      </c>
    </row>
    <row r="1963" spans="1:7" x14ac:dyDescent="0.2">
      <c r="A1963" t="s">
        <v>1008</v>
      </c>
      <c r="B1963" t="s">
        <v>1009</v>
      </c>
      <c r="C1963" t="s">
        <v>44</v>
      </c>
      <c r="D1963" t="s">
        <v>324</v>
      </c>
      <c r="E1963">
        <v>0.25</v>
      </c>
      <c r="F1963">
        <v>65</v>
      </c>
      <c r="G1963">
        <v>16.25</v>
      </c>
    </row>
    <row r="1964" spans="1:7" x14ac:dyDescent="0.2">
      <c r="A1964" t="s">
        <v>1008</v>
      </c>
      <c r="B1964" t="s">
        <v>1009</v>
      </c>
      <c r="C1964" t="s">
        <v>53</v>
      </c>
      <c r="D1964" t="s">
        <v>325</v>
      </c>
      <c r="E1964">
        <v>1.5</v>
      </c>
      <c r="F1964">
        <v>120</v>
      </c>
      <c r="G1964">
        <v>180</v>
      </c>
    </row>
    <row r="1965" spans="1:7" x14ac:dyDescent="0.2">
      <c r="A1965" t="s">
        <v>1008</v>
      </c>
      <c r="B1965" t="s">
        <v>1009</v>
      </c>
      <c r="C1965" t="s">
        <v>60</v>
      </c>
      <c r="D1965" t="s">
        <v>337</v>
      </c>
      <c r="E1965">
        <v>0.25</v>
      </c>
      <c r="F1965">
        <v>130</v>
      </c>
      <c r="G1965">
        <v>32.5</v>
      </c>
    </row>
    <row r="1966" spans="1:7" x14ac:dyDescent="0.2">
      <c r="A1966" t="s">
        <v>1008</v>
      </c>
      <c r="B1966" t="s">
        <v>1009</v>
      </c>
      <c r="C1966" t="s">
        <v>61</v>
      </c>
      <c r="D1966" t="s">
        <v>341</v>
      </c>
      <c r="E1966">
        <v>0.25</v>
      </c>
      <c r="F1966">
        <v>190</v>
      </c>
      <c r="G1966">
        <v>47.5</v>
      </c>
    </row>
    <row r="1967" spans="1:7" x14ac:dyDescent="0.2">
      <c r="A1967" t="s">
        <v>1008</v>
      </c>
      <c r="B1967" t="s">
        <v>1009</v>
      </c>
      <c r="C1967" t="s">
        <v>522</v>
      </c>
      <c r="D1967" t="s">
        <v>523</v>
      </c>
      <c r="E1967">
        <v>1.25</v>
      </c>
      <c r="F1967">
        <v>190</v>
      </c>
      <c r="G1967">
        <v>237.5</v>
      </c>
    </row>
    <row r="1968" spans="1:7" x14ac:dyDescent="0.2">
      <c r="A1968" t="s">
        <v>1008</v>
      </c>
      <c r="B1968" t="s">
        <v>1009</v>
      </c>
      <c r="C1968" t="s">
        <v>69</v>
      </c>
      <c r="D1968" t="s">
        <v>288</v>
      </c>
      <c r="E1968">
        <v>0.25</v>
      </c>
      <c r="F1968">
        <v>190</v>
      </c>
      <c r="G1968">
        <v>47.5</v>
      </c>
    </row>
    <row r="1969" spans="1:7" x14ac:dyDescent="0.2">
      <c r="A1969" t="s">
        <v>1008</v>
      </c>
      <c r="B1969" t="s">
        <v>1009</v>
      </c>
      <c r="C1969" t="s">
        <v>93</v>
      </c>
      <c r="D1969" t="s">
        <v>327</v>
      </c>
      <c r="E1969">
        <v>0.25</v>
      </c>
      <c r="F1969">
        <v>70</v>
      </c>
      <c r="G1969">
        <v>17.5</v>
      </c>
    </row>
    <row r="1970" spans="1:7" x14ac:dyDescent="0.2">
      <c r="A1970" t="s">
        <v>1008</v>
      </c>
      <c r="B1970" t="s">
        <v>1009</v>
      </c>
      <c r="C1970" t="s">
        <v>47</v>
      </c>
      <c r="D1970" t="s">
        <v>328</v>
      </c>
      <c r="E1970">
        <v>0.1</v>
      </c>
      <c r="F1970">
        <v>235</v>
      </c>
      <c r="G1970">
        <v>23.5</v>
      </c>
    </row>
    <row r="1971" spans="1:7" x14ac:dyDescent="0.2">
      <c r="A1971" t="s">
        <v>1008</v>
      </c>
      <c r="B1971" t="s">
        <v>1009</v>
      </c>
      <c r="C1971" t="s">
        <v>48</v>
      </c>
      <c r="D1971" t="s">
        <v>359</v>
      </c>
      <c r="E1971">
        <v>7.4999999999999997E-2</v>
      </c>
      <c r="F1971">
        <v>412</v>
      </c>
      <c r="G1971">
        <v>30.9</v>
      </c>
    </row>
    <row r="1972" spans="1:7" x14ac:dyDescent="0.2">
      <c r="A1972" t="s">
        <v>1008</v>
      </c>
      <c r="B1972" t="s">
        <v>1009</v>
      </c>
      <c r="C1972" t="s">
        <v>19</v>
      </c>
      <c r="D1972" t="s">
        <v>329</v>
      </c>
      <c r="E1972">
        <v>1</v>
      </c>
      <c r="F1972">
        <v>2.9</v>
      </c>
      <c r="G1972">
        <v>2.9</v>
      </c>
    </row>
    <row r="1973" spans="1:7" x14ac:dyDescent="0.2">
      <c r="A1973" t="s">
        <v>1008</v>
      </c>
      <c r="B1973" t="s">
        <v>1009</v>
      </c>
      <c r="C1973" t="s">
        <v>20</v>
      </c>
      <c r="D1973" t="s">
        <v>330</v>
      </c>
      <c r="E1973">
        <v>1</v>
      </c>
      <c r="F1973">
        <v>2.9</v>
      </c>
      <c r="G1973">
        <v>2.9</v>
      </c>
    </row>
    <row r="1974" spans="1:7" x14ac:dyDescent="0.2">
      <c r="A1974" t="s">
        <v>1008</v>
      </c>
      <c r="B1974" t="s">
        <v>1009</v>
      </c>
      <c r="C1974" t="s">
        <v>24</v>
      </c>
      <c r="D1974" t="s">
        <v>360</v>
      </c>
      <c r="E1974">
        <v>2</v>
      </c>
      <c r="F1974">
        <v>2.2000000000000002</v>
      </c>
      <c r="G1974">
        <v>4.4000000000000004</v>
      </c>
    </row>
    <row r="1975" spans="1:7" x14ac:dyDescent="0.2">
      <c r="A1975" t="s">
        <v>1008</v>
      </c>
      <c r="B1975" t="s">
        <v>1009</v>
      </c>
      <c r="C1975" t="s">
        <v>29</v>
      </c>
      <c r="D1975" t="s">
        <v>292</v>
      </c>
      <c r="E1975">
        <v>0.8</v>
      </c>
      <c r="F1975">
        <v>27</v>
      </c>
      <c r="G1975">
        <v>21.6</v>
      </c>
    </row>
    <row r="1976" spans="1:7" x14ac:dyDescent="0.2">
      <c r="A1976" t="s">
        <v>1008</v>
      </c>
      <c r="B1976" t="s">
        <v>1009</v>
      </c>
      <c r="C1976" t="s">
        <v>30</v>
      </c>
      <c r="D1976" t="s">
        <v>332</v>
      </c>
      <c r="E1976">
        <v>2</v>
      </c>
      <c r="F1976">
        <v>6</v>
      </c>
      <c r="G1976">
        <v>12</v>
      </c>
    </row>
    <row r="1977" spans="1:7" x14ac:dyDescent="0.2">
      <c r="A1977" t="s">
        <v>1008</v>
      </c>
      <c r="B1977" t="s">
        <v>1009</v>
      </c>
      <c r="C1977" t="s">
        <v>35</v>
      </c>
      <c r="D1977" t="s">
        <v>295</v>
      </c>
      <c r="E1977">
        <v>1</v>
      </c>
      <c r="F1977">
        <v>18</v>
      </c>
      <c r="G1977">
        <v>18</v>
      </c>
    </row>
    <row r="1978" spans="1:7" x14ac:dyDescent="0.2">
      <c r="A1978" t="s">
        <v>1008</v>
      </c>
      <c r="B1978" t="s">
        <v>1009</v>
      </c>
      <c r="C1978" t="s">
        <v>104</v>
      </c>
      <c r="D1978" t="s">
        <v>343</v>
      </c>
      <c r="E1978">
        <v>1.4999999999999999E-2</v>
      </c>
      <c r="F1978">
        <v>890</v>
      </c>
      <c r="G1978">
        <v>13.35</v>
      </c>
    </row>
    <row r="1979" spans="1:7" x14ac:dyDescent="0.2">
      <c r="A1979" t="s">
        <v>1008</v>
      </c>
      <c r="B1979" t="s">
        <v>1009</v>
      </c>
      <c r="C1979" t="s">
        <v>121</v>
      </c>
      <c r="D1979" t="s">
        <v>301</v>
      </c>
      <c r="E1979">
        <v>1</v>
      </c>
      <c r="F1979">
        <v>0.95</v>
      </c>
      <c r="G1979">
        <v>0.95</v>
      </c>
    </row>
    <row r="1980" spans="1:7" x14ac:dyDescent="0.2">
      <c r="A1980" t="s">
        <v>1008</v>
      </c>
      <c r="B1980" t="s">
        <v>1009</v>
      </c>
      <c r="C1980" t="s">
        <v>122</v>
      </c>
      <c r="D1980" t="s">
        <v>302</v>
      </c>
      <c r="E1980">
        <v>1</v>
      </c>
      <c r="F1980">
        <v>4.2</v>
      </c>
      <c r="G1980">
        <v>4.2</v>
      </c>
    </row>
    <row r="1981" spans="1:7" x14ac:dyDescent="0.2">
      <c r="A1981" t="s">
        <v>1008</v>
      </c>
      <c r="B1981" t="s">
        <v>1009</v>
      </c>
      <c r="C1981" t="s">
        <v>4</v>
      </c>
      <c r="D1981" t="s">
        <v>304</v>
      </c>
      <c r="E1981">
        <v>2.6</v>
      </c>
      <c r="F1981">
        <v>10.1</v>
      </c>
      <c r="G1981">
        <v>26.26</v>
      </c>
    </row>
    <row r="1982" spans="1:7" x14ac:dyDescent="0.2">
      <c r="A1982" t="s">
        <v>1008</v>
      </c>
      <c r="B1982" t="s">
        <v>1009</v>
      </c>
      <c r="C1982" t="s">
        <v>5</v>
      </c>
      <c r="D1982" t="s">
        <v>305</v>
      </c>
      <c r="E1982">
        <v>1.7</v>
      </c>
      <c r="F1982">
        <v>11.5</v>
      </c>
      <c r="G1982">
        <v>19.55</v>
      </c>
    </row>
    <row r="1983" spans="1:7" x14ac:dyDescent="0.2">
      <c r="A1983" t="s">
        <v>1008</v>
      </c>
      <c r="B1983" t="s">
        <v>1009</v>
      </c>
      <c r="C1983" t="s">
        <v>6</v>
      </c>
      <c r="D1983" t="s">
        <v>306</v>
      </c>
      <c r="E1983">
        <v>0.8</v>
      </c>
      <c r="F1983">
        <v>16.8</v>
      </c>
      <c r="G1983">
        <v>13.44</v>
      </c>
    </row>
    <row r="1984" spans="1:7" x14ac:dyDescent="0.2">
      <c r="A1984" t="s">
        <v>1008</v>
      </c>
      <c r="B1984" t="s">
        <v>1009</v>
      </c>
      <c r="C1984" t="s">
        <v>13</v>
      </c>
      <c r="D1984" t="s">
        <v>309</v>
      </c>
      <c r="E1984">
        <v>0.45</v>
      </c>
      <c r="F1984">
        <v>7</v>
      </c>
      <c r="G1984">
        <v>3.15</v>
      </c>
    </row>
    <row r="1985" spans="1:7" x14ac:dyDescent="0.2">
      <c r="A1985" t="s">
        <v>1008</v>
      </c>
      <c r="B1985" t="s">
        <v>1009</v>
      </c>
      <c r="C1985" t="s">
        <v>105</v>
      </c>
      <c r="D1985" t="s">
        <v>313</v>
      </c>
      <c r="E1985">
        <v>200</v>
      </c>
      <c r="F1985">
        <v>0.1</v>
      </c>
      <c r="G1985">
        <v>20</v>
      </c>
    </row>
    <row r="1986" spans="1:7" x14ac:dyDescent="0.2">
      <c r="A1986" t="s">
        <v>1008</v>
      </c>
      <c r="B1986" t="s">
        <v>1009</v>
      </c>
      <c r="C1986" t="s">
        <v>107</v>
      </c>
      <c r="D1986" t="s">
        <v>316</v>
      </c>
      <c r="E1986">
        <v>50</v>
      </c>
      <c r="F1986">
        <v>0.1</v>
      </c>
      <c r="G1986">
        <v>5</v>
      </c>
    </row>
    <row r="1987" spans="1:7" x14ac:dyDescent="0.2">
      <c r="A1987" t="s">
        <v>1008</v>
      </c>
      <c r="B1987" t="s">
        <v>1009</v>
      </c>
      <c r="C1987" t="s">
        <v>120</v>
      </c>
      <c r="D1987" t="s">
        <v>340</v>
      </c>
      <c r="E1987">
        <v>50</v>
      </c>
      <c r="F1987">
        <v>0.1</v>
      </c>
      <c r="G1987">
        <v>5</v>
      </c>
    </row>
    <row r="1988" spans="1:7" x14ac:dyDescent="0.2">
      <c r="A1988" t="s">
        <v>1010</v>
      </c>
      <c r="B1988" t="s">
        <v>1011</v>
      </c>
      <c r="C1988" t="s">
        <v>94</v>
      </c>
      <c r="D1988" t="s">
        <v>280</v>
      </c>
      <c r="E1988">
        <v>1</v>
      </c>
      <c r="F1988">
        <v>3.5</v>
      </c>
      <c r="G1988">
        <v>3.5</v>
      </c>
    </row>
    <row r="1989" spans="1:7" x14ac:dyDescent="0.2">
      <c r="A1989" t="s">
        <v>1010</v>
      </c>
      <c r="B1989" t="s">
        <v>1011</v>
      </c>
      <c r="C1989" t="s">
        <v>95</v>
      </c>
      <c r="D1989" t="s">
        <v>281</v>
      </c>
      <c r="E1989">
        <v>1</v>
      </c>
      <c r="F1989">
        <v>2</v>
      </c>
      <c r="G1989">
        <v>2</v>
      </c>
    </row>
    <row r="1990" spans="1:7" x14ac:dyDescent="0.2">
      <c r="A1990" t="s">
        <v>1010</v>
      </c>
      <c r="B1990" t="s">
        <v>1011</v>
      </c>
      <c r="C1990" t="s">
        <v>44</v>
      </c>
      <c r="D1990" t="s">
        <v>324</v>
      </c>
      <c r="E1990">
        <v>0.25</v>
      </c>
      <c r="F1990">
        <v>65</v>
      </c>
      <c r="G1990">
        <v>16.25</v>
      </c>
    </row>
    <row r="1991" spans="1:7" x14ac:dyDescent="0.2">
      <c r="A1991" t="s">
        <v>1010</v>
      </c>
      <c r="B1991" t="s">
        <v>1011</v>
      </c>
      <c r="C1991" t="s">
        <v>53</v>
      </c>
      <c r="D1991" t="s">
        <v>325</v>
      </c>
      <c r="E1991">
        <v>1.5</v>
      </c>
      <c r="F1991">
        <v>120</v>
      </c>
      <c r="G1991">
        <v>180</v>
      </c>
    </row>
    <row r="1992" spans="1:7" x14ac:dyDescent="0.2">
      <c r="A1992" t="s">
        <v>1010</v>
      </c>
      <c r="B1992" t="s">
        <v>1011</v>
      </c>
      <c r="C1992" t="s">
        <v>60</v>
      </c>
      <c r="D1992" t="s">
        <v>337</v>
      </c>
      <c r="E1992">
        <v>0.25</v>
      </c>
      <c r="F1992">
        <v>130</v>
      </c>
      <c r="G1992">
        <v>32.5</v>
      </c>
    </row>
    <row r="1993" spans="1:7" x14ac:dyDescent="0.2">
      <c r="A1993" t="s">
        <v>1010</v>
      </c>
      <c r="B1993" t="s">
        <v>1011</v>
      </c>
      <c r="C1993" t="s">
        <v>61</v>
      </c>
      <c r="D1993" t="s">
        <v>341</v>
      </c>
      <c r="E1993">
        <v>0.25</v>
      </c>
      <c r="F1993">
        <v>190</v>
      </c>
      <c r="G1993">
        <v>47.5</v>
      </c>
    </row>
    <row r="1994" spans="1:7" x14ac:dyDescent="0.2">
      <c r="A1994" t="s">
        <v>1010</v>
      </c>
      <c r="B1994" t="s">
        <v>1011</v>
      </c>
      <c r="C1994" t="s">
        <v>506</v>
      </c>
      <c r="D1994" t="s">
        <v>507</v>
      </c>
      <c r="E1994">
        <v>1.25</v>
      </c>
      <c r="F1994">
        <v>190</v>
      </c>
      <c r="G1994">
        <v>237.5</v>
      </c>
    </row>
    <row r="1995" spans="1:7" x14ac:dyDescent="0.2">
      <c r="A1995" t="s">
        <v>1010</v>
      </c>
      <c r="B1995" t="s">
        <v>1011</v>
      </c>
      <c r="C1995" t="s">
        <v>69</v>
      </c>
      <c r="D1995" t="s">
        <v>288</v>
      </c>
      <c r="E1995">
        <v>0.25</v>
      </c>
      <c r="F1995">
        <v>190</v>
      </c>
      <c r="G1995">
        <v>47.5</v>
      </c>
    </row>
    <row r="1996" spans="1:7" x14ac:dyDescent="0.2">
      <c r="A1996" t="s">
        <v>1010</v>
      </c>
      <c r="B1996" t="s">
        <v>1011</v>
      </c>
      <c r="C1996" t="s">
        <v>93</v>
      </c>
      <c r="D1996" t="s">
        <v>327</v>
      </c>
      <c r="E1996">
        <v>0.25</v>
      </c>
      <c r="F1996">
        <v>70</v>
      </c>
      <c r="G1996">
        <v>17.5</v>
      </c>
    </row>
    <row r="1997" spans="1:7" x14ac:dyDescent="0.2">
      <c r="A1997" t="s">
        <v>1010</v>
      </c>
      <c r="B1997" t="s">
        <v>1011</v>
      </c>
      <c r="C1997" t="s">
        <v>47</v>
      </c>
      <c r="D1997" t="s">
        <v>328</v>
      </c>
      <c r="E1997">
        <v>0.1</v>
      </c>
      <c r="F1997">
        <v>235</v>
      </c>
      <c r="G1997">
        <v>23.5</v>
      </c>
    </row>
    <row r="1998" spans="1:7" x14ac:dyDescent="0.2">
      <c r="A1998" t="s">
        <v>1010</v>
      </c>
      <c r="B1998" t="s">
        <v>1011</v>
      </c>
      <c r="C1998" t="s">
        <v>48</v>
      </c>
      <c r="D1998" t="s">
        <v>359</v>
      </c>
      <c r="E1998">
        <v>7.4999999999999997E-2</v>
      </c>
      <c r="F1998">
        <v>412</v>
      </c>
      <c r="G1998">
        <v>30.9</v>
      </c>
    </row>
    <row r="1999" spans="1:7" x14ac:dyDescent="0.2">
      <c r="A1999" t="s">
        <v>1010</v>
      </c>
      <c r="B1999" t="s">
        <v>1011</v>
      </c>
      <c r="C1999" t="s">
        <v>19</v>
      </c>
      <c r="D1999" t="s">
        <v>329</v>
      </c>
      <c r="E1999">
        <v>1</v>
      </c>
      <c r="F1999">
        <v>2.9</v>
      </c>
      <c r="G1999">
        <v>2.9</v>
      </c>
    </row>
    <row r="2000" spans="1:7" x14ac:dyDescent="0.2">
      <c r="A2000" t="s">
        <v>1010</v>
      </c>
      <c r="B2000" t="s">
        <v>1011</v>
      </c>
      <c r="C2000" t="s">
        <v>20</v>
      </c>
      <c r="D2000" t="s">
        <v>330</v>
      </c>
      <c r="E2000">
        <v>1</v>
      </c>
      <c r="F2000">
        <v>2.9</v>
      </c>
      <c r="G2000">
        <v>2.9</v>
      </c>
    </row>
    <row r="2001" spans="1:7" x14ac:dyDescent="0.2">
      <c r="A2001" t="s">
        <v>1010</v>
      </c>
      <c r="B2001" t="s">
        <v>1011</v>
      </c>
      <c r="C2001" t="s">
        <v>24</v>
      </c>
      <c r="D2001" t="s">
        <v>360</v>
      </c>
      <c r="E2001">
        <v>2</v>
      </c>
      <c r="F2001">
        <v>2.2000000000000002</v>
      </c>
      <c r="G2001">
        <v>4.4000000000000004</v>
      </c>
    </row>
    <row r="2002" spans="1:7" x14ac:dyDescent="0.2">
      <c r="A2002" t="s">
        <v>1010</v>
      </c>
      <c r="B2002" t="s">
        <v>1011</v>
      </c>
      <c r="C2002" t="s">
        <v>29</v>
      </c>
      <c r="D2002" t="s">
        <v>292</v>
      </c>
      <c r="E2002">
        <v>0.8</v>
      </c>
      <c r="F2002">
        <v>27</v>
      </c>
      <c r="G2002">
        <v>21.6</v>
      </c>
    </row>
    <row r="2003" spans="1:7" x14ac:dyDescent="0.2">
      <c r="A2003" t="s">
        <v>1010</v>
      </c>
      <c r="B2003" t="s">
        <v>1011</v>
      </c>
      <c r="C2003" t="s">
        <v>30</v>
      </c>
      <c r="D2003" t="s">
        <v>332</v>
      </c>
      <c r="E2003">
        <v>2</v>
      </c>
      <c r="F2003">
        <v>6</v>
      </c>
      <c r="G2003">
        <v>12</v>
      </c>
    </row>
    <row r="2004" spans="1:7" x14ac:dyDescent="0.2">
      <c r="A2004" t="s">
        <v>1010</v>
      </c>
      <c r="B2004" t="s">
        <v>1011</v>
      </c>
      <c r="C2004" t="s">
        <v>35</v>
      </c>
      <c r="D2004" t="s">
        <v>295</v>
      </c>
      <c r="E2004">
        <v>1</v>
      </c>
      <c r="F2004">
        <v>18</v>
      </c>
      <c r="G2004">
        <v>18</v>
      </c>
    </row>
    <row r="2005" spans="1:7" x14ac:dyDescent="0.2">
      <c r="A2005" t="s">
        <v>1010</v>
      </c>
      <c r="B2005" t="s">
        <v>1011</v>
      </c>
      <c r="C2005" t="s">
        <v>104</v>
      </c>
      <c r="D2005" t="s">
        <v>343</v>
      </c>
      <c r="E2005">
        <v>1.4999999999999999E-2</v>
      </c>
      <c r="F2005">
        <v>890</v>
      </c>
      <c r="G2005">
        <v>13.35</v>
      </c>
    </row>
    <row r="2006" spans="1:7" x14ac:dyDescent="0.2">
      <c r="A2006" t="s">
        <v>1010</v>
      </c>
      <c r="B2006" t="s">
        <v>1011</v>
      </c>
      <c r="C2006" t="s">
        <v>121</v>
      </c>
      <c r="D2006" t="s">
        <v>301</v>
      </c>
      <c r="E2006">
        <v>1</v>
      </c>
      <c r="F2006">
        <v>0.95</v>
      </c>
      <c r="G2006">
        <v>0.95</v>
      </c>
    </row>
    <row r="2007" spans="1:7" x14ac:dyDescent="0.2">
      <c r="A2007" t="s">
        <v>1010</v>
      </c>
      <c r="B2007" t="s">
        <v>1011</v>
      </c>
      <c r="C2007" t="s">
        <v>122</v>
      </c>
      <c r="D2007" t="s">
        <v>302</v>
      </c>
      <c r="E2007">
        <v>1</v>
      </c>
      <c r="F2007">
        <v>4.2</v>
      </c>
      <c r="G2007">
        <v>4.2</v>
      </c>
    </row>
    <row r="2008" spans="1:7" x14ac:dyDescent="0.2">
      <c r="A2008" t="s">
        <v>1010</v>
      </c>
      <c r="B2008" t="s">
        <v>1011</v>
      </c>
      <c r="C2008" t="s">
        <v>4</v>
      </c>
      <c r="D2008" t="s">
        <v>304</v>
      </c>
      <c r="E2008">
        <v>2.6</v>
      </c>
      <c r="F2008">
        <v>10.1</v>
      </c>
      <c r="G2008">
        <v>26.26</v>
      </c>
    </row>
    <row r="2009" spans="1:7" x14ac:dyDescent="0.2">
      <c r="A2009" t="s">
        <v>1010</v>
      </c>
      <c r="B2009" t="s">
        <v>1011</v>
      </c>
      <c r="C2009" t="s">
        <v>5</v>
      </c>
      <c r="D2009" t="s">
        <v>305</v>
      </c>
      <c r="E2009">
        <v>1.7</v>
      </c>
      <c r="F2009">
        <v>11.5</v>
      </c>
      <c r="G2009">
        <v>19.55</v>
      </c>
    </row>
    <row r="2010" spans="1:7" x14ac:dyDescent="0.2">
      <c r="A2010" t="s">
        <v>1010</v>
      </c>
      <c r="B2010" t="s">
        <v>1011</v>
      </c>
      <c r="C2010" t="s">
        <v>6</v>
      </c>
      <c r="D2010" t="s">
        <v>306</v>
      </c>
      <c r="E2010">
        <v>0.8</v>
      </c>
      <c r="F2010">
        <v>16.8</v>
      </c>
      <c r="G2010">
        <v>13.44</v>
      </c>
    </row>
    <row r="2011" spans="1:7" x14ac:dyDescent="0.2">
      <c r="A2011" t="s">
        <v>1010</v>
      </c>
      <c r="B2011" t="s">
        <v>1011</v>
      </c>
      <c r="C2011" t="s">
        <v>105</v>
      </c>
      <c r="D2011" t="s">
        <v>313</v>
      </c>
      <c r="E2011">
        <v>200</v>
      </c>
      <c r="F2011">
        <v>0.1</v>
      </c>
      <c r="G2011">
        <v>20</v>
      </c>
    </row>
    <row r="2012" spans="1:7" x14ac:dyDescent="0.2">
      <c r="A2012" t="s">
        <v>1010</v>
      </c>
      <c r="B2012" t="s">
        <v>1011</v>
      </c>
      <c r="C2012" t="s">
        <v>106</v>
      </c>
      <c r="D2012" t="s">
        <v>364</v>
      </c>
      <c r="E2012">
        <v>50</v>
      </c>
      <c r="F2012">
        <v>0.1</v>
      </c>
      <c r="G2012">
        <v>5</v>
      </c>
    </row>
    <row r="2013" spans="1:7" x14ac:dyDescent="0.2">
      <c r="A2013" t="s">
        <v>1010</v>
      </c>
      <c r="B2013" t="s">
        <v>1011</v>
      </c>
      <c r="C2013" t="s">
        <v>107</v>
      </c>
      <c r="D2013" t="s">
        <v>316</v>
      </c>
      <c r="E2013">
        <v>50</v>
      </c>
      <c r="F2013">
        <v>0.1</v>
      </c>
      <c r="G2013">
        <v>5</v>
      </c>
    </row>
    <row r="2014" spans="1:7" x14ac:dyDescent="0.2">
      <c r="A2014" t="s">
        <v>1023</v>
      </c>
      <c r="B2014" t="s">
        <v>1024</v>
      </c>
      <c r="C2014" t="s">
        <v>94</v>
      </c>
      <c r="D2014" t="s">
        <v>280</v>
      </c>
      <c r="E2014">
        <v>0</v>
      </c>
      <c r="F2014">
        <v>3.5</v>
      </c>
      <c r="G2014">
        <v>0</v>
      </c>
    </row>
    <row r="2015" spans="1:7" x14ac:dyDescent="0.2">
      <c r="A2015" t="s">
        <v>1023</v>
      </c>
      <c r="B2015" t="s">
        <v>1024</v>
      </c>
      <c r="C2015" t="s">
        <v>54</v>
      </c>
      <c r="D2015" t="s">
        <v>358</v>
      </c>
      <c r="E2015">
        <v>0</v>
      </c>
      <c r="F2015">
        <v>120</v>
      </c>
      <c r="G2015">
        <v>0</v>
      </c>
    </row>
    <row r="2016" spans="1:7" x14ac:dyDescent="0.2">
      <c r="A2016" t="s">
        <v>1023</v>
      </c>
      <c r="B2016" t="s">
        <v>1024</v>
      </c>
      <c r="C2016" t="s">
        <v>486</v>
      </c>
      <c r="D2016" t="s">
        <v>487</v>
      </c>
      <c r="E2016">
        <v>0</v>
      </c>
      <c r="F2016">
        <v>90</v>
      </c>
      <c r="G2016">
        <v>0</v>
      </c>
    </row>
    <row r="2017" spans="1:7" x14ac:dyDescent="0.2">
      <c r="A2017" t="s">
        <v>1023</v>
      </c>
      <c r="B2017" t="s">
        <v>1024</v>
      </c>
      <c r="C2017" t="s">
        <v>69</v>
      </c>
      <c r="D2017" t="s">
        <v>288</v>
      </c>
      <c r="E2017">
        <v>0</v>
      </c>
      <c r="F2017">
        <v>190</v>
      </c>
      <c r="G2017">
        <v>0</v>
      </c>
    </row>
    <row r="2018" spans="1:7" x14ac:dyDescent="0.2">
      <c r="A2018" t="s">
        <v>1023</v>
      </c>
      <c r="B2018" t="s">
        <v>1024</v>
      </c>
      <c r="C2018" t="s">
        <v>27</v>
      </c>
      <c r="D2018" t="s">
        <v>396</v>
      </c>
      <c r="E2018">
        <v>0</v>
      </c>
      <c r="F2018">
        <v>1.5</v>
      </c>
      <c r="G2018">
        <v>0</v>
      </c>
    </row>
    <row r="2019" spans="1:7" x14ac:dyDescent="0.2">
      <c r="A2019" t="s">
        <v>1023</v>
      </c>
      <c r="B2019" t="s">
        <v>1024</v>
      </c>
      <c r="C2019" t="s">
        <v>29</v>
      </c>
      <c r="D2019" t="s">
        <v>292</v>
      </c>
      <c r="E2019">
        <v>0</v>
      </c>
      <c r="F2019">
        <v>27</v>
      </c>
      <c r="G2019">
        <v>0</v>
      </c>
    </row>
    <row r="2020" spans="1:7" x14ac:dyDescent="0.2">
      <c r="A2020" t="s">
        <v>1023</v>
      </c>
      <c r="B2020" t="s">
        <v>1024</v>
      </c>
      <c r="C2020" t="s">
        <v>31</v>
      </c>
      <c r="D2020" t="s">
        <v>293</v>
      </c>
      <c r="E2020">
        <v>0</v>
      </c>
      <c r="F2020">
        <v>5</v>
      </c>
      <c r="G2020">
        <v>0</v>
      </c>
    </row>
    <row r="2021" spans="1:7" x14ac:dyDescent="0.2">
      <c r="A2021" t="s">
        <v>1023</v>
      </c>
      <c r="B2021" t="s">
        <v>1024</v>
      </c>
      <c r="C2021" t="s">
        <v>642</v>
      </c>
      <c r="D2021" t="s">
        <v>643</v>
      </c>
      <c r="E2021">
        <v>0</v>
      </c>
      <c r="F2021">
        <v>25</v>
      </c>
      <c r="G2021">
        <v>0</v>
      </c>
    </row>
    <row r="2022" spans="1:7" x14ac:dyDescent="0.2">
      <c r="A2022" t="s">
        <v>1023</v>
      </c>
      <c r="B2022" t="s">
        <v>1024</v>
      </c>
      <c r="C2022" t="s">
        <v>644</v>
      </c>
      <c r="D2022" t="s">
        <v>645</v>
      </c>
      <c r="E2022">
        <v>0</v>
      </c>
      <c r="F2022">
        <v>25</v>
      </c>
      <c r="G2022">
        <v>0</v>
      </c>
    </row>
    <row r="2023" spans="1:7" x14ac:dyDescent="0.2">
      <c r="A2023" t="s">
        <v>1023</v>
      </c>
      <c r="B2023" t="s">
        <v>1024</v>
      </c>
      <c r="C2023" t="s">
        <v>121</v>
      </c>
      <c r="D2023" t="s">
        <v>301</v>
      </c>
      <c r="E2023">
        <v>1</v>
      </c>
      <c r="F2023">
        <v>0.95</v>
      </c>
      <c r="G2023">
        <v>0.95</v>
      </c>
    </row>
    <row r="2024" spans="1:7" x14ac:dyDescent="0.2">
      <c r="A2024" t="s">
        <v>1023</v>
      </c>
      <c r="B2024" t="s">
        <v>1024</v>
      </c>
      <c r="C2024" t="s">
        <v>122</v>
      </c>
      <c r="D2024" t="s">
        <v>302</v>
      </c>
      <c r="E2024">
        <v>1</v>
      </c>
      <c r="F2024">
        <v>4.2</v>
      </c>
      <c r="G2024">
        <v>4.2</v>
      </c>
    </row>
    <row r="2025" spans="1:7" x14ac:dyDescent="0.2">
      <c r="A2025" t="s">
        <v>1023</v>
      </c>
      <c r="B2025" t="s">
        <v>1024</v>
      </c>
      <c r="C2025" t="s">
        <v>2</v>
      </c>
      <c r="D2025" t="s">
        <v>303</v>
      </c>
      <c r="E2025">
        <v>0</v>
      </c>
      <c r="F2025">
        <v>5.0999999999999996</v>
      </c>
      <c r="G2025">
        <v>0</v>
      </c>
    </row>
    <row r="2026" spans="1:7" x14ac:dyDescent="0.2">
      <c r="A2026" t="s">
        <v>1023</v>
      </c>
      <c r="B2026" t="s">
        <v>1024</v>
      </c>
      <c r="C2026" t="s">
        <v>5</v>
      </c>
      <c r="D2026" t="s">
        <v>305</v>
      </c>
      <c r="E2026">
        <v>0</v>
      </c>
      <c r="F2026">
        <v>11.5</v>
      </c>
      <c r="G2026">
        <v>0</v>
      </c>
    </row>
    <row r="2027" spans="1:7" x14ac:dyDescent="0.2">
      <c r="A2027" t="s">
        <v>1023</v>
      </c>
      <c r="B2027" t="s">
        <v>1024</v>
      </c>
      <c r="C2027" t="s">
        <v>7</v>
      </c>
      <c r="D2027" t="s">
        <v>307</v>
      </c>
      <c r="E2027">
        <v>0</v>
      </c>
      <c r="F2027">
        <v>6.7</v>
      </c>
      <c r="G2027">
        <v>0</v>
      </c>
    </row>
    <row r="2028" spans="1:7" x14ac:dyDescent="0.2">
      <c r="A2028" t="s">
        <v>1023</v>
      </c>
      <c r="B2028" t="s">
        <v>1024</v>
      </c>
      <c r="C2028" t="s">
        <v>804</v>
      </c>
      <c r="D2028" t="s">
        <v>805</v>
      </c>
      <c r="E2028">
        <v>0</v>
      </c>
      <c r="F2028">
        <v>7</v>
      </c>
      <c r="G2028">
        <v>0</v>
      </c>
    </row>
    <row r="2029" spans="1:7" x14ac:dyDescent="0.2">
      <c r="A2029" t="s">
        <v>1023</v>
      </c>
      <c r="B2029" t="s">
        <v>1024</v>
      </c>
      <c r="C2029" t="s">
        <v>13</v>
      </c>
      <c r="D2029" t="s">
        <v>309</v>
      </c>
      <c r="E2029">
        <v>0</v>
      </c>
      <c r="F2029">
        <v>7</v>
      </c>
      <c r="G2029">
        <v>0</v>
      </c>
    </row>
    <row r="2030" spans="1:7" x14ac:dyDescent="0.2">
      <c r="A2030" t="s">
        <v>1023</v>
      </c>
      <c r="B2030" t="s">
        <v>1024</v>
      </c>
      <c r="C2030" t="s">
        <v>105</v>
      </c>
      <c r="D2030" t="s">
        <v>313</v>
      </c>
      <c r="E2030">
        <v>0</v>
      </c>
      <c r="F2030">
        <v>0.1</v>
      </c>
      <c r="G2030">
        <v>0</v>
      </c>
    </row>
    <row r="2031" spans="1:7" x14ac:dyDescent="0.2">
      <c r="A2031" t="s">
        <v>1023</v>
      </c>
      <c r="B2031" t="s">
        <v>1024</v>
      </c>
      <c r="C2031" t="s">
        <v>109</v>
      </c>
      <c r="D2031" t="s">
        <v>378</v>
      </c>
      <c r="E2031">
        <v>0</v>
      </c>
      <c r="F2031">
        <v>0.1</v>
      </c>
      <c r="G2031">
        <v>0</v>
      </c>
    </row>
    <row r="2032" spans="1:7" x14ac:dyDescent="0.2">
      <c r="A2032" t="s">
        <v>162</v>
      </c>
      <c r="B2032" t="s">
        <v>1025</v>
      </c>
      <c r="C2032" t="s">
        <v>94</v>
      </c>
      <c r="D2032" t="s">
        <v>280</v>
      </c>
      <c r="E2032">
        <v>1</v>
      </c>
      <c r="F2032">
        <v>3.5</v>
      </c>
      <c r="G2032">
        <v>3.5</v>
      </c>
    </row>
    <row r="2033" spans="1:7" x14ac:dyDescent="0.2">
      <c r="A2033" t="s">
        <v>162</v>
      </c>
      <c r="B2033" t="s">
        <v>1025</v>
      </c>
      <c r="C2033" t="s">
        <v>95</v>
      </c>
      <c r="D2033" t="s">
        <v>281</v>
      </c>
      <c r="E2033">
        <v>1</v>
      </c>
      <c r="F2033">
        <v>2</v>
      </c>
      <c r="G2033">
        <v>2</v>
      </c>
    </row>
    <row r="2034" spans="1:7" x14ac:dyDescent="0.2">
      <c r="A2034" t="s">
        <v>162</v>
      </c>
      <c r="B2034" t="s">
        <v>1025</v>
      </c>
      <c r="C2034" t="s">
        <v>44</v>
      </c>
      <c r="D2034" t="s">
        <v>324</v>
      </c>
      <c r="E2034">
        <v>0.3</v>
      </c>
      <c r="F2034">
        <v>65</v>
      </c>
      <c r="G2034">
        <v>19.5</v>
      </c>
    </row>
    <row r="2035" spans="1:7" x14ac:dyDescent="0.2">
      <c r="A2035" t="s">
        <v>162</v>
      </c>
      <c r="B2035" t="s">
        <v>1025</v>
      </c>
      <c r="C2035" t="s">
        <v>55</v>
      </c>
      <c r="D2035" t="s">
        <v>371</v>
      </c>
      <c r="E2035">
        <v>0.9</v>
      </c>
      <c r="F2035">
        <v>120</v>
      </c>
      <c r="G2035">
        <v>108</v>
      </c>
    </row>
    <row r="2036" spans="1:7" x14ac:dyDescent="0.2">
      <c r="A2036" t="s">
        <v>162</v>
      </c>
      <c r="B2036" t="s">
        <v>1025</v>
      </c>
      <c r="C2036" t="s">
        <v>70</v>
      </c>
      <c r="D2036" t="s">
        <v>342</v>
      </c>
      <c r="E2036">
        <v>0.19</v>
      </c>
      <c r="F2036">
        <v>145</v>
      </c>
      <c r="G2036">
        <v>27.55</v>
      </c>
    </row>
    <row r="2037" spans="1:7" x14ac:dyDescent="0.2">
      <c r="A2037" t="s">
        <v>162</v>
      </c>
      <c r="B2037" t="s">
        <v>1025</v>
      </c>
      <c r="C2037" t="s">
        <v>84</v>
      </c>
      <c r="D2037" t="s">
        <v>346</v>
      </c>
      <c r="E2037">
        <v>0.75</v>
      </c>
      <c r="F2037">
        <v>190</v>
      </c>
      <c r="G2037">
        <v>142.5</v>
      </c>
    </row>
    <row r="2038" spans="1:7" x14ac:dyDescent="0.2">
      <c r="A2038" t="s">
        <v>162</v>
      </c>
      <c r="B2038" t="s">
        <v>1025</v>
      </c>
      <c r="C2038" t="s">
        <v>93</v>
      </c>
      <c r="D2038" t="s">
        <v>327</v>
      </c>
      <c r="E2038">
        <v>0.125</v>
      </c>
      <c r="F2038">
        <v>70</v>
      </c>
      <c r="G2038">
        <v>8.75</v>
      </c>
    </row>
    <row r="2039" spans="1:7" x14ac:dyDescent="0.2">
      <c r="A2039" t="s">
        <v>162</v>
      </c>
      <c r="B2039" t="s">
        <v>1025</v>
      </c>
      <c r="C2039" t="s">
        <v>47</v>
      </c>
      <c r="D2039" t="s">
        <v>328</v>
      </c>
      <c r="E2039">
        <v>0.08</v>
      </c>
      <c r="F2039">
        <v>235</v>
      </c>
      <c r="G2039">
        <v>18.8</v>
      </c>
    </row>
    <row r="2040" spans="1:7" x14ac:dyDescent="0.2">
      <c r="A2040" t="s">
        <v>162</v>
      </c>
      <c r="B2040" t="s">
        <v>1025</v>
      </c>
      <c r="C2040" t="s">
        <v>49</v>
      </c>
      <c r="D2040" t="s">
        <v>290</v>
      </c>
      <c r="E2040">
        <v>7.4999999999999997E-2</v>
      </c>
      <c r="F2040">
        <v>248</v>
      </c>
      <c r="G2040">
        <v>18.600000000000001</v>
      </c>
    </row>
    <row r="2041" spans="1:7" x14ac:dyDescent="0.2">
      <c r="A2041" t="s">
        <v>162</v>
      </c>
      <c r="B2041" t="s">
        <v>1025</v>
      </c>
      <c r="C2041" t="s">
        <v>19</v>
      </c>
      <c r="D2041" t="s">
        <v>329</v>
      </c>
      <c r="E2041">
        <v>1</v>
      </c>
      <c r="F2041">
        <v>2.9</v>
      </c>
      <c r="G2041">
        <v>2.9</v>
      </c>
    </row>
    <row r="2042" spans="1:7" x14ac:dyDescent="0.2">
      <c r="A2042" t="s">
        <v>162</v>
      </c>
      <c r="B2042" t="s">
        <v>1025</v>
      </c>
      <c r="C2042" t="s">
        <v>20</v>
      </c>
      <c r="D2042" t="s">
        <v>330</v>
      </c>
      <c r="E2042">
        <v>1</v>
      </c>
      <c r="F2042">
        <v>2.9</v>
      </c>
      <c r="G2042">
        <v>2.9</v>
      </c>
    </row>
    <row r="2043" spans="1:7" x14ac:dyDescent="0.2">
      <c r="A2043" t="s">
        <v>162</v>
      </c>
      <c r="B2043" t="s">
        <v>1025</v>
      </c>
      <c r="C2043" t="s">
        <v>22</v>
      </c>
      <c r="D2043" t="s">
        <v>331</v>
      </c>
      <c r="E2043">
        <v>2</v>
      </c>
      <c r="F2043">
        <v>2.5</v>
      </c>
      <c r="G2043">
        <v>5</v>
      </c>
    </row>
    <row r="2044" spans="1:7" x14ac:dyDescent="0.2">
      <c r="A2044" t="s">
        <v>162</v>
      </c>
      <c r="B2044" t="s">
        <v>1025</v>
      </c>
      <c r="C2044" t="s">
        <v>29</v>
      </c>
      <c r="D2044" t="s">
        <v>292</v>
      </c>
      <c r="E2044">
        <v>0.35</v>
      </c>
      <c r="F2044">
        <v>27</v>
      </c>
      <c r="G2044">
        <v>9.4499999999999993</v>
      </c>
    </row>
    <row r="2045" spans="1:7" x14ac:dyDescent="0.2">
      <c r="A2045" t="s">
        <v>162</v>
      </c>
      <c r="B2045" t="s">
        <v>1025</v>
      </c>
      <c r="C2045" t="s">
        <v>30</v>
      </c>
      <c r="D2045" t="s">
        <v>332</v>
      </c>
      <c r="E2045">
        <v>1</v>
      </c>
      <c r="F2045">
        <v>6</v>
      </c>
      <c r="G2045">
        <v>6</v>
      </c>
    </row>
    <row r="2046" spans="1:7" x14ac:dyDescent="0.2">
      <c r="A2046" t="s">
        <v>162</v>
      </c>
      <c r="B2046" t="s">
        <v>1025</v>
      </c>
      <c r="C2046" t="s">
        <v>102</v>
      </c>
      <c r="D2046" t="s">
        <v>339</v>
      </c>
      <c r="E2046">
        <v>0.18</v>
      </c>
      <c r="F2046">
        <v>1200</v>
      </c>
      <c r="G2046">
        <v>216</v>
      </c>
    </row>
    <row r="2047" spans="1:7" x14ac:dyDescent="0.2">
      <c r="A2047" t="s">
        <v>162</v>
      </c>
      <c r="B2047" t="s">
        <v>1025</v>
      </c>
      <c r="C2047" t="s">
        <v>121</v>
      </c>
      <c r="D2047" t="s">
        <v>301</v>
      </c>
      <c r="E2047">
        <v>1</v>
      </c>
      <c r="F2047">
        <v>0.95</v>
      </c>
      <c r="G2047">
        <v>0.95</v>
      </c>
    </row>
    <row r="2048" spans="1:7" x14ac:dyDescent="0.2">
      <c r="A2048" t="s">
        <v>162</v>
      </c>
      <c r="B2048" t="s">
        <v>1025</v>
      </c>
      <c r="C2048" t="s">
        <v>122</v>
      </c>
      <c r="D2048" t="s">
        <v>302</v>
      </c>
      <c r="E2048">
        <v>1</v>
      </c>
      <c r="F2048">
        <v>4.2</v>
      </c>
      <c r="G2048">
        <v>4.2</v>
      </c>
    </row>
    <row r="2049" spans="1:7" x14ac:dyDescent="0.2">
      <c r="A2049" t="s">
        <v>162</v>
      </c>
      <c r="B2049" t="s">
        <v>1025</v>
      </c>
      <c r="C2049" t="s">
        <v>4</v>
      </c>
      <c r="D2049" t="s">
        <v>304</v>
      </c>
      <c r="E2049">
        <v>2.2000000000000002</v>
      </c>
      <c r="F2049">
        <v>10.1</v>
      </c>
      <c r="G2049">
        <v>22.22</v>
      </c>
    </row>
    <row r="2050" spans="1:7" x14ac:dyDescent="0.2">
      <c r="A2050" t="s">
        <v>162</v>
      </c>
      <c r="B2050" t="s">
        <v>1025</v>
      </c>
      <c r="C2050" t="s">
        <v>105</v>
      </c>
      <c r="D2050" t="s">
        <v>313</v>
      </c>
      <c r="E2050">
        <v>100</v>
      </c>
      <c r="F2050">
        <v>0.1</v>
      </c>
      <c r="G2050">
        <v>10</v>
      </c>
    </row>
    <row r="2051" spans="1:7" x14ac:dyDescent="0.2">
      <c r="A2051" t="s">
        <v>162</v>
      </c>
      <c r="B2051" t="s">
        <v>1025</v>
      </c>
      <c r="C2051" t="s">
        <v>111</v>
      </c>
      <c r="D2051" t="s">
        <v>320</v>
      </c>
      <c r="E2051">
        <v>20</v>
      </c>
      <c r="F2051">
        <v>0.1</v>
      </c>
      <c r="G2051">
        <v>2</v>
      </c>
    </row>
    <row r="2052" spans="1:7" x14ac:dyDescent="0.2">
      <c r="A2052" t="s">
        <v>123</v>
      </c>
      <c r="B2052" t="s">
        <v>265</v>
      </c>
      <c r="C2052" t="s">
        <v>94</v>
      </c>
      <c r="D2052" t="s">
        <v>280</v>
      </c>
      <c r="E2052">
        <v>1</v>
      </c>
      <c r="F2052">
        <v>3.5</v>
      </c>
      <c r="G2052">
        <v>3.5</v>
      </c>
    </row>
    <row r="2053" spans="1:7" x14ac:dyDescent="0.2">
      <c r="A2053" t="s">
        <v>123</v>
      </c>
      <c r="B2053" t="s">
        <v>265</v>
      </c>
      <c r="C2053" t="s">
        <v>95</v>
      </c>
      <c r="D2053" t="s">
        <v>281</v>
      </c>
      <c r="E2053">
        <v>1</v>
      </c>
      <c r="F2053">
        <v>2</v>
      </c>
      <c r="G2053">
        <v>2</v>
      </c>
    </row>
    <row r="2054" spans="1:7" x14ac:dyDescent="0.2">
      <c r="A2054" t="s">
        <v>123</v>
      </c>
      <c r="B2054" t="s">
        <v>265</v>
      </c>
      <c r="C2054" t="s">
        <v>44</v>
      </c>
      <c r="D2054" t="s">
        <v>324</v>
      </c>
      <c r="E2054">
        <v>0.3</v>
      </c>
      <c r="F2054">
        <v>65</v>
      </c>
      <c r="G2054">
        <v>19.5</v>
      </c>
    </row>
    <row r="2055" spans="1:7" x14ac:dyDescent="0.2">
      <c r="A2055" t="s">
        <v>123</v>
      </c>
      <c r="B2055" t="s">
        <v>265</v>
      </c>
      <c r="C2055" t="s">
        <v>55</v>
      </c>
      <c r="D2055" t="s">
        <v>371</v>
      </c>
      <c r="E2055">
        <v>0.9</v>
      </c>
      <c r="F2055">
        <v>120</v>
      </c>
      <c r="G2055">
        <v>108</v>
      </c>
    </row>
    <row r="2056" spans="1:7" x14ac:dyDescent="0.2">
      <c r="A2056" t="s">
        <v>123</v>
      </c>
      <c r="B2056" t="s">
        <v>265</v>
      </c>
      <c r="C2056" t="s">
        <v>69</v>
      </c>
      <c r="D2056" t="s">
        <v>288</v>
      </c>
      <c r="E2056">
        <v>0.19</v>
      </c>
      <c r="F2056">
        <v>190</v>
      </c>
      <c r="G2056">
        <v>36.1</v>
      </c>
    </row>
    <row r="2057" spans="1:7" x14ac:dyDescent="0.2">
      <c r="A2057" t="s">
        <v>123</v>
      </c>
      <c r="B2057" t="s">
        <v>265</v>
      </c>
      <c r="C2057" t="s">
        <v>84</v>
      </c>
      <c r="D2057" t="s">
        <v>346</v>
      </c>
      <c r="E2057">
        <v>0.75</v>
      </c>
      <c r="F2057">
        <v>190</v>
      </c>
      <c r="G2057">
        <v>142.5</v>
      </c>
    </row>
    <row r="2058" spans="1:7" x14ac:dyDescent="0.2">
      <c r="A2058" t="s">
        <v>123</v>
      </c>
      <c r="B2058" t="s">
        <v>265</v>
      </c>
      <c r="C2058" t="s">
        <v>93</v>
      </c>
      <c r="D2058" t="s">
        <v>327</v>
      </c>
      <c r="E2058">
        <v>0.125</v>
      </c>
      <c r="F2058">
        <v>70</v>
      </c>
      <c r="G2058">
        <v>8.75</v>
      </c>
    </row>
    <row r="2059" spans="1:7" x14ac:dyDescent="0.2">
      <c r="A2059" t="s">
        <v>123</v>
      </c>
      <c r="B2059" t="s">
        <v>265</v>
      </c>
      <c r="C2059" t="s">
        <v>47</v>
      </c>
      <c r="D2059" t="s">
        <v>328</v>
      </c>
      <c r="E2059">
        <v>0.08</v>
      </c>
      <c r="F2059">
        <v>235</v>
      </c>
      <c r="G2059">
        <v>18.8</v>
      </c>
    </row>
    <row r="2060" spans="1:7" x14ac:dyDescent="0.2">
      <c r="A2060" t="s">
        <v>123</v>
      </c>
      <c r="B2060" t="s">
        <v>265</v>
      </c>
      <c r="C2060" t="s">
        <v>49</v>
      </c>
      <c r="D2060" t="s">
        <v>290</v>
      </c>
      <c r="E2060">
        <v>7.4999999999999997E-2</v>
      </c>
      <c r="F2060">
        <v>248</v>
      </c>
      <c r="G2060">
        <v>18.600000000000001</v>
      </c>
    </row>
    <row r="2061" spans="1:7" x14ac:dyDescent="0.2">
      <c r="A2061" t="s">
        <v>123</v>
      </c>
      <c r="B2061" t="s">
        <v>265</v>
      </c>
      <c r="C2061" t="s">
        <v>19</v>
      </c>
      <c r="D2061" t="s">
        <v>329</v>
      </c>
      <c r="E2061">
        <v>1</v>
      </c>
      <c r="F2061">
        <v>2.9</v>
      </c>
      <c r="G2061">
        <v>2.9</v>
      </c>
    </row>
    <row r="2062" spans="1:7" x14ac:dyDescent="0.2">
      <c r="A2062" t="s">
        <v>123</v>
      </c>
      <c r="B2062" t="s">
        <v>265</v>
      </c>
      <c r="C2062" t="s">
        <v>20</v>
      </c>
      <c r="D2062" t="s">
        <v>330</v>
      </c>
      <c r="E2062">
        <v>1</v>
      </c>
      <c r="F2062">
        <v>2.9</v>
      </c>
      <c r="G2062">
        <v>2.9</v>
      </c>
    </row>
    <row r="2063" spans="1:7" x14ac:dyDescent="0.2">
      <c r="A2063" t="s">
        <v>123</v>
      </c>
      <c r="B2063" t="s">
        <v>265</v>
      </c>
      <c r="C2063" t="s">
        <v>22</v>
      </c>
      <c r="D2063" t="s">
        <v>331</v>
      </c>
      <c r="E2063">
        <v>2</v>
      </c>
      <c r="F2063">
        <v>2.5</v>
      </c>
      <c r="G2063">
        <v>5</v>
      </c>
    </row>
    <row r="2064" spans="1:7" x14ac:dyDescent="0.2">
      <c r="A2064" t="s">
        <v>123</v>
      </c>
      <c r="B2064" t="s">
        <v>265</v>
      </c>
      <c r="C2064" t="s">
        <v>29</v>
      </c>
      <c r="D2064" t="s">
        <v>292</v>
      </c>
      <c r="E2064">
        <v>0.35</v>
      </c>
      <c r="F2064">
        <v>27</v>
      </c>
      <c r="G2064">
        <v>9.4499999999999993</v>
      </c>
    </row>
    <row r="2065" spans="1:7" x14ac:dyDescent="0.2">
      <c r="A2065" t="s">
        <v>123</v>
      </c>
      <c r="B2065" t="s">
        <v>265</v>
      </c>
      <c r="C2065" t="s">
        <v>30</v>
      </c>
      <c r="D2065" t="s">
        <v>332</v>
      </c>
      <c r="E2065">
        <v>1</v>
      </c>
      <c r="F2065">
        <v>6</v>
      </c>
      <c r="G2065">
        <v>6</v>
      </c>
    </row>
    <row r="2066" spans="1:7" x14ac:dyDescent="0.2">
      <c r="A2066" t="s">
        <v>123</v>
      </c>
      <c r="B2066" t="s">
        <v>265</v>
      </c>
      <c r="C2066" t="s">
        <v>101</v>
      </c>
      <c r="D2066" t="s">
        <v>333</v>
      </c>
      <c r="E2066">
        <v>0.18</v>
      </c>
      <c r="F2066">
        <v>1200</v>
      </c>
      <c r="G2066">
        <v>216</v>
      </c>
    </row>
    <row r="2067" spans="1:7" x14ac:dyDescent="0.2">
      <c r="A2067" t="s">
        <v>123</v>
      </c>
      <c r="B2067" t="s">
        <v>265</v>
      </c>
      <c r="C2067" t="s">
        <v>121</v>
      </c>
      <c r="D2067" t="s">
        <v>301</v>
      </c>
      <c r="E2067">
        <v>1</v>
      </c>
      <c r="F2067">
        <v>0.95</v>
      </c>
      <c r="G2067">
        <v>0.95</v>
      </c>
    </row>
    <row r="2068" spans="1:7" x14ac:dyDescent="0.2">
      <c r="A2068" t="s">
        <v>123</v>
      </c>
      <c r="B2068" t="s">
        <v>265</v>
      </c>
      <c r="C2068" t="s">
        <v>122</v>
      </c>
      <c r="D2068" t="s">
        <v>302</v>
      </c>
      <c r="E2068">
        <v>1</v>
      </c>
      <c r="F2068">
        <v>4.2</v>
      </c>
      <c r="G2068">
        <v>4.2</v>
      </c>
    </row>
    <row r="2069" spans="1:7" x14ac:dyDescent="0.2">
      <c r="A2069" t="s">
        <v>123</v>
      </c>
      <c r="B2069" t="s">
        <v>265</v>
      </c>
      <c r="C2069" t="s">
        <v>4</v>
      </c>
      <c r="D2069" t="s">
        <v>304</v>
      </c>
      <c r="E2069">
        <v>2.2000000000000002</v>
      </c>
      <c r="F2069">
        <v>10.1</v>
      </c>
      <c r="G2069">
        <v>22.22</v>
      </c>
    </row>
    <row r="2070" spans="1:7" x14ac:dyDescent="0.2">
      <c r="A2070" t="s">
        <v>123</v>
      </c>
      <c r="B2070" t="s">
        <v>265</v>
      </c>
      <c r="C2070" t="s">
        <v>105</v>
      </c>
      <c r="D2070" t="s">
        <v>313</v>
      </c>
      <c r="E2070">
        <v>100</v>
      </c>
      <c r="F2070">
        <v>0.1</v>
      </c>
      <c r="G2070">
        <v>10</v>
      </c>
    </row>
    <row r="2071" spans="1:7" x14ac:dyDescent="0.2">
      <c r="A2071" t="s">
        <v>123</v>
      </c>
      <c r="B2071" t="s">
        <v>265</v>
      </c>
      <c r="C2071" t="s">
        <v>111</v>
      </c>
      <c r="D2071" t="s">
        <v>320</v>
      </c>
      <c r="E2071">
        <v>20</v>
      </c>
      <c r="F2071">
        <v>0.1</v>
      </c>
      <c r="G2071">
        <v>2</v>
      </c>
    </row>
    <row r="2072" spans="1:7" x14ac:dyDescent="0.2">
      <c r="A2072" t="s">
        <v>904</v>
      </c>
      <c r="B2072" t="s">
        <v>905</v>
      </c>
      <c r="C2072" t="s">
        <v>94</v>
      </c>
      <c r="D2072" t="s">
        <v>280</v>
      </c>
      <c r="E2072">
        <v>1</v>
      </c>
      <c r="F2072">
        <v>3.5</v>
      </c>
      <c r="G2072">
        <v>3.5</v>
      </c>
    </row>
    <row r="2073" spans="1:7" x14ac:dyDescent="0.2">
      <c r="A2073" t="s">
        <v>904</v>
      </c>
      <c r="B2073" t="s">
        <v>905</v>
      </c>
      <c r="C2073" t="s">
        <v>61</v>
      </c>
      <c r="D2073" t="s">
        <v>341</v>
      </c>
      <c r="E2073">
        <v>0</v>
      </c>
      <c r="F2073">
        <v>190</v>
      </c>
      <c r="G2073">
        <v>0</v>
      </c>
    </row>
    <row r="2074" spans="1:7" x14ac:dyDescent="0.2">
      <c r="A2074" t="s">
        <v>904</v>
      </c>
      <c r="B2074" t="s">
        <v>905</v>
      </c>
      <c r="C2074" t="s">
        <v>17</v>
      </c>
      <c r="D2074" t="s">
        <v>394</v>
      </c>
      <c r="E2074">
        <v>1</v>
      </c>
      <c r="F2074">
        <v>3.5</v>
      </c>
      <c r="G2074">
        <v>3.5</v>
      </c>
    </row>
    <row r="2075" spans="1:7" x14ac:dyDescent="0.2">
      <c r="A2075" t="s">
        <v>904</v>
      </c>
      <c r="B2075" t="s">
        <v>905</v>
      </c>
      <c r="C2075" t="s">
        <v>18</v>
      </c>
      <c r="D2075" t="s">
        <v>395</v>
      </c>
      <c r="E2075">
        <v>1</v>
      </c>
      <c r="F2075">
        <v>3.5</v>
      </c>
      <c r="G2075">
        <v>3.5</v>
      </c>
    </row>
    <row r="2076" spans="1:7" x14ac:dyDescent="0.2">
      <c r="A2076" t="s">
        <v>904</v>
      </c>
      <c r="B2076" t="s">
        <v>905</v>
      </c>
      <c r="C2076" t="s">
        <v>29</v>
      </c>
      <c r="D2076" t="s">
        <v>292</v>
      </c>
      <c r="E2076">
        <v>0.25</v>
      </c>
      <c r="F2076">
        <v>27</v>
      </c>
      <c r="G2076">
        <v>6.75</v>
      </c>
    </row>
    <row r="2077" spans="1:7" x14ac:dyDescent="0.2">
      <c r="A2077" t="s">
        <v>904</v>
      </c>
      <c r="B2077" t="s">
        <v>905</v>
      </c>
      <c r="C2077" t="s">
        <v>30</v>
      </c>
      <c r="D2077" t="s">
        <v>332</v>
      </c>
      <c r="E2077">
        <v>1</v>
      </c>
      <c r="F2077">
        <v>6</v>
      </c>
      <c r="G2077">
        <v>6</v>
      </c>
    </row>
    <row r="2078" spans="1:7" x14ac:dyDescent="0.2">
      <c r="A2078" t="s">
        <v>904</v>
      </c>
      <c r="B2078" t="s">
        <v>905</v>
      </c>
      <c r="C2078" t="s">
        <v>121</v>
      </c>
      <c r="D2078" t="s">
        <v>301</v>
      </c>
      <c r="E2078">
        <v>1</v>
      </c>
      <c r="F2078">
        <v>0.95</v>
      </c>
      <c r="G2078">
        <v>0.95</v>
      </c>
    </row>
    <row r="2079" spans="1:7" x14ac:dyDescent="0.2">
      <c r="A2079" t="s">
        <v>904</v>
      </c>
      <c r="B2079" t="s">
        <v>905</v>
      </c>
      <c r="C2079" t="s">
        <v>122</v>
      </c>
      <c r="D2079" t="s">
        <v>302</v>
      </c>
      <c r="E2079">
        <v>1</v>
      </c>
      <c r="F2079">
        <v>4.2</v>
      </c>
      <c r="G2079">
        <v>4.2</v>
      </c>
    </row>
    <row r="2080" spans="1:7" x14ac:dyDescent="0.2">
      <c r="A2080" t="s">
        <v>904</v>
      </c>
      <c r="B2080" t="s">
        <v>905</v>
      </c>
      <c r="C2080" t="s">
        <v>5</v>
      </c>
      <c r="D2080" t="s">
        <v>305</v>
      </c>
      <c r="E2080">
        <v>0.1</v>
      </c>
      <c r="F2080">
        <v>11.5</v>
      </c>
      <c r="G2080">
        <v>1.1499999999999999</v>
      </c>
    </row>
    <row r="2081" spans="1:7" x14ac:dyDescent="0.2">
      <c r="A2081" t="s">
        <v>904</v>
      </c>
      <c r="B2081" t="s">
        <v>905</v>
      </c>
      <c r="C2081" t="s">
        <v>7</v>
      </c>
      <c r="D2081" t="s">
        <v>307</v>
      </c>
      <c r="E2081">
        <v>0.75</v>
      </c>
      <c r="F2081">
        <v>6.7</v>
      </c>
      <c r="G2081">
        <v>5.0250000000000004</v>
      </c>
    </row>
    <row r="2082" spans="1:7" x14ac:dyDescent="0.2">
      <c r="A2082" t="s">
        <v>904</v>
      </c>
      <c r="B2082" t="s">
        <v>905</v>
      </c>
      <c r="C2082" t="s">
        <v>782</v>
      </c>
      <c r="D2082" t="s">
        <v>783</v>
      </c>
      <c r="E2082">
        <v>0.15</v>
      </c>
      <c r="F2082">
        <v>4.5</v>
      </c>
      <c r="G2082">
        <v>0.67500000000000004</v>
      </c>
    </row>
    <row r="2083" spans="1:7" x14ac:dyDescent="0.2">
      <c r="A2083" t="s">
        <v>904</v>
      </c>
      <c r="B2083" t="s">
        <v>905</v>
      </c>
      <c r="C2083" t="s">
        <v>12</v>
      </c>
      <c r="D2083" t="s">
        <v>308</v>
      </c>
      <c r="E2083">
        <v>0.15</v>
      </c>
      <c r="F2083">
        <v>7</v>
      </c>
      <c r="G2083">
        <v>1.05</v>
      </c>
    </row>
    <row r="2084" spans="1:7" x14ac:dyDescent="0.2">
      <c r="A2084" t="s">
        <v>904</v>
      </c>
      <c r="B2084" t="s">
        <v>905</v>
      </c>
      <c r="C2084" t="s">
        <v>105</v>
      </c>
      <c r="D2084" t="s">
        <v>313</v>
      </c>
      <c r="E2084">
        <v>0</v>
      </c>
      <c r="F2084">
        <v>0.1</v>
      </c>
      <c r="G2084">
        <v>0</v>
      </c>
    </row>
    <row r="2085" spans="1:7" x14ac:dyDescent="0.2">
      <c r="A2085" t="s">
        <v>906</v>
      </c>
      <c r="B2085" t="s">
        <v>907</v>
      </c>
      <c r="C2085" t="s">
        <v>94</v>
      </c>
      <c r="D2085" t="s">
        <v>280</v>
      </c>
      <c r="E2085">
        <v>1</v>
      </c>
      <c r="F2085">
        <v>3.5</v>
      </c>
      <c r="G2085">
        <v>3.5</v>
      </c>
    </row>
    <row r="2086" spans="1:7" x14ac:dyDescent="0.2">
      <c r="A2086" t="s">
        <v>906</v>
      </c>
      <c r="B2086" t="s">
        <v>907</v>
      </c>
      <c r="C2086" t="s">
        <v>522</v>
      </c>
      <c r="D2086" t="s">
        <v>523</v>
      </c>
      <c r="E2086">
        <v>0</v>
      </c>
      <c r="F2086">
        <v>190</v>
      </c>
      <c r="G2086">
        <v>0</v>
      </c>
    </row>
    <row r="2087" spans="1:7" x14ac:dyDescent="0.2">
      <c r="A2087" t="s">
        <v>906</v>
      </c>
      <c r="B2087" t="s">
        <v>907</v>
      </c>
      <c r="C2087" t="s">
        <v>17</v>
      </c>
      <c r="D2087" t="s">
        <v>394</v>
      </c>
      <c r="E2087">
        <v>1</v>
      </c>
      <c r="F2087">
        <v>3.5</v>
      </c>
      <c r="G2087">
        <v>3.5</v>
      </c>
    </row>
    <row r="2088" spans="1:7" x14ac:dyDescent="0.2">
      <c r="A2088" t="s">
        <v>906</v>
      </c>
      <c r="B2088" t="s">
        <v>907</v>
      </c>
      <c r="C2088" t="s">
        <v>18</v>
      </c>
      <c r="D2088" t="s">
        <v>395</v>
      </c>
      <c r="E2088">
        <v>1</v>
      </c>
      <c r="F2088">
        <v>3.5</v>
      </c>
      <c r="G2088">
        <v>3.5</v>
      </c>
    </row>
    <row r="2089" spans="1:7" x14ac:dyDescent="0.2">
      <c r="A2089" t="s">
        <v>906</v>
      </c>
      <c r="B2089" t="s">
        <v>907</v>
      </c>
      <c r="C2089" t="s">
        <v>29</v>
      </c>
      <c r="D2089" t="s">
        <v>292</v>
      </c>
      <c r="E2089">
        <v>0.25</v>
      </c>
      <c r="F2089">
        <v>27</v>
      </c>
      <c r="G2089">
        <v>6.75</v>
      </c>
    </row>
    <row r="2090" spans="1:7" x14ac:dyDescent="0.2">
      <c r="A2090" t="s">
        <v>906</v>
      </c>
      <c r="B2090" t="s">
        <v>907</v>
      </c>
      <c r="C2090" t="s">
        <v>30</v>
      </c>
      <c r="D2090" t="s">
        <v>332</v>
      </c>
      <c r="E2090">
        <v>1</v>
      </c>
      <c r="F2090">
        <v>6</v>
      </c>
      <c r="G2090">
        <v>6</v>
      </c>
    </row>
    <row r="2091" spans="1:7" x14ac:dyDescent="0.2">
      <c r="A2091" t="s">
        <v>906</v>
      </c>
      <c r="B2091" t="s">
        <v>907</v>
      </c>
      <c r="C2091" t="s">
        <v>121</v>
      </c>
      <c r="D2091" t="s">
        <v>301</v>
      </c>
      <c r="E2091">
        <v>1</v>
      </c>
      <c r="F2091">
        <v>0.95</v>
      </c>
      <c r="G2091">
        <v>0.95</v>
      </c>
    </row>
    <row r="2092" spans="1:7" x14ac:dyDescent="0.2">
      <c r="A2092" t="s">
        <v>906</v>
      </c>
      <c r="B2092" t="s">
        <v>907</v>
      </c>
      <c r="C2092" t="s">
        <v>122</v>
      </c>
      <c r="D2092" t="s">
        <v>302</v>
      </c>
      <c r="E2092">
        <v>1</v>
      </c>
      <c r="F2092">
        <v>4.2</v>
      </c>
      <c r="G2092">
        <v>4.2</v>
      </c>
    </row>
    <row r="2093" spans="1:7" x14ac:dyDescent="0.2">
      <c r="A2093" t="s">
        <v>906</v>
      </c>
      <c r="B2093" t="s">
        <v>907</v>
      </c>
      <c r="C2093" t="s">
        <v>5</v>
      </c>
      <c r="D2093" t="s">
        <v>305</v>
      </c>
      <c r="E2093">
        <v>0.1</v>
      </c>
      <c r="F2093">
        <v>11.5</v>
      </c>
      <c r="G2093">
        <v>1.1499999999999999</v>
      </c>
    </row>
    <row r="2094" spans="1:7" x14ac:dyDescent="0.2">
      <c r="A2094" t="s">
        <v>906</v>
      </c>
      <c r="B2094" t="s">
        <v>907</v>
      </c>
      <c r="C2094" t="s">
        <v>7</v>
      </c>
      <c r="D2094" t="s">
        <v>307</v>
      </c>
      <c r="E2094">
        <v>0.75</v>
      </c>
      <c r="F2094">
        <v>6.7</v>
      </c>
      <c r="G2094">
        <v>5.0250000000000004</v>
      </c>
    </row>
    <row r="2095" spans="1:7" x14ac:dyDescent="0.2">
      <c r="A2095" t="s">
        <v>906</v>
      </c>
      <c r="B2095" t="s">
        <v>907</v>
      </c>
      <c r="C2095" t="s">
        <v>782</v>
      </c>
      <c r="D2095" t="s">
        <v>783</v>
      </c>
      <c r="E2095">
        <v>0.15</v>
      </c>
      <c r="F2095">
        <v>4.5</v>
      </c>
      <c r="G2095">
        <v>0.67500000000000004</v>
      </c>
    </row>
    <row r="2096" spans="1:7" x14ac:dyDescent="0.2">
      <c r="A2096" t="s">
        <v>906</v>
      </c>
      <c r="B2096" t="s">
        <v>907</v>
      </c>
      <c r="C2096" t="s">
        <v>12</v>
      </c>
      <c r="D2096" t="s">
        <v>308</v>
      </c>
      <c r="E2096">
        <v>0.15</v>
      </c>
      <c r="F2096">
        <v>7</v>
      </c>
      <c r="G2096">
        <v>1.05</v>
      </c>
    </row>
    <row r="2097" spans="1:7" x14ac:dyDescent="0.2">
      <c r="A2097" t="s">
        <v>906</v>
      </c>
      <c r="B2097" t="s">
        <v>907</v>
      </c>
      <c r="C2097" t="s">
        <v>120</v>
      </c>
      <c r="D2097" t="s">
        <v>340</v>
      </c>
      <c r="E2097">
        <v>0</v>
      </c>
      <c r="F2097">
        <v>0.1</v>
      </c>
      <c r="G2097">
        <v>0</v>
      </c>
    </row>
    <row r="2098" spans="1:7" x14ac:dyDescent="0.2">
      <c r="A2098" t="s">
        <v>908</v>
      </c>
      <c r="B2098" t="s">
        <v>909</v>
      </c>
      <c r="C2098" t="s">
        <v>94</v>
      </c>
      <c r="D2098" t="s">
        <v>280</v>
      </c>
      <c r="E2098">
        <v>1</v>
      </c>
      <c r="F2098">
        <v>3.5</v>
      </c>
      <c r="G2098">
        <v>3.5</v>
      </c>
    </row>
    <row r="2099" spans="1:7" x14ac:dyDescent="0.2">
      <c r="A2099" t="s">
        <v>908</v>
      </c>
      <c r="B2099" t="s">
        <v>909</v>
      </c>
      <c r="C2099" t="s">
        <v>524</v>
      </c>
      <c r="D2099" t="s">
        <v>525</v>
      </c>
      <c r="E2099">
        <v>0</v>
      </c>
      <c r="F2099">
        <v>190</v>
      </c>
      <c r="G2099">
        <v>0</v>
      </c>
    </row>
    <row r="2100" spans="1:7" x14ac:dyDescent="0.2">
      <c r="A2100" t="s">
        <v>908</v>
      </c>
      <c r="B2100" t="s">
        <v>909</v>
      </c>
      <c r="C2100" t="s">
        <v>17</v>
      </c>
      <c r="D2100" t="s">
        <v>394</v>
      </c>
      <c r="E2100">
        <v>1</v>
      </c>
      <c r="F2100">
        <v>3.5</v>
      </c>
      <c r="G2100">
        <v>3.5</v>
      </c>
    </row>
    <row r="2101" spans="1:7" x14ac:dyDescent="0.2">
      <c r="A2101" t="s">
        <v>908</v>
      </c>
      <c r="B2101" t="s">
        <v>909</v>
      </c>
      <c r="C2101" t="s">
        <v>18</v>
      </c>
      <c r="D2101" t="s">
        <v>395</v>
      </c>
      <c r="E2101">
        <v>1</v>
      </c>
      <c r="F2101">
        <v>3.5</v>
      </c>
      <c r="G2101">
        <v>3.5</v>
      </c>
    </row>
    <row r="2102" spans="1:7" x14ac:dyDescent="0.2">
      <c r="A2102" t="s">
        <v>908</v>
      </c>
      <c r="B2102" t="s">
        <v>909</v>
      </c>
      <c r="C2102" t="s">
        <v>29</v>
      </c>
      <c r="D2102" t="s">
        <v>292</v>
      </c>
      <c r="E2102">
        <v>0.25</v>
      </c>
      <c r="F2102">
        <v>27</v>
      </c>
      <c r="G2102">
        <v>6.75</v>
      </c>
    </row>
    <row r="2103" spans="1:7" x14ac:dyDescent="0.2">
      <c r="A2103" t="s">
        <v>908</v>
      </c>
      <c r="B2103" t="s">
        <v>909</v>
      </c>
      <c r="C2103" t="s">
        <v>30</v>
      </c>
      <c r="D2103" t="s">
        <v>332</v>
      </c>
      <c r="E2103">
        <v>1</v>
      </c>
      <c r="F2103">
        <v>6</v>
      </c>
      <c r="G2103">
        <v>6</v>
      </c>
    </row>
    <row r="2104" spans="1:7" x14ac:dyDescent="0.2">
      <c r="A2104" t="s">
        <v>908</v>
      </c>
      <c r="B2104" t="s">
        <v>909</v>
      </c>
      <c r="C2104" t="s">
        <v>121</v>
      </c>
      <c r="D2104" t="s">
        <v>301</v>
      </c>
      <c r="E2104">
        <v>1</v>
      </c>
      <c r="F2104">
        <v>0.95</v>
      </c>
      <c r="G2104">
        <v>0.95</v>
      </c>
    </row>
    <row r="2105" spans="1:7" x14ac:dyDescent="0.2">
      <c r="A2105" t="s">
        <v>908</v>
      </c>
      <c r="B2105" t="s">
        <v>909</v>
      </c>
      <c r="C2105" t="s">
        <v>122</v>
      </c>
      <c r="D2105" t="s">
        <v>302</v>
      </c>
      <c r="E2105">
        <v>1</v>
      </c>
      <c r="F2105">
        <v>4.2</v>
      </c>
      <c r="G2105">
        <v>4.2</v>
      </c>
    </row>
    <row r="2106" spans="1:7" x14ac:dyDescent="0.2">
      <c r="A2106" t="s">
        <v>908</v>
      </c>
      <c r="B2106" t="s">
        <v>909</v>
      </c>
      <c r="C2106" t="s">
        <v>5</v>
      </c>
      <c r="D2106" t="s">
        <v>305</v>
      </c>
      <c r="E2106">
        <v>0.1</v>
      </c>
      <c r="F2106">
        <v>11.5</v>
      </c>
      <c r="G2106">
        <v>1.1499999999999999</v>
      </c>
    </row>
    <row r="2107" spans="1:7" x14ac:dyDescent="0.2">
      <c r="A2107" t="s">
        <v>908</v>
      </c>
      <c r="B2107" t="s">
        <v>909</v>
      </c>
      <c r="C2107" t="s">
        <v>7</v>
      </c>
      <c r="D2107" t="s">
        <v>307</v>
      </c>
      <c r="E2107">
        <v>0.75</v>
      </c>
      <c r="F2107">
        <v>6.7</v>
      </c>
      <c r="G2107">
        <v>5.0250000000000004</v>
      </c>
    </row>
    <row r="2108" spans="1:7" x14ac:dyDescent="0.2">
      <c r="A2108" t="s">
        <v>908</v>
      </c>
      <c r="B2108" t="s">
        <v>909</v>
      </c>
      <c r="C2108" t="s">
        <v>782</v>
      </c>
      <c r="D2108" t="s">
        <v>783</v>
      </c>
      <c r="E2108">
        <v>0.15</v>
      </c>
      <c r="F2108">
        <v>4.5</v>
      </c>
      <c r="G2108">
        <v>0.67500000000000004</v>
      </c>
    </row>
    <row r="2109" spans="1:7" x14ac:dyDescent="0.2">
      <c r="A2109" t="s">
        <v>908</v>
      </c>
      <c r="B2109" t="s">
        <v>909</v>
      </c>
      <c r="C2109" t="s">
        <v>12</v>
      </c>
      <c r="D2109" t="s">
        <v>308</v>
      </c>
      <c r="E2109">
        <v>0.15</v>
      </c>
      <c r="F2109">
        <v>7</v>
      </c>
      <c r="G2109">
        <v>1.05</v>
      </c>
    </row>
    <row r="2110" spans="1:7" x14ac:dyDescent="0.2">
      <c r="A2110" t="s">
        <v>908</v>
      </c>
      <c r="B2110" t="s">
        <v>909</v>
      </c>
      <c r="C2110" t="s">
        <v>113</v>
      </c>
      <c r="D2110" t="s">
        <v>318</v>
      </c>
      <c r="E2110">
        <v>0</v>
      </c>
      <c r="F2110">
        <v>0.1</v>
      </c>
      <c r="G2110">
        <v>0</v>
      </c>
    </row>
    <row r="2111" spans="1:7" x14ac:dyDescent="0.2">
      <c r="A2111" t="s">
        <v>163</v>
      </c>
      <c r="B2111" t="s">
        <v>1026</v>
      </c>
      <c r="C2111" t="s">
        <v>94</v>
      </c>
      <c r="D2111" t="s">
        <v>280</v>
      </c>
      <c r="E2111">
        <v>1</v>
      </c>
      <c r="F2111">
        <v>3.5</v>
      </c>
      <c r="G2111">
        <v>3.5</v>
      </c>
    </row>
    <row r="2112" spans="1:7" x14ac:dyDescent="0.2">
      <c r="A2112" t="s">
        <v>163</v>
      </c>
      <c r="B2112" t="s">
        <v>1026</v>
      </c>
      <c r="C2112" t="s">
        <v>95</v>
      </c>
      <c r="D2112" t="s">
        <v>281</v>
      </c>
      <c r="E2112">
        <v>1</v>
      </c>
      <c r="F2112">
        <v>2</v>
      </c>
      <c r="G2112">
        <v>2</v>
      </c>
    </row>
    <row r="2113" spans="1:7" x14ac:dyDescent="0.2">
      <c r="A2113" t="s">
        <v>163</v>
      </c>
      <c r="B2113" t="s">
        <v>1026</v>
      </c>
      <c r="C2113" t="s">
        <v>44</v>
      </c>
      <c r="D2113" t="s">
        <v>324</v>
      </c>
      <c r="E2113">
        <v>0.3</v>
      </c>
      <c r="F2113">
        <v>65</v>
      </c>
      <c r="G2113">
        <v>19.5</v>
      </c>
    </row>
    <row r="2114" spans="1:7" x14ac:dyDescent="0.2">
      <c r="A2114" t="s">
        <v>163</v>
      </c>
      <c r="B2114" t="s">
        <v>1026</v>
      </c>
      <c r="C2114" t="s">
        <v>59</v>
      </c>
      <c r="D2114" t="s">
        <v>372</v>
      </c>
      <c r="E2114">
        <v>0.9</v>
      </c>
      <c r="F2114">
        <v>130</v>
      </c>
      <c r="G2114">
        <v>117</v>
      </c>
    </row>
    <row r="2115" spans="1:7" x14ac:dyDescent="0.2">
      <c r="A2115" t="s">
        <v>163</v>
      </c>
      <c r="B2115" t="s">
        <v>1026</v>
      </c>
      <c r="C2115" t="s">
        <v>70</v>
      </c>
      <c r="D2115" t="s">
        <v>342</v>
      </c>
      <c r="E2115">
        <v>0.19</v>
      </c>
      <c r="F2115">
        <v>145</v>
      </c>
      <c r="G2115">
        <v>27.55</v>
      </c>
    </row>
    <row r="2116" spans="1:7" x14ac:dyDescent="0.2">
      <c r="A2116" t="s">
        <v>163</v>
      </c>
      <c r="B2116" t="s">
        <v>1026</v>
      </c>
      <c r="C2116" t="s">
        <v>87</v>
      </c>
      <c r="D2116" t="s">
        <v>348</v>
      </c>
      <c r="E2116">
        <v>0.75</v>
      </c>
      <c r="F2116">
        <v>190</v>
      </c>
      <c r="G2116">
        <v>142.5</v>
      </c>
    </row>
    <row r="2117" spans="1:7" x14ac:dyDescent="0.2">
      <c r="A2117" t="s">
        <v>163</v>
      </c>
      <c r="B2117" t="s">
        <v>1026</v>
      </c>
      <c r="C2117" t="s">
        <v>93</v>
      </c>
      <c r="D2117" t="s">
        <v>327</v>
      </c>
      <c r="E2117">
        <v>0.125</v>
      </c>
      <c r="F2117">
        <v>70</v>
      </c>
      <c r="G2117">
        <v>8.75</v>
      </c>
    </row>
    <row r="2118" spans="1:7" x14ac:dyDescent="0.2">
      <c r="A2118" t="s">
        <v>163</v>
      </c>
      <c r="B2118" t="s">
        <v>1026</v>
      </c>
      <c r="C2118" t="s">
        <v>47</v>
      </c>
      <c r="D2118" t="s">
        <v>328</v>
      </c>
      <c r="E2118">
        <v>0.08</v>
      </c>
      <c r="F2118">
        <v>235</v>
      </c>
      <c r="G2118">
        <v>18.8</v>
      </c>
    </row>
    <row r="2119" spans="1:7" x14ac:dyDescent="0.2">
      <c r="A2119" t="s">
        <v>163</v>
      </c>
      <c r="B2119" t="s">
        <v>1026</v>
      </c>
      <c r="C2119" t="s">
        <v>49</v>
      </c>
      <c r="D2119" t="s">
        <v>290</v>
      </c>
      <c r="E2119">
        <v>7.4999999999999997E-2</v>
      </c>
      <c r="F2119">
        <v>248</v>
      </c>
      <c r="G2119">
        <v>18.600000000000001</v>
      </c>
    </row>
    <row r="2120" spans="1:7" x14ac:dyDescent="0.2">
      <c r="A2120" t="s">
        <v>163</v>
      </c>
      <c r="B2120" t="s">
        <v>1026</v>
      </c>
      <c r="C2120" t="s">
        <v>19</v>
      </c>
      <c r="D2120" t="s">
        <v>329</v>
      </c>
      <c r="E2120">
        <v>1</v>
      </c>
      <c r="F2120">
        <v>2.9</v>
      </c>
      <c r="G2120">
        <v>2.9</v>
      </c>
    </row>
    <row r="2121" spans="1:7" x14ac:dyDescent="0.2">
      <c r="A2121" t="s">
        <v>163</v>
      </c>
      <c r="B2121" t="s">
        <v>1026</v>
      </c>
      <c r="C2121" t="s">
        <v>20</v>
      </c>
      <c r="D2121" t="s">
        <v>330</v>
      </c>
      <c r="E2121">
        <v>1</v>
      </c>
      <c r="F2121">
        <v>2.9</v>
      </c>
      <c r="G2121">
        <v>2.9</v>
      </c>
    </row>
    <row r="2122" spans="1:7" x14ac:dyDescent="0.2">
      <c r="A2122" t="s">
        <v>163</v>
      </c>
      <c r="B2122" t="s">
        <v>1026</v>
      </c>
      <c r="C2122" t="s">
        <v>22</v>
      </c>
      <c r="D2122" t="s">
        <v>331</v>
      </c>
      <c r="E2122">
        <v>2</v>
      </c>
      <c r="F2122">
        <v>2.5</v>
      </c>
      <c r="G2122">
        <v>5</v>
      </c>
    </row>
    <row r="2123" spans="1:7" x14ac:dyDescent="0.2">
      <c r="A2123" t="s">
        <v>163</v>
      </c>
      <c r="B2123" t="s">
        <v>1026</v>
      </c>
      <c r="C2123" t="s">
        <v>29</v>
      </c>
      <c r="D2123" t="s">
        <v>292</v>
      </c>
      <c r="E2123">
        <v>0.35</v>
      </c>
      <c r="F2123">
        <v>27</v>
      </c>
      <c r="G2123">
        <v>9.4499999999999993</v>
      </c>
    </row>
    <row r="2124" spans="1:7" x14ac:dyDescent="0.2">
      <c r="A2124" t="s">
        <v>163</v>
      </c>
      <c r="B2124" t="s">
        <v>1026</v>
      </c>
      <c r="C2124" t="s">
        <v>30</v>
      </c>
      <c r="D2124" t="s">
        <v>332</v>
      </c>
      <c r="E2124">
        <v>1</v>
      </c>
      <c r="F2124">
        <v>6</v>
      </c>
      <c r="G2124">
        <v>6</v>
      </c>
    </row>
    <row r="2125" spans="1:7" x14ac:dyDescent="0.2">
      <c r="A2125" t="s">
        <v>163</v>
      </c>
      <c r="B2125" t="s">
        <v>1026</v>
      </c>
      <c r="C2125" t="s">
        <v>101</v>
      </c>
      <c r="D2125" t="s">
        <v>333</v>
      </c>
      <c r="E2125">
        <v>0.18</v>
      </c>
      <c r="F2125">
        <v>1200</v>
      </c>
      <c r="G2125">
        <v>216</v>
      </c>
    </row>
    <row r="2126" spans="1:7" x14ac:dyDescent="0.2">
      <c r="A2126" t="s">
        <v>163</v>
      </c>
      <c r="B2126" t="s">
        <v>1026</v>
      </c>
      <c r="C2126" t="s">
        <v>121</v>
      </c>
      <c r="D2126" t="s">
        <v>301</v>
      </c>
      <c r="E2126">
        <v>1</v>
      </c>
      <c r="F2126">
        <v>0.95</v>
      </c>
      <c r="G2126">
        <v>0.95</v>
      </c>
    </row>
    <row r="2127" spans="1:7" x14ac:dyDescent="0.2">
      <c r="A2127" t="s">
        <v>163</v>
      </c>
      <c r="B2127" t="s">
        <v>1026</v>
      </c>
      <c r="C2127" t="s">
        <v>122</v>
      </c>
      <c r="D2127" t="s">
        <v>302</v>
      </c>
      <c r="E2127">
        <v>1</v>
      </c>
      <c r="F2127">
        <v>4.2</v>
      </c>
      <c r="G2127">
        <v>4.2</v>
      </c>
    </row>
    <row r="2128" spans="1:7" x14ac:dyDescent="0.2">
      <c r="A2128" t="s">
        <v>163</v>
      </c>
      <c r="B2128" t="s">
        <v>1026</v>
      </c>
      <c r="C2128" t="s">
        <v>4</v>
      </c>
      <c r="D2128" t="s">
        <v>304</v>
      </c>
      <c r="E2128">
        <v>2.2000000000000002</v>
      </c>
      <c r="F2128">
        <v>10.1</v>
      </c>
      <c r="G2128">
        <v>22.22</v>
      </c>
    </row>
    <row r="2129" spans="1:7" x14ac:dyDescent="0.2">
      <c r="A2129" t="s">
        <v>163</v>
      </c>
      <c r="B2129" t="s">
        <v>1026</v>
      </c>
      <c r="C2129" t="s">
        <v>105</v>
      </c>
      <c r="D2129" t="s">
        <v>313</v>
      </c>
      <c r="E2129">
        <v>20</v>
      </c>
      <c r="F2129">
        <v>0.1</v>
      </c>
      <c r="G2129">
        <v>2</v>
      </c>
    </row>
    <row r="2130" spans="1:7" x14ac:dyDescent="0.2">
      <c r="A2130" t="s">
        <v>163</v>
      </c>
      <c r="B2130" t="s">
        <v>1026</v>
      </c>
      <c r="C2130" t="s">
        <v>114</v>
      </c>
      <c r="D2130" t="s">
        <v>350</v>
      </c>
      <c r="E2130">
        <v>100</v>
      </c>
      <c r="F2130">
        <v>0.1</v>
      </c>
      <c r="G2130">
        <v>10</v>
      </c>
    </row>
    <row r="2131" spans="1:7" x14ac:dyDescent="0.2">
      <c r="A2131" t="s">
        <v>163</v>
      </c>
      <c r="B2131" t="s">
        <v>1026</v>
      </c>
      <c r="C2131" t="s">
        <v>116</v>
      </c>
      <c r="D2131" t="s">
        <v>373</v>
      </c>
      <c r="E2131">
        <v>80</v>
      </c>
      <c r="F2131">
        <v>0.1</v>
      </c>
      <c r="G2131">
        <v>8</v>
      </c>
    </row>
    <row r="2132" spans="1:7" x14ac:dyDescent="0.2">
      <c r="A2132" t="s">
        <v>164</v>
      </c>
      <c r="B2132" t="s">
        <v>1027</v>
      </c>
      <c r="C2132" t="s">
        <v>94</v>
      </c>
      <c r="D2132" t="s">
        <v>280</v>
      </c>
      <c r="E2132">
        <v>1</v>
      </c>
      <c r="F2132">
        <v>3.5</v>
      </c>
      <c r="G2132">
        <v>3.5</v>
      </c>
    </row>
    <row r="2133" spans="1:7" x14ac:dyDescent="0.2">
      <c r="A2133" t="s">
        <v>164</v>
      </c>
      <c r="B2133" t="s">
        <v>1027</v>
      </c>
      <c r="C2133" t="s">
        <v>95</v>
      </c>
      <c r="D2133" t="s">
        <v>281</v>
      </c>
      <c r="E2133">
        <v>1</v>
      </c>
      <c r="F2133">
        <v>2</v>
      </c>
      <c r="G2133">
        <v>2</v>
      </c>
    </row>
    <row r="2134" spans="1:7" x14ac:dyDescent="0.2">
      <c r="A2134" t="s">
        <v>164</v>
      </c>
      <c r="B2134" t="s">
        <v>1027</v>
      </c>
      <c r="C2134" t="s">
        <v>44</v>
      </c>
      <c r="D2134" t="s">
        <v>324</v>
      </c>
      <c r="E2134">
        <v>0.3</v>
      </c>
      <c r="F2134">
        <v>65</v>
      </c>
      <c r="G2134">
        <v>19.5</v>
      </c>
    </row>
    <row r="2135" spans="1:7" x14ac:dyDescent="0.2">
      <c r="A2135" t="s">
        <v>164</v>
      </c>
      <c r="B2135" t="s">
        <v>1027</v>
      </c>
      <c r="C2135" t="s">
        <v>55</v>
      </c>
      <c r="D2135" t="s">
        <v>371</v>
      </c>
      <c r="E2135">
        <v>0.9</v>
      </c>
      <c r="F2135">
        <v>120</v>
      </c>
      <c r="G2135">
        <v>108</v>
      </c>
    </row>
    <row r="2136" spans="1:7" x14ac:dyDescent="0.2">
      <c r="A2136" t="s">
        <v>164</v>
      </c>
      <c r="B2136" t="s">
        <v>1027</v>
      </c>
      <c r="C2136" t="s">
        <v>70</v>
      </c>
      <c r="D2136" t="s">
        <v>342</v>
      </c>
      <c r="E2136">
        <v>0.19</v>
      </c>
      <c r="F2136">
        <v>145</v>
      </c>
      <c r="G2136">
        <v>27.55</v>
      </c>
    </row>
    <row r="2137" spans="1:7" x14ac:dyDescent="0.2">
      <c r="A2137" t="s">
        <v>164</v>
      </c>
      <c r="B2137" t="s">
        <v>1027</v>
      </c>
      <c r="C2137" t="s">
        <v>87</v>
      </c>
      <c r="D2137" t="s">
        <v>348</v>
      </c>
      <c r="E2137">
        <v>0.75</v>
      </c>
      <c r="F2137">
        <v>190</v>
      </c>
      <c r="G2137">
        <v>142.5</v>
      </c>
    </row>
    <row r="2138" spans="1:7" x14ac:dyDescent="0.2">
      <c r="A2138" t="s">
        <v>164</v>
      </c>
      <c r="B2138" t="s">
        <v>1027</v>
      </c>
      <c r="C2138" t="s">
        <v>93</v>
      </c>
      <c r="D2138" t="s">
        <v>327</v>
      </c>
      <c r="E2138">
        <v>0.125</v>
      </c>
      <c r="F2138">
        <v>70</v>
      </c>
      <c r="G2138">
        <v>8.75</v>
      </c>
    </row>
    <row r="2139" spans="1:7" x14ac:dyDescent="0.2">
      <c r="A2139" t="s">
        <v>164</v>
      </c>
      <c r="B2139" t="s">
        <v>1027</v>
      </c>
      <c r="C2139" t="s">
        <v>47</v>
      </c>
      <c r="D2139" t="s">
        <v>328</v>
      </c>
      <c r="E2139">
        <v>0.08</v>
      </c>
      <c r="F2139">
        <v>235</v>
      </c>
      <c r="G2139">
        <v>18.8</v>
      </c>
    </row>
    <row r="2140" spans="1:7" x14ac:dyDescent="0.2">
      <c r="A2140" t="s">
        <v>164</v>
      </c>
      <c r="B2140" t="s">
        <v>1027</v>
      </c>
      <c r="C2140" t="s">
        <v>49</v>
      </c>
      <c r="D2140" t="s">
        <v>290</v>
      </c>
      <c r="E2140">
        <v>7.4999999999999997E-2</v>
      </c>
      <c r="F2140">
        <v>248</v>
      </c>
      <c r="G2140">
        <v>18.600000000000001</v>
      </c>
    </row>
    <row r="2141" spans="1:7" x14ac:dyDescent="0.2">
      <c r="A2141" t="s">
        <v>164</v>
      </c>
      <c r="B2141" t="s">
        <v>1027</v>
      </c>
      <c r="C2141" t="s">
        <v>19</v>
      </c>
      <c r="D2141" t="s">
        <v>329</v>
      </c>
      <c r="E2141">
        <v>1</v>
      </c>
      <c r="F2141">
        <v>2.9</v>
      </c>
      <c r="G2141">
        <v>2.9</v>
      </c>
    </row>
    <row r="2142" spans="1:7" x14ac:dyDescent="0.2">
      <c r="A2142" t="s">
        <v>164</v>
      </c>
      <c r="B2142" t="s">
        <v>1027</v>
      </c>
      <c r="C2142" t="s">
        <v>20</v>
      </c>
      <c r="D2142" t="s">
        <v>330</v>
      </c>
      <c r="E2142">
        <v>1</v>
      </c>
      <c r="F2142">
        <v>2.9</v>
      </c>
      <c r="G2142">
        <v>2.9</v>
      </c>
    </row>
    <row r="2143" spans="1:7" x14ac:dyDescent="0.2">
      <c r="A2143" t="s">
        <v>164</v>
      </c>
      <c r="B2143" t="s">
        <v>1027</v>
      </c>
      <c r="C2143" t="s">
        <v>22</v>
      </c>
      <c r="D2143" t="s">
        <v>331</v>
      </c>
      <c r="E2143">
        <v>2</v>
      </c>
      <c r="F2143">
        <v>2.5</v>
      </c>
      <c r="G2143">
        <v>5</v>
      </c>
    </row>
    <row r="2144" spans="1:7" x14ac:dyDescent="0.2">
      <c r="A2144" t="s">
        <v>164</v>
      </c>
      <c r="B2144" t="s">
        <v>1027</v>
      </c>
      <c r="C2144" t="s">
        <v>29</v>
      </c>
      <c r="D2144" t="s">
        <v>292</v>
      </c>
      <c r="E2144">
        <v>0.35</v>
      </c>
      <c r="F2144">
        <v>27</v>
      </c>
      <c r="G2144">
        <v>9.4499999999999993</v>
      </c>
    </row>
    <row r="2145" spans="1:7" x14ac:dyDescent="0.2">
      <c r="A2145" t="s">
        <v>164</v>
      </c>
      <c r="B2145" t="s">
        <v>1027</v>
      </c>
      <c r="C2145" t="s">
        <v>30</v>
      </c>
      <c r="D2145" t="s">
        <v>332</v>
      </c>
      <c r="E2145">
        <v>1</v>
      </c>
      <c r="F2145">
        <v>6</v>
      </c>
      <c r="G2145">
        <v>6</v>
      </c>
    </row>
    <row r="2146" spans="1:7" x14ac:dyDescent="0.2">
      <c r="A2146" t="s">
        <v>164</v>
      </c>
      <c r="B2146" t="s">
        <v>1027</v>
      </c>
      <c r="C2146" t="s">
        <v>103</v>
      </c>
      <c r="D2146" t="s">
        <v>349</v>
      </c>
      <c r="E2146">
        <v>0.18</v>
      </c>
      <c r="F2146">
        <v>890</v>
      </c>
      <c r="G2146">
        <v>160.19999999999999</v>
      </c>
    </row>
    <row r="2147" spans="1:7" x14ac:dyDescent="0.2">
      <c r="A2147" t="s">
        <v>164</v>
      </c>
      <c r="B2147" t="s">
        <v>1027</v>
      </c>
      <c r="C2147" t="s">
        <v>121</v>
      </c>
      <c r="D2147" t="s">
        <v>301</v>
      </c>
      <c r="E2147">
        <v>1</v>
      </c>
      <c r="F2147">
        <v>0.95</v>
      </c>
      <c r="G2147">
        <v>0.95</v>
      </c>
    </row>
    <row r="2148" spans="1:7" x14ac:dyDescent="0.2">
      <c r="A2148" t="s">
        <v>164</v>
      </c>
      <c r="B2148" t="s">
        <v>1027</v>
      </c>
      <c r="C2148" t="s">
        <v>122</v>
      </c>
      <c r="D2148" t="s">
        <v>302</v>
      </c>
      <c r="E2148">
        <v>1</v>
      </c>
      <c r="F2148">
        <v>4.2</v>
      </c>
      <c r="G2148">
        <v>4.2</v>
      </c>
    </row>
    <row r="2149" spans="1:7" x14ac:dyDescent="0.2">
      <c r="A2149" t="s">
        <v>164</v>
      </c>
      <c r="B2149" t="s">
        <v>1027</v>
      </c>
      <c r="C2149" t="s">
        <v>4</v>
      </c>
      <c r="D2149" t="s">
        <v>304</v>
      </c>
      <c r="E2149">
        <v>2.2000000000000002</v>
      </c>
      <c r="F2149">
        <v>10.1</v>
      </c>
      <c r="G2149">
        <v>22.22</v>
      </c>
    </row>
    <row r="2150" spans="1:7" x14ac:dyDescent="0.2">
      <c r="A2150" t="s">
        <v>164</v>
      </c>
      <c r="B2150" t="s">
        <v>1027</v>
      </c>
      <c r="C2150" t="s">
        <v>105</v>
      </c>
      <c r="D2150" t="s">
        <v>313</v>
      </c>
      <c r="E2150">
        <v>20</v>
      </c>
      <c r="F2150">
        <v>0.1</v>
      </c>
      <c r="G2150">
        <v>2</v>
      </c>
    </row>
    <row r="2151" spans="1:7" x14ac:dyDescent="0.2">
      <c r="A2151" t="s">
        <v>164</v>
      </c>
      <c r="B2151" t="s">
        <v>1027</v>
      </c>
      <c r="C2151" t="s">
        <v>111</v>
      </c>
      <c r="D2151" t="s">
        <v>320</v>
      </c>
      <c r="E2151">
        <v>80</v>
      </c>
      <c r="F2151">
        <v>0.1</v>
      </c>
      <c r="G2151">
        <v>8</v>
      </c>
    </row>
    <row r="2152" spans="1:7" x14ac:dyDescent="0.2">
      <c r="A2152" t="s">
        <v>164</v>
      </c>
      <c r="B2152" t="s">
        <v>1027</v>
      </c>
      <c r="C2152" t="s">
        <v>114</v>
      </c>
      <c r="D2152" t="s">
        <v>350</v>
      </c>
      <c r="E2152">
        <v>100</v>
      </c>
      <c r="F2152">
        <v>0.1</v>
      </c>
      <c r="G2152">
        <v>10</v>
      </c>
    </row>
    <row r="2153" spans="1:7" x14ac:dyDescent="0.2">
      <c r="A2153" t="s">
        <v>981</v>
      </c>
      <c r="B2153" t="s">
        <v>246</v>
      </c>
      <c r="C2153" t="s">
        <v>94</v>
      </c>
      <c r="D2153" t="s">
        <v>280</v>
      </c>
      <c r="E2153">
        <v>1</v>
      </c>
      <c r="F2153">
        <v>3.5</v>
      </c>
      <c r="G2153">
        <v>3.5</v>
      </c>
    </row>
    <row r="2154" spans="1:7" x14ac:dyDescent="0.2">
      <c r="A2154" t="s">
        <v>981</v>
      </c>
      <c r="B2154" t="s">
        <v>246</v>
      </c>
      <c r="C2154" t="s">
        <v>95</v>
      </c>
      <c r="D2154" t="s">
        <v>281</v>
      </c>
      <c r="E2154">
        <v>2</v>
      </c>
      <c r="F2154">
        <v>2</v>
      </c>
      <c r="G2154">
        <v>4</v>
      </c>
    </row>
    <row r="2155" spans="1:7" x14ac:dyDescent="0.2">
      <c r="A2155" t="s">
        <v>981</v>
      </c>
      <c r="B2155" t="s">
        <v>246</v>
      </c>
      <c r="C2155" t="s">
        <v>56</v>
      </c>
      <c r="D2155" t="s">
        <v>287</v>
      </c>
      <c r="E2155">
        <v>0.3</v>
      </c>
      <c r="F2155">
        <v>90</v>
      </c>
      <c r="G2155">
        <v>27</v>
      </c>
    </row>
    <row r="2156" spans="1:7" x14ac:dyDescent="0.2">
      <c r="A2156" t="s">
        <v>981</v>
      </c>
      <c r="B2156" t="s">
        <v>246</v>
      </c>
      <c r="C2156" t="s">
        <v>462</v>
      </c>
      <c r="D2156" t="s">
        <v>463</v>
      </c>
      <c r="E2156">
        <v>0.55000000000000004</v>
      </c>
      <c r="F2156">
        <v>90</v>
      </c>
      <c r="G2156">
        <v>49.5</v>
      </c>
    </row>
    <row r="2157" spans="1:7" x14ac:dyDescent="0.2">
      <c r="A2157" t="s">
        <v>981</v>
      </c>
      <c r="B2157" t="s">
        <v>246</v>
      </c>
      <c r="C2157" t="s">
        <v>58</v>
      </c>
      <c r="D2157" t="s">
        <v>365</v>
      </c>
      <c r="E2157">
        <v>1.1000000000000001</v>
      </c>
      <c r="F2157">
        <v>90</v>
      </c>
      <c r="G2157">
        <v>99</v>
      </c>
    </row>
    <row r="2158" spans="1:7" x14ac:dyDescent="0.2">
      <c r="A2158" t="s">
        <v>981</v>
      </c>
      <c r="B2158" t="s">
        <v>246</v>
      </c>
      <c r="C2158" t="s">
        <v>60</v>
      </c>
      <c r="D2158" t="s">
        <v>337</v>
      </c>
      <c r="E2158">
        <v>0.25</v>
      </c>
      <c r="F2158">
        <v>130</v>
      </c>
      <c r="G2158">
        <v>32.5</v>
      </c>
    </row>
    <row r="2159" spans="1:7" x14ac:dyDescent="0.2">
      <c r="A2159" t="s">
        <v>981</v>
      </c>
      <c r="B2159" t="s">
        <v>246</v>
      </c>
      <c r="C2159" t="s">
        <v>61</v>
      </c>
      <c r="D2159" t="s">
        <v>341</v>
      </c>
      <c r="E2159">
        <v>0.8</v>
      </c>
      <c r="F2159">
        <v>190</v>
      </c>
      <c r="G2159">
        <v>152</v>
      </c>
    </row>
    <row r="2160" spans="1:7" x14ac:dyDescent="0.2">
      <c r="A2160" t="s">
        <v>981</v>
      </c>
      <c r="B2160" t="s">
        <v>246</v>
      </c>
      <c r="C2160" t="s">
        <v>69</v>
      </c>
      <c r="D2160" t="s">
        <v>288</v>
      </c>
      <c r="E2160">
        <v>0.35</v>
      </c>
      <c r="F2160">
        <v>190</v>
      </c>
      <c r="G2160">
        <v>66.5</v>
      </c>
    </row>
    <row r="2161" spans="1:7" x14ac:dyDescent="0.2">
      <c r="A2161" t="s">
        <v>981</v>
      </c>
      <c r="B2161" t="s">
        <v>246</v>
      </c>
      <c r="C2161" t="s">
        <v>93</v>
      </c>
      <c r="D2161" t="s">
        <v>327</v>
      </c>
      <c r="E2161">
        <v>0.25</v>
      </c>
      <c r="F2161">
        <v>70</v>
      </c>
      <c r="G2161">
        <v>17.5</v>
      </c>
    </row>
    <row r="2162" spans="1:7" x14ac:dyDescent="0.2">
      <c r="A2162" t="s">
        <v>981</v>
      </c>
      <c r="B2162" t="s">
        <v>246</v>
      </c>
      <c r="C2162" t="s">
        <v>48</v>
      </c>
      <c r="D2162" t="s">
        <v>359</v>
      </c>
      <c r="E2162">
        <v>0.185</v>
      </c>
      <c r="F2162">
        <v>412</v>
      </c>
      <c r="G2162">
        <v>76.22</v>
      </c>
    </row>
    <row r="2163" spans="1:7" x14ac:dyDescent="0.2">
      <c r="A2163" t="s">
        <v>981</v>
      </c>
      <c r="B2163" t="s">
        <v>246</v>
      </c>
      <c r="C2163" t="s">
        <v>19</v>
      </c>
      <c r="D2163" t="s">
        <v>329</v>
      </c>
      <c r="E2163">
        <v>2</v>
      </c>
      <c r="F2163">
        <v>2.9</v>
      </c>
      <c r="G2163">
        <v>5.8</v>
      </c>
    </row>
    <row r="2164" spans="1:7" x14ac:dyDescent="0.2">
      <c r="A2164" t="s">
        <v>981</v>
      </c>
      <c r="B2164" t="s">
        <v>246</v>
      </c>
      <c r="C2164" t="s">
        <v>20</v>
      </c>
      <c r="D2164" t="s">
        <v>330</v>
      </c>
      <c r="E2164">
        <v>2</v>
      </c>
      <c r="F2164">
        <v>2.9</v>
      </c>
      <c r="G2164">
        <v>5.8</v>
      </c>
    </row>
    <row r="2165" spans="1:7" x14ac:dyDescent="0.2">
      <c r="A2165" t="s">
        <v>981</v>
      </c>
      <c r="B2165" t="s">
        <v>246</v>
      </c>
      <c r="C2165" t="s">
        <v>21</v>
      </c>
      <c r="D2165" t="s">
        <v>366</v>
      </c>
      <c r="E2165">
        <v>2</v>
      </c>
      <c r="F2165">
        <v>2</v>
      </c>
      <c r="G2165">
        <v>4</v>
      </c>
    </row>
    <row r="2166" spans="1:7" x14ac:dyDescent="0.2">
      <c r="A2166" t="s">
        <v>981</v>
      </c>
      <c r="B2166" t="s">
        <v>246</v>
      </c>
      <c r="C2166" t="s">
        <v>23</v>
      </c>
      <c r="D2166" t="s">
        <v>367</v>
      </c>
      <c r="E2166">
        <v>4</v>
      </c>
      <c r="F2166">
        <v>2.5</v>
      </c>
      <c r="G2166">
        <v>10</v>
      </c>
    </row>
    <row r="2167" spans="1:7" x14ac:dyDescent="0.2">
      <c r="A2167" t="s">
        <v>981</v>
      </c>
      <c r="B2167" t="s">
        <v>246</v>
      </c>
      <c r="C2167" t="s">
        <v>25</v>
      </c>
      <c r="D2167" t="s">
        <v>368</v>
      </c>
      <c r="E2167">
        <v>8</v>
      </c>
      <c r="F2167">
        <v>2</v>
      </c>
      <c r="G2167">
        <v>16</v>
      </c>
    </row>
    <row r="2168" spans="1:7" x14ac:dyDescent="0.2">
      <c r="A2168" t="s">
        <v>981</v>
      </c>
      <c r="B2168" t="s">
        <v>246</v>
      </c>
      <c r="C2168" t="s">
        <v>26</v>
      </c>
      <c r="D2168" t="s">
        <v>361</v>
      </c>
      <c r="E2168">
        <v>4</v>
      </c>
      <c r="F2168">
        <v>1.5</v>
      </c>
      <c r="G2168">
        <v>6</v>
      </c>
    </row>
    <row r="2169" spans="1:7" x14ac:dyDescent="0.2">
      <c r="A2169" t="s">
        <v>981</v>
      </c>
      <c r="B2169" t="s">
        <v>246</v>
      </c>
      <c r="C2169" t="s">
        <v>29</v>
      </c>
      <c r="D2169" t="s">
        <v>292</v>
      </c>
      <c r="E2169">
        <v>0.8</v>
      </c>
      <c r="F2169">
        <v>27</v>
      </c>
      <c r="G2169">
        <v>21.6</v>
      </c>
    </row>
    <row r="2170" spans="1:7" x14ac:dyDescent="0.2">
      <c r="A2170" t="s">
        <v>981</v>
      </c>
      <c r="B2170" t="s">
        <v>246</v>
      </c>
      <c r="C2170" t="s">
        <v>30</v>
      </c>
      <c r="D2170" t="s">
        <v>332</v>
      </c>
      <c r="E2170">
        <v>2</v>
      </c>
      <c r="F2170">
        <v>6</v>
      </c>
      <c r="G2170">
        <v>12</v>
      </c>
    </row>
    <row r="2171" spans="1:7" x14ac:dyDescent="0.2">
      <c r="A2171" t="s">
        <v>981</v>
      </c>
      <c r="B2171" t="s">
        <v>246</v>
      </c>
      <c r="C2171" t="s">
        <v>42</v>
      </c>
      <c r="D2171" t="s">
        <v>299</v>
      </c>
      <c r="E2171">
        <v>1</v>
      </c>
      <c r="F2171">
        <v>2.5</v>
      </c>
      <c r="G2171">
        <v>2.5</v>
      </c>
    </row>
    <row r="2172" spans="1:7" x14ac:dyDescent="0.2">
      <c r="A2172" t="s">
        <v>981</v>
      </c>
      <c r="B2172" t="s">
        <v>246</v>
      </c>
      <c r="C2172" t="s">
        <v>104</v>
      </c>
      <c r="D2172" t="s">
        <v>343</v>
      </c>
      <c r="E2172">
        <v>1.4999999999999999E-2</v>
      </c>
      <c r="F2172">
        <v>890</v>
      </c>
      <c r="G2172">
        <v>13.35</v>
      </c>
    </row>
    <row r="2173" spans="1:7" x14ac:dyDescent="0.2">
      <c r="A2173" t="s">
        <v>981</v>
      </c>
      <c r="B2173" t="s">
        <v>246</v>
      </c>
      <c r="C2173" t="s">
        <v>121</v>
      </c>
      <c r="D2173" t="s">
        <v>301</v>
      </c>
      <c r="E2173">
        <v>1</v>
      </c>
      <c r="F2173">
        <v>0.95</v>
      </c>
      <c r="G2173">
        <v>0.95</v>
      </c>
    </row>
    <row r="2174" spans="1:7" x14ac:dyDescent="0.2">
      <c r="A2174" t="s">
        <v>981</v>
      </c>
      <c r="B2174" t="s">
        <v>246</v>
      </c>
      <c r="C2174" t="s">
        <v>122</v>
      </c>
      <c r="D2174" t="s">
        <v>302</v>
      </c>
      <c r="E2174">
        <v>1</v>
      </c>
      <c r="F2174">
        <v>4.2</v>
      </c>
      <c r="G2174">
        <v>4.2</v>
      </c>
    </row>
    <row r="2175" spans="1:7" x14ac:dyDescent="0.2">
      <c r="A2175" t="s">
        <v>981</v>
      </c>
      <c r="B2175" t="s">
        <v>246</v>
      </c>
      <c r="C2175" t="s">
        <v>3</v>
      </c>
      <c r="D2175" t="s">
        <v>370</v>
      </c>
      <c r="E2175">
        <v>3.5</v>
      </c>
      <c r="F2175">
        <v>5</v>
      </c>
      <c r="G2175">
        <v>17.5</v>
      </c>
    </row>
    <row r="2176" spans="1:7" x14ac:dyDescent="0.2">
      <c r="A2176" t="s">
        <v>981</v>
      </c>
      <c r="B2176" t="s">
        <v>246</v>
      </c>
      <c r="C2176" t="s">
        <v>4</v>
      </c>
      <c r="D2176" t="s">
        <v>304</v>
      </c>
      <c r="E2176">
        <v>1.8</v>
      </c>
      <c r="F2176">
        <v>10.1</v>
      </c>
      <c r="G2176">
        <v>18.18</v>
      </c>
    </row>
    <row r="2177" spans="1:7" x14ac:dyDescent="0.2">
      <c r="A2177" t="s">
        <v>981</v>
      </c>
      <c r="B2177" t="s">
        <v>246</v>
      </c>
      <c r="C2177" t="s">
        <v>5</v>
      </c>
      <c r="D2177" t="s">
        <v>305</v>
      </c>
      <c r="E2177">
        <v>3</v>
      </c>
      <c r="F2177">
        <v>11.5</v>
      </c>
      <c r="G2177">
        <v>34.5</v>
      </c>
    </row>
    <row r="2178" spans="1:7" x14ac:dyDescent="0.2">
      <c r="A2178" t="s">
        <v>981</v>
      </c>
      <c r="B2178" t="s">
        <v>246</v>
      </c>
      <c r="C2178" t="s">
        <v>6</v>
      </c>
      <c r="D2178" t="s">
        <v>306</v>
      </c>
      <c r="E2178">
        <v>0.8</v>
      </c>
      <c r="F2178">
        <v>16.8</v>
      </c>
      <c r="G2178">
        <v>13.44</v>
      </c>
    </row>
    <row r="2179" spans="1:7" x14ac:dyDescent="0.2">
      <c r="A2179" t="s">
        <v>981</v>
      </c>
      <c r="B2179" t="s">
        <v>246</v>
      </c>
      <c r="C2179" t="s">
        <v>12</v>
      </c>
      <c r="D2179" t="s">
        <v>308</v>
      </c>
      <c r="E2179">
        <v>1.9</v>
      </c>
      <c r="F2179">
        <v>7</v>
      </c>
      <c r="G2179">
        <v>13.3</v>
      </c>
    </row>
    <row r="2180" spans="1:7" x14ac:dyDescent="0.2">
      <c r="A2180" t="s">
        <v>981</v>
      </c>
      <c r="B2180" t="s">
        <v>246</v>
      </c>
      <c r="C2180" t="s">
        <v>105</v>
      </c>
      <c r="D2180" t="s">
        <v>313</v>
      </c>
      <c r="E2180">
        <v>150</v>
      </c>
      <c r="F2180">
        <v>0.1</v>
      </c>
      <c r="G2180">
        <v>15</v>
      </c>
    </row>
    <row r="2181" spans="1:7" x14ac:dyDescent="0.2">
      <c r="A2181" t="s">
        <v>981</v>
      </c>
      <c r="B2181" t="s">
        <v>246</v>
      </c>
      <c r="C2181" t="s">
        <v>110</v>
      </c>
      <c r="D2181" t="s">
        <v>314</v>
      </c>
      <c r="E2181">
        <v>20</v>
      </c>
      <c r="F2181">
        <v>0.1</v>
      </c>
      <c r="G2181">
        <v>2</v>
      </c>
    </row>
    <row r="2182" spans="1:7" x14ac:dyDescent="0.2">
      <c r="A2182" t="s">
        <v>981</v>
      </c>
      <c r="B2182" t="s">
        <v>246</v>
      </c>
      <c r="C2182" t="s">
        <v>120</v>
      </c>
      <c r="D2182" t="s">
        <v>340</v>
      </c>
      <c r="E2182">
        <v>50</v>
      </c>
      <c r="F2182">
        <v>0.1</v>
      </c>
      <c r="G2182">
        <v>5</v>
      </c>
    </row>
    <row r="2183" spans="1:7" x14ac:dyDescent="0.2">
      <c r="A2183" t="s">
        <v>982</v>
      </c>
      <c r="B2183" t="s">
        <v>251</v>
      </c>
      <c r="C2183" t="s">
        <v>94</v>
      </c>
      <c r="D2183" t="s">
        <v>280</v>
      </c>
      <c r="E2183">
        <v>1</v>
      </c>
      <c r="F2183">
        <v>3.5</v>
      </c>
      <c r="G2183">
        <v>3.5</v>
      </c>
    </row>
    <row r="2184" spans="1:7" x14ac:dyDescent="0.2">
      <c r="A2184" t="s">
        <v>982</v>
      </c>
      <c r="B2184" t="s">
        <v>251</v>
      </c>
      <c r="C2184" t="s">
        <v>95</v>
      </c>
      <c r="D2184" t="s">
        <v>281</v>
      </c>
      <c r="E2184">
        <v>2</v>
      </c>
      <c r="F2184">
        <v>2</v>
      </c>
      <c r="G2184">
        <v>4</v>
      </c>
    </row>
    <row r="2185" spans="1:7" x14ac:dyDescent="0.2">
      <c r="A2185" t="s">
        <v>982</v>
      </c>
      <c r="B2185" t="s">
        <v>251</v>
      </c>
      <c r="C2185" t="s">
        <v>56</v>
      </c>
      <c r="D2185" t="s">
        <v>287</v>
      </c>
      <c r="E2185">
        <v>0.3</v>
      </c>
      <c r="F2185">
        <v>90</v>
      </c>
      <c r="G2185">
        <v>27</v>
      </c>
    </row>
    <row r="2186" spans="1:7" x14ac:dyDescent="0.2">
      <c r="A2186" t="s">
        <v>982</v>
      </c>
      <c r="B2186" t="s">
        <v>251</v>
      </c>
      <c r="C2186" t="s">
        <v>462</v>
      </c>
      <c r="D2186" t="s">
        <v>463</v>
      </c>
      <c r="E2186">
        <v>0.55000000000000004</v>
      </c>
      <c r="F2186">
        <v>90</v>
      </c>
      <c r="G2186">
        <v>49.5</v>
      </c>
    </row>
    <row r="2187" spans="1:7" x14ac:dyDescent="0.2">
      <c r="A2187" t="s">
        <v>982</v>
      </c>
      <c r="B2187" t="s">
        <v>251</v>
      </c>
      <c r="C2187" t="s">
        <v>58</v>
      </c>
      <c r="D2187" t="s">
        <v>365</v>
      </c>
      <c r="E2187">
        <v>1.1000000000000001</v>
      </c>
      <c r="F2187">
        <v>90</v>
      </c>
      <c r="G2187">
        <v>99</v>
      </c>
    </row>
    <row r="2188" spans="1:7" x14ac:dyDescent="0.2">
      <c r="A2188" t="s">
        <v>982</v>
      </c>
      <c r="B2188" t="s">
        <v>251</v>
      </c>
      <c r="C2188" t="s">
        <v>60</v>
      </c>
      <c r="D2188" t="s">
        <v>337</v>
      </c>
      <c r="E2188">
        <v>0.25</v>
      </c>
      <c r="F2188">
        <v>130</v>
      </c>
      <c r="G2188">
        <v>32.5</v>
      </c>
    </row>
    <row r="2189" spans="1:7" x14ac:dyDescent="0.2">
      <c r="A2189" t="s">
        <v>982</v>
      </c>
      <c r="B2189" t="s">
        <v>251</v>
      </c>
      <c r="C2189" t="s">
        <v>66</v>
      </c>
      <c r="D2189" t="s">
        <v>353</v>
      </c>
      <c r="E2189">
        <v>0.8</v>
      </c>
      <c r="F2189">
        <v>190</v>
      </c>
      <c r="G2189">
        <v>152</v>
      </c>
    </row>
    <row r="2190" spans="1:7" x14ac:dyDescent="0.2">
      <c r="A2190" t="s">
        <v>982</v>
      </c>
      <c r="B2190" t="s">
        <v>251</v>
      </c>
      <c r="C2190" t="s">
        <v>69</v>
      </c>
      <c r="D2190" t="s">
        <v>288</v>
      </c>
      <c r="E2190">
        <v>0.35</v>
      </c>
      <c r="F2190">
        <v>190</v>
      </c>
      <c r="G2190">
        <v>66.5</v>
      </c>
    </row>
    <row r="2191" spans="1:7" x14ac:dyDescent="0.2">
      <c r="A2191" t="s">
        <v>982</v>
      </c>
      <c r="B2191" t="s">
        <v>251</v>
      </c>
      <c r="C2191" t="s">
        <v>93</v>
      </c>
      <c r="D2191" t="s">
        <v>327</v>
      </c>
      <c r="E2191">
        <v>0.25</v>
      </c>
      <c r="F2191">
        <v>70</v>
      </c>
      <c r="G2191">
        <v>17.5</v>
      </c>
    </row>
    <row r="2192" spans="1:7" x14ac:dyDescent="0.2">
      <c r="A2192" t="s">
        <v>982</v>
      </c>
      <c r="B2192" t="s">
        <v>251</v>
      </c>
      <c r="C2192" t="s">
        <v>48</v>
      </c>
      <c r="D2192" t="s">
        <v>359</v>
      </c>
      <c r="E2192">
        <v>0.185</v>
      </c>
      <c r="F2192">
        <v>412</v>
      </c>
      <c r="G2192">
        <v>76.22</v>
      </c>
    </row>
    <row r="2193" spans="1:7" x14ac:dyDescent="0.2">
      <c r="A2193" t="s">
        <v>982</v>
      </c>
      <c r="B2193" t="s">
        <v>251</v>
      </c>
      <c r="C2193" t="s">
        <v>19</v>
      </c>
      <c r="D2193" t="s">
        <v>329</v>
      </c>
      <c r="E2193">
        <v>2</v>
      </c>
      <c r="F2193">
        <v>2.9</v>
      </c>
      <c r="G2193">
        <v>5.8</v>
      </c>
    </row>
    <row r="2194" spans="1:7" x14ac:dyDescent="0.2">
      <c r="A2194" t="s">
        <v>982</v>
      </c>
      <c r="B2194" t="s">
        <v>251</v>
      </c>
      <c r="C2194" t="s">
        <v>20</v>
      </c>
      <c r="D2194" t="s">
        <v>330</v>
      </c>
      <c r="E2194">
        <v>2</v>
      </c>
      <c r="F2194">
        <v>2.9</v>
      </c>
      <c r="G2194">
        <v>5.8</v>
      </c>
    </row>
    <row r="2195" spans="1:7" x14ac:dyDescent="0.2">
      <c r="A2195" t="s">
        <v>982</v>
      </c>
      <c r="B2195" t="s">
        <v>251</v>
      </c>
      <c r="C2195" t="s">
        <v>21</v>
      </c>
      <c r="D2195" t="s">
        <v>366</v>
      </c>
      <c r="E2195">
        <v>2</v>
      </c>
      <c r="F2195">
        <v>2</v>
      </c>
      <c r="G2195">
        <v>4</v>
      </c>
    </row>
    <row r="2196" spans="1:7" x14ac:dyDescent="0.2">
      <c r="A2196" t="s">
        <v>982</v>
      </c>
      <c r="B2196" t="s">
        <v>251</v>
      </c>
      <c r="C2196" t="s">
        <v>23</v>
      </c>
      <c r="D2196" t="s">
        <v>367</v>
      </c>
      <c r="E2196">
        <v>4</v>
      </c>
      <c r="F2196">
        <v>2.5</v>
      </c>
      <c r="G2196">
        <v>10</v>
      </c>
    </row>
    <row r="2197" spans="1:7" x14ac:dyDescent="0.2">
      <c r="A2197" t="s">
        <v>982</v>
      </c>
      <c r="B2197" t="s">
        <v>251</v>
      </c>
      <c r="C2197" t="s">
        <v>25</v>
      </c>
      <c r="D2197" t="s">
        <v>368</v>
      </c>
      <c r="E2197">
        <v>8</v>
      </c>
      <c r="F2197">
        <v>2</v>
      </c>
      <c r="G2197">
        <v>16</v>
      </c>
    </row>
    <row r="2198" spans="1:7" x14ac:dyDescent="0.2">
      <c r="A2198" t="s">
        <v>982</v>
      </c>
      <c r="B2198" t="s">
        <v>251</v>
      </c>
      <c r="C2198" t="s">
        <v>26</v>
      </c>
      <c r="D2198" t="s">
        <v>361</v>
      </c>
      <c r="E2198">
        <v>4</v>
      </c>
      <c r="F2198">
        <v>1.5</v>
      </c>
      <c r="G2198">
        <v>6</v>
      </c>
    </row>
    <row r="2199" spans="1:7" x14ac:dyDescent="0.2">
      <c r="A2199" t="s">
        <v>982</v>
      </c>
      <c r="B2199" t="s">
        <v>251</v>
      </c>
      <c r="C2199" t="s">
        <v>29</v>
      </c>
      <c r="D2199" t="s">
        <v>292</v>
      </c>
      <c r="E2199">
        <v>0.8</v>
      </c>
      <c r="F2199">
        <v>27</v>
      </c>
      <c r="G2199">
        <v>21.6</v>
      </c>
    </row>
    <row r="2200" spans="1:7" x14ac:dyDescent="0.2">
      <c r="A2200" t="s">
        <v>982</v>
      </c>
      <c r="B2200" t="s">
        <v>251</v>
      </c>
      <c r="C2200" t="s">
        <v>30</v>
      </c>
      <c r="D2200" t="s">
        <v>332</v>
      </c>
      <c r="E2200">
        <v>2</v>
      </c>
      <c r="F2200">
        <v>6</v>
      </c>
      <c r="G2200">
        <v>12</v>
      </c>
    </row>
    <row r="2201" spans="1:7" x14ac:dyDescent="0.2">
      <c r="A2201" t="s">
        <v>982</v>
      </c>
      <c r="B2201" t="s">
        <v>251</v>
      </c>
      <c r="C2201" t="s">
        <v>42</v>
      </c>
      <c r="D2201" t="s">
        <v>299</v>
      </c>
      <c r="E2201">
        <v>1</v>
      </c>
      <c r="F2201">
        <v>2.5</v>
      </c>
      <c r="G2201">
        <v>2.5</v>
      </c>
    </row>
    <row r="2202" spans="1:7" x14ac:dyDescent="0.2">
      <c r="A2202" t="s">
        <v>982</v>
      </c>
      <c r="B2202" t="s">
        <v>251</v>
      </c>
      <c r="C2202" t="s">
        <v>104</v>
      </c>
      <c r="D2202" t="s">
        <v>343</v>
      </c>
      <c r="E2202">
        <v>1.4999999999999999E-2</v>
      </c>
      <c r="F2202">
        <v>890</v>
      </c>
      <c r="G2202">
        <v>13.35</v>
      </c>
    </row>
    <row r="2203" spans="1:7" x14ac:dyDescent="0.2">
      <c r="A2203" t="s">
        <v>982</v>
      </c>
      <c r="B2203" t="s">
        <v>251</v>
      </c>
      <c r="C2203" t="s">
        <v>121</v>
      </c>
      <c r="D2203" t="s">
        <v>301</v>
      </c>
      <c r="E2203">
        <v>1</v>
      </c>
      <c r="F2203">
        <v>0.95</v>
      </c>
      <c r="G2203">
        <v>0.95</v>
      </c>
    </row>
    <row r="2204" spans="1:7" x14ac:dyDescent="0.2">
      <c r="A2204" t="s">
        <v>982</v>
      </c>
      <c r="B2204" t="s">
        <v>251</v>
      </c>
      <c r="C2204" t="s">
        <v>122</v>
      </c>
      <c r="D2204" t="s">
        <v>302</v>
      </c>
      <c r="E2204">
        <v>1</v>
      </c>
      <c r="F2204">
        <v>4.2</v>
      </c>
      <c r="G2204">
        <v>4.2</v>
      </c>
    </row>
    <row r="2205" spans="1:7" x14ac:dyDescent="0.2">
      <c r="A2205" t="s">
        <v>982</v>
      </c>
      <c r="B2205" t="s">
        <v>251</v>
      </c>
      <c r="C2205" t="s">
        <v>3</v>
      </c>
      <c r="D2205" t="s">
        <v>370</v>
      </c>
      <c r="E2205">
        <v>3.5</v>
      </c>
      <c r="F2205">
        <v>5</v>
      </c>
      <c r="G2205">
        <v>17.5</v>
      </c>
    </row>
    <row r="2206" spans="1:7" x14ac:dyDescent="0.2">
      <c r="A2206" t="s">
        <v>982</v>
      </c>
      <c r="B2206" t="s">
        <v>251</v>
      </c>
      <c r="C2206" t="s">
        <v>4</v>
      </c>
      <c r="D2206" t="s">
        <v>304</v>
      </c>
      <c r="E2206">
        <v>1.8</v>
      </c>
      <c r="F2206">
        <v>10.1</v>
      </c>
      <c r="G2206">
        <v>18.18</v>
      </c>
    </row>
    <row r="2207" spans="1:7" x14ac:dyDescent="0.2">
      <c r="A2207" t="s">
        <v>982</v>
      </c>
      <c r="B2207" t="s">
        <v>251</v>
      </c>
      <c r="C2207" t="s">
        <v>5</v>
      </c>
      <c r="D2207" t="s">
        <v>305</v>
      </c>
      <c r="E2207">
        <v>3</v>
      </c>
      <c r="F2207">
        <v>11.5</v>
      </c>
      <c r="G2207">
        <v>34.5</v>
      </c>
    </row>
    <row r="2208" spans="1:7" x14ac:dyDescent="0.2">
      <c r="A2208" t="s">
        <v>982</v>
      </c>
      <c r="B2208" t="s">
        <v>251</v>
      </c>
      <c r="C2208" t="s">
        <v>6</v>
      </c>
      <c r="D2208" t="s">
        <v>306</v>
      </c>
      <c r="E2208">
        <v>0.8</v>
      </c>
      <c r="F2208">
        <v>16.8</v>
      </c>
      <c r="G2208">
        <v>13.44</v>
      </c>
    </row>
    <row r="2209" spans="1:7" x14ac:dyDescent="0.2">
      <c r="A2209" t="s">
        <v>982</v>
      </c>
      <c r="B2209" t="s">
        <v>251</v>
      </c>
      <c r="C2209" t="s">
        <v>12</v>
      </c>
      <c r="D2209" t="s">
        <v>308</v>
      </c>
      <c r="E2209">
        <v>1.9</v>
      </c>
      <c r="F2209">
        <v>7</v>
      </c>
      <c r="G2209">
        <v>13.3</v>
      </c>
    </row>
    <row r="2210" spans="1:7" x14ac:dyDescent="0.2">
      <c r="A2210" t="s">
        <v>982</v>
      </c>
      <c r="B2210" t="s">
        <v>251</v>
      </c>
      <c r="C2210" t="s">
        <v>105</v>
      </c>
      <c r="D2210" t="s">
        <v>313</v>
      </c>
      <c r="E2210">
        <v>10</v>
      </c>
      <c r="F2210">
        <v>0.1</v>
      </c>
      <c r="G2210">
        <v>1</v>
      </c>
    </row>
    <row r="2211" spans="1:7" x14ac:dyDescent="0.2">
      <c r="A2211" t="s">
        <v>982</v>
      </c>
      <c r="B2211" t="s">
        <v>251</v>
      </c>
      <c r="C2211" t="s">
        <v>110</v>
      </c>
      <c r="D2211" t="s">
        <v>314</v>
      </c>
      <c r="E2211">
        <v>20</v>
      </c>
      <c r="F2211">
        <v>0.1</v>
      </c>
      <c r="G2211">
        <v>2</v>
      </c>
    </row>
    <row r="2212" spans="1:7" x14ac:dyDescent="0.2">
      <c r="A2212" t="s">
        <v>982</v>
      </c>
      <c r="B2212" t="s">
        <v>251</v>
      </c>
      <c r="C2212" t="s">
        <v>120</v>
      </c>
      <c r="D2212" t="s">
        <v>340</v>
      </c>
      <c r="E2212">
        <v>200</v>
      </c>
      <c r="F2212">
        <v>0.1</v>
      </c>
      <c r="G2212">
        <v>20</v>
      </c>
    </row>
    <row r="2213" spans="1:7" x14ac:dyDescent="0.2">
      <c r="A2213" t="s">
        <v>136</v>
      </c>
      <c r="B2213" t="s">
        <v>217</v>
      </c>
      <c r="C2213" t="s">
        <v>94</v>
      </c>
      <c r="D2213" t="s">
        <v>280</v>
      </c>
      <c r="E2213">
        <v>1</v>
      </c>
      <c r="F2213">
        <v>3.5</v>
      </c>
      <c r="G2213">
        <v>3.5</v>
      </c>
    </row>
    <row r="2214" spans="1:7" x14ac:dyDescent="0.2">
      <c r="A2214" t="s">
        <v>136</v>
      </c>
      <c r="B2214" t="s">
        <v>217</v>
      </c>
      <c r="C2214" t="s">
        <v>95</v>
      </c>
      <c r="D2214" t="s">
        <v>281</v>
      </c>
      <c r="E2214">
        <v>1</v>
      </c>
      <c r="F2214">
        <v>2</v>
      </c>
      <c r="G2214">
        <v>2</v>
      </c>
    </row>
    <row r="2215" spans="1:7" x14ac:dyDescent="0.2">
      <c r="A2215" t="s">
        <v>136</v>
      </c>
      <c r="B2215" t="s">
        <v>217</v>
      </c>
      <c r="C2215" t="s">
        <v>45</v>
      </c>
      <c r="D2215" t="s">
        <v>374</v>
      </c>
      <c r="E2215">
        <v>1.25</v>
      </c>
      <c r="F2215">
        <v>65</v>
      </c>
      <c r="G2215">
        <v>81.25</v>
      </c>
    </row>
    <row r="2216" spans="1:7" x14ac:dyDescent="0.2">
      <c r="A2216" t="s">
        <v>136</v>
      </c>
      <c r="B2216" t="s">
        <v>217</v>
      </c>
      <c r="C2216" t="s">
        <v>61</v>
      </c>
      <c r="D2216" t="s">
        <v>341</v>
      </c>
      <c r="E2216">
        <v>0.9</v>
      </c>
      <c r="F2216">
        <v>190</v>
      </c>
      <c r="G2216">
        <v>171</v>
      </c>
    </row>
    <row r="2217" spans="1:7" x14ac:dyDescent="0.2">
      <c r="A2217" t="s">
        <v>136</v>
      </c>
      <c r="B2217" t="s">
        <v>217</v>
      </c>
      <c r="C2217" t="s">
        <v>69</v>
      </c>
      <c r="D2217" t="s">
        <v>288</v>
      </c>
      <c r="E2217">
        <v>0.19</v>
      </c>
      <c r="F2217">
        <v>190</v>
      </c>
      <c r="G2217">
        <v>36.1</v>
      </c>
    </row>
    <row r="2218" spans="1:7" x14ac:dyDescent="0.2">
      <c r="A2218" t="s">
        <v>136</v>
      </c>
      <c r="B2218" t="s">
        <v>217</v>
      </c>
      <c r="C2218" t="s">
        <v>93</v>
      </c>
      <c r="D2218" t="s">
        <v>327</v>
      </c>
      <c r="E2218">
        <v>0.125</v>
      </c>
      <c r="F2218">
        <v>70</v>
      </c>
      <c r="G2218">
        <v>8.75</v>
      </c>
    </row>
    <row r="2219" spans="1:7" x14ac:dyDescent="0.2">
      <c r="A2219" t="s">
        <v>136</v>
      </c>
      <c r="B2219" t="s">
        <v>217</v>
      </c>
      <c r="C2219" t="s">
        <v>47</v>
      </c>
      <c r="D2219" t="s">
        <v>328</v>
      </c>
      <c r="E2219">
        <v>0.08</v>
      </c>
      <c r="F2219">
        <v>235</v>
      </c>
      <c r="G2219">
        <v>18.8</v>
      </c>
    </row>
    <row r="2220" spans="1:7" x14ac:dyDescent="0.2">
      <c r="A2220" t="s">
        <v>136</v>
      </c>
      <c r="B2220" t="s">
        <v>217</v>
      </c>
      <c r="C2220" t="s">
        <v>49</v>
      </c>
      <c r="D2220" t="s">
        <v>290</v>
      </c>
      <c r="E2220">
        <v>7.4999999999999997E-2</v>
      </c>
      <c r="F2220">
        <v>248</v>
      </c>
      <c r="G2220">
        <v>18.600000000000001</v>
      </c>
    </row>
    <row r="2221" spans="1:7" x14ac:dyDescent="0.2">
      <c r="A2221" t="s">
        <v>136</v>
      </c>
      <c r="B2221" t="s">
        <v>217</v>
      </c>
      <c r="C2221" t="s">
        <v>19</v>
      </c>
      <c r="D2221" t="s">
        <v>329</v>
      </c>
      <c r="E2221">
        <v>1</v>
      </c>
      <c r="F2221">
        <v>2.9</v>
      </c>
      <c r="G2221">
        <v>2.9</v>
      </c>
    </row>
    <row r="2222" spans="1:7" x14ac:dyDescent="0.2">
      <c r="A2222" t="s">
        <v>136</v>
      </c>
      <c r="B2222" t="s">
        <v>217</v>
      </c>
      <c r="C2222" t="s">
        <v>20</v>
      </c>
      <c r="D2222" t="s">
        <v>330</v>
      </c>
      <c r="E2222">
        <v>1</v>
      </c>
      <c r="F2222">
        <v>2.9</v>
      </c>
      <c r="G2222">
        <v>2.9</v>
      </c>
    </row>
    <row r="2223" spans="1:7" x14ac:dyDescent="0.2">
      <c r="A2223" t="s">
        <v>136</v>
      </c>
      <c r="B2223" t="s">
        <v>217</v>
      </c>
      <c r="C2223" t="s">
        <v>23</v>
      </c>
      <c r="D2223" t="s">
        <v>367</v>
      </c>
      <c r="E2223">
        <v>2</v>
      </c>
      <c r="F2223">
        <v>2.5</v>
      </c>
      <c r="G2223">
        <v>5</v>
      </c>
    </row>
    <row r="2224" spans="1:7" x14ac:dyDescent="0.2">
      <c r="A2224" t="s">
        <v>136</v>
      </c>
      <c r="B2224" t="s">
        <v>217</v>
      </c>
      <c r="C2224" t="s">
        <v>29</v>
      </c>
      <c r="D2224" t="s">
        <v>292</v>
      </c>
      <c r="E2224">
        <v>0.35</v>
      </c>
      <c r="F2224">
        <v>27</v>
      </c>
      <c r="G2224">
        <v>9.4499999999999993</v>
      </c>
    </row>
    <row r="2225" spans="1:7" x14ac:dyDescent="0.2">
      <c r="A2225" t="s">
        <v>136</v>
      </c>
      <c r="B2225" t="s">
        <v>217</v>
      </c>
      <c r="C2225" t="s">
        <v>30</v>
      </c>
      <c r="D2225" t="s">
        <v>332</v>
      </c>
      <c r="E2225">
        <v>1</v>
      </c>
      <c r="F2225">
        <v>6</v>
      </c>
      <c r="G2225">
        <v>6</v>
      </c>
    </row>
    <row r="2226" spans="1:7" x14ac:dyDescent="0.2">
      <c r="A2226" t="s">
        <v>136</v>
      </c>
      <c r="B2226" t="s">
        <v>217</v>
      </c>
      <c r="C2226" t="s">
        <v>104</v>
      </c>
      <c r="D2226" t="s">
        <v>343</v>
      </c>
      <c r="E2226">
        <v>1.4999999999999999E-2</v>
      </c>
      <c r="F2226">
        <v>890</v>
      </c>
      <c r="G2226">
        <v>13.35</v>
      </c>
    </row>
    <row r="2227" spans="1:7" x14ac:dyDescent="0.2">
      <c r="A2227" t="s">
        <v>136</v>
      </c>
      <c r="B2227" t="s">
        <v>217</v>
      </c>
      <c r="C2227" t="s">
        <v>121</v>
      </c>
      <c r="D2227" t="s">
        <v>301</v>
      </c>
      <c r="E2227">
        <v>1</v>
      </c>
      <c r="F2227">
        <v>0.95</v>
      </c>
      <c r="G2227">
        <v>0.95</v>
      </c>
    </row>
    <row r="2228" spans="1:7" x14ac:dyDescent="0.2">
      <c r="A2228" t="s">
        <v>136</v>
      </c>
      <c r="B2228" t="s">
        <v>217</v>
      </c>
      <c r="C2228" t="s">
        <v>122</v>
      </c>
      <c r="D2228" t="s">
        <v>302</v>
      </c>
      <c r="E2228">
        <v>1</v>
      </c>
      <c r="F2228">
        <v>4.2</v>
      </c>
      <c r="G2228">
        <v>4.2</v>
      </c>
    </row>
    <row r="2229" spans="1:7" x14ac:dyDescent="0.2">
      <c r="A2229" t="s">
        <v>136</v>
      </c>
      <c r="B2229" t="s">
        <v>217</v>
      </c>
      <c r="C2229" t="s">
        <v>4</v>
      </c>
      <c r="D2229" t="s">
        <v>304</v>
      </c>
      <c r="E2229">
        <v>1.65</v>
      </c>
      <c r="F2229">
        <v>10.1</v>
      </c>
      <c r="G2229">
        <v>16.664999999999999</v>
      </c>
    </row>
    <row r="2230" spans="1:7" x14ac:dyDescent="0.2">
      <c r="A2230" t="s">
        <v>136</v>
      </c>
      <c r="B2230" t="s">
        <v>217</v>
      </c>
      <c r="C2230" t="s">
        <v>5</v>
      </c>
      <c r="D2230" t="s">
        <v>305</v>
      </c>
      <c r="E2230">
        <v>2.6</v>
      </c>
      <c r="F2230">
        <v>11.5</v>
      </c>
      <c r="G2230">
        <v>29.9</v>
      </c>
    </row>
    <row r="2231" spans="1:7" x14ac:dyDescent="0.2">
      <c r="A2231" t="s">
        <v>136</v>
      </c>
      <c r="B2231" t="s">
        <v>217</v>
      </c>
      <c r="C2231" t="s">
        <v>8</v>
      </c>
      <c r="D2231" t="s">
        <v>375</v>
      </c>
      <c r="E2231">
        <v>1.6</v>
      </c>
      <c r="F2231">
        <v>3.7</v>
      </c>
      <c r="G2231">
        <v>5.92</v>
      </c>
    </row>
    <row r="2232" spans="1:7" x14ac:dyDescent="0.2">
      <c r="A2232" t="s">
        <v>136</v>
      </c>
      <c r="B2232" t="s">
        <v>217</v>
      </c>
      <c r="C2232" t="s">
        <v>105</v>
      </c>
      <c r="D2232" t="s">
        <v>313</v>
      </c>
      <c r="E2232">
        <v>100</v>
      </c>
      <c r="F2232">
        <v>0.1</v>
      </c>
      <c r="G2232">
        <v>10</v>
      </c>
    </row>
    <row r="2233" spans="1:7" x14ac:dyDescent="0.2">
      <c r="A2233" t="s">
        <v>136</v>
      </c>
      <c r="B2233" t="s">
        <v>217</v>
      </c>
      <c r="C2233" t="s">
        <v>108</v>
      </c>
      <c r="D2233" t="s">
        <v>323</v>
      </c>
      <c r="E2233">
        <v>20</v>
      </c>
      <c r="F2233">
        <v>0.1</v>
      </c>
      <c r="G2233">
        <v>2</v>
      </c>
    </row>
    <row r="2234" spans="1:7" x14ac:dyDescent="0.2">
      <c r="A2234" t="s">
        <v>137</v>
      </c>
      <c r="B2234" t="s">
        <v>215</v>
      </c>
      <c r="C2234" t="s">
        <v>94</v>
      </c>
      <c r="D2234" t="s">
        <v>280</v>
      </c>
      <c r="E2234">
        <v>1</v>
      </c>
      <c r="F2234">
        <v>3.5</v>
      </c>
      <c r="G2234">
        <v>3.5</v>
      </c>
    </row>
    <row r="2235" spans="1:7" x14ac:dyDescent="0.2">
      <c r="A2235" t="s">
        <v>137</v>
      </c>
      <c r="B2235" t="s">
        <v>215</v>
      </c>
      <c r="C2235" t="s">
        <v>95</v>
      </c>
      <c r="D2235" t="s">
        <v>281</v>
      </c>
      <c r="E2235">
        <v>1</v>
      </c>
      <c r="F2235">
        <v>2</v>
      </c>
      <c r="G2235">
        <v>2</v>
      </c>
    </row>
    <row r="2236" spans="1:7" x14ac:dyDescent="0.2">
      <c r="A2236" t="s">
        <v>137</v>
      </c>
      <c r="B2236" t="s">
        <v>215</v>
      </c>
      <c r="C2236" t="s">
        <v>45</v>
      </c>
      <c r="D2236" t="s">
        <v>374</v>
      </c>
      <c r="E2236">
        <v>1.25</v>
      </c>
      <c r="F2236">
        <v>65</v>
      </c>
      <c r="G2236">
        <v>81.25</v>
      </c>
    </row>
    <row r="2237" spans="1:7" x14ac:dyDescent="0.2">
      <c r="A2237" t="s">
        <v>137</v>
      </c>
      <c r="B2237" t="s">
        <v>215</v>
      </c>
      <c r="C2237" t="s">
        <v>61</v>
      </c>
      <c r="D2237" t="s">
        <v>341</v>
      </c>
      <c r="E2237">
        <v>0.14000000000000001</v>
      </c>
      <c r="F2237">
        <v>190</v>
      </c>
      <c r="G2237">
        <v>26.6</v>
      </c>
    </row>
    <row r="2238" spans="1:7" x14ac:dyDescent="0.2">
      <c r="A2238" t="s">
        <v>137</v>
      </c>
      <c r="B2238" t="s">
        <v>215</v>
      </c>
      <c r="C2238" t="s">
        <v>69</v>
      </c>
      <c r="D2238" t="s">
        <v>288</v>
      </c>
      <c r="E2238">
        <v>0.19</v>
      </c>
      <c r="F2238">
        <v>190</v>
      </c>
      <c r="G2238">
        <v>36.1</v>
      </c>
    </row>
    <row r="2239" spans="1:7" x14ac:dyDescent="0.2">
      <c r="A2239" t="s">
        <v>137</v>
      </c>
      <c r="B2239" t="s">
        <v>215</v>
      </c>
      <c r="C2239" t="s">
        <v>76</v>
      </c>
      <c r="D2239" t="s">
        <v>376</v>
      </c>
      <c r="E2239">
        <v>0.75</v>
      </c>
      <c r="F2239">
        <v>145</v>
      </c>
      <c r="G2239">
        <v>108.75</v>
      </c>
    </row>
    <row r="2240" spans="1:7" x14ac:dyDescent="0.2">
      <c r="A2240" t="s">
        <v>137</v>
      </c>
      <c r="B2240" t="s">
        <v>215</v>
      </c>
      <c r="C2240" t="s">
        <v>93</v>
      </c>
      <c r="D2240" t="s">
        <v>327</v>
      </c>
      <c r="E2240">
        <v>0.125</v>
      </c>
      <c r="F2240">
        <v>70</v>
      </c>
      <c r="G2240">
        <v>8.75</v>
      </c>
    </row>
    <row r="2241" spans="1:7" x14ac:dyDescent="0.2">
      <c r="A2241" t="s">
        <v>137</v>
      </c>
      <c r="B2241" t="s">
        <v>215</v>
      </c>
      <c r="C2241" t="s">
        <v>47</v>
      </c>
      <c r="D2241" t="s">
        <v>328</v>
      </c>
      <c r="E2241">
        <v>0.08</v>
      </c>
      <c r="F2241">
        <v>235</v>
      </c>
      <c r="G2241">
        <v>18.8</v>
      </c>
    </row>
    <row r="2242" spans="1:7" x14ac:dyDescent="0.2">
      <c r="A2242" t="s">
        <v>137</v>
      </c>
      <c r="B2242" t="s">
        <v>215</v>
      </c>
      <c r="C2242" t="s">
        <v>49</v>
      </c>
      <c r="D2242" t="s">
        <v>290</v>
      </c>
      <c r="E2242">
        <v>7.4999999999999997E-2</v>
      </c>
      <c r="F2242">
        <v>248</v>
      </c>
      <c r="G2242">
        <v>18.600000000000001</v>
      </c>
    </row>
    <row r="2243" spans="1:7" x14ac:dyDescent="0.2">
      <c r="A2243" t="s">
        <v>137</v>
      </c>
      <c r="B2243" t="s">
        <v>215</v>
      </c>
      <c r="C2243" t="s">
        <v>19</v>
      </c>
      <c r="D2243" t="s">
        <v>329</v>
      </c>
      <c r="E2243">
        <v>1</v>
      </c>
      <c r="F2243">
        <v>2.9</v>
      </c>
      <c r="G2243">
        <v>2.9</v>
      </c>
    </row>
    <row r="2244" spans="1:7" x14ac:dyDescent="0.2">
      <c r="A2244" t="s">
        <v>137</v>
      </c>
      <c r="B2244" t="s">
        <v>215</v>
      </c>
      <c r="C2244" t="s">
        <v>20</v>
      </c>
      <c r="D2244" t="s">
        <v>330</v>
      </c>
      <c r="E2244">
        <v>1</v>
      </c>
      <c r="F2244">
        <v>2.9</v>
      </c>
      <c r="G2244">
        <v>2.9</v>
      </c>
    </row>
    <row r="2245" spans="1:7" x14ac:dyDescent="0.2">
      <c r="A2245" t="s">
        <v>137</v>
      </c>
      <c r="B2245" t="s">
        <v>215</v>
      </c>
      <c r="C2245" t="s">
        <v>23</v>
      </c>
      <c r="D2245" t="s">
        <v>367</v>
      </c>
      <c r="E2245">
        <v>2</v>
      </c>
      <c r="F2245">
        <v>2.5</v>
      </c>
      <c r="G2245">
        <v>5</v>
      </c>
    </row>
    <row r="2246" spans="1:7" x14ac:dyDescent="0.2">
      <c r="A2246" t="s">
        <v>137</v>
      </c>
      <c r="B2246" t="s">
        <v>215</v>
      </c>
      <c r="C2246" t="s">
        <v>29</v>
      </c>
      <c r="D2246" t="s">
        <v>292</v>
      </c>
      <c r="E2246">
        <v>0.35</v>
      </c>
      <c r="F2246">
        <v>27</v>
      </c>
      <c r="G2246">
        <v>9.4499999999999993</v>
      </c>
    </row>
    <row r="2247" spans="1:7" x14ac:dyDescent="0.2">
      <c r="A2247" t="s">
        <v>137</v>
      </c>
      <c r="B2247" t="s">
        <v>215</v>
      </c>
      <c r="C2247" t="s">
        <v>30</v>
      </c>
      <c r="D2247" t="s">
        <v>332</v>
      </c>
      <c r="E2247">
        <v>1</v>
      </c>
      <c r="F2247">
        <v>6</v>
      </c>
      <c r="G2247">
        <v>6</v>
      </c>
    </row>
    <row r="2248" spans="1:7" x14ac:dyDescent="0.2">
      <c r="A2248" t="s">
        <v>137</v>
      </c>
      <c r="B2248" t="s">
        <v>215</v>
      </c>
      <c r="C2248" t="s">
        <v>104</v>
      </c>
      <c r="D2248" t="s">
        <v>343</v>
      </c>
      <c r="E2248">
        <v>1.4999999999999999E-2</v>
      </c>
      <c r="F2248">
        <v>890</v>
      </c>
      <c r="G2248">
        <v>13.35</v>
      </c>
    </row>
    <row r="2249" spans="1:7" x14ac:dyDescent="0.2">
      <c r="A2249" t="s">
        <v>137</v>
      </c>
      <c r="B2249" t="s">
        <v>215</v>
      </c>
      <c r="C2249" t="s">
        <v>121</v>
      </c>
      <c r="D2249" t="s">
        <v>301</v>
      </c>
      <c r="E2249">
        <v>1</v>
      </c>
      <c r="F2249">
        <v>0.95</v>
      </c>
      <c r="G2249">
        <v>0.95</v>
      </c>
    </row>
    <row r="2250" spans="1:7" x14ac:dyDescent="0.2">
      <c r="A2250" t="s">
        <v>137</v>
      </c>
      <c r="B2250" t="s">
        <v>215</v>
      </c>
      <c r="C2250" t="s">
        <v>122</v>
      </c>
      <c r="D2250" t="s">
        <v>302</v>
      </c>
      <c r="E2250">
        <v>1</v>
      </c>
      <c r="F2250">
        <v>4.2</v>
      </c>
      <c r="G2250">
        <v>4.2</v>
      </c>
    </row>
    <row r="2251" spans="1:7" x14ac:dyDescent="0.2">
      <c r="A2251" t="s">
        <v>137</v>
      </c>
      <c r="B2251" t="s">
        <v>215</v>
      </c>
      <c r="C2251" t="s">
        <v>4</v>
      </c>
      <c r="D2251" t="s">
        <v>304</v>
      </c>
      <c r="E2251">
        <v>1.65</v>
      </c>
      <c r="F2251">
        <v>10.1</v>
      </c>
      <c r="G2251">
        <v>16.664999999999999</v>
      </c>
    </row>
    <row r="2252" spans="1:7" x14ac:dyDescent="0.2">
      <c r="A2252" t="s">
        <v>137</v>
      </c>
      <c r="B2252" t="s">
        <v>215</v>
      </c>
      <c r="C2252" t="s">
        <v>5</v>
      </c>
      <c r="D2252" t="s">
        <v>305</v>
      </c>
      <c r="E2252">
        <v>2.6</v>
      </c>
      <c r="F2252">
        <v>11.5</v>
      </c>
      <c r="G2252">
        <v>29.9</v>
      </c>
    </row>
    <row r="2253" spans="1:7" x14ac:dyDescent="0.2">
      <c r="A2253" t="s">
        <v>137</v>
      </c>
      <c r="B2253" t="s">
        <v>215</v>
      </c>
      <c r="C2253" t="s">
        <v>8</v>
      </c>
      <c r="D2253" t="s">
        <v>375</v>
      </c>
      <c r="E2253">
        <v>1.6</v>
      </c>
      <c r="F2253">
        <v>3.7</v>
      </c>
      <c r="G2253">
        <v>5.92</v>
      </c>
    </row>
    <row r="2254" spans="1:7" x14ac:dyDescent="0.2">
      <c r="A2254" t="s">
        <v>137</v>
      </c>
      <c r="B2254" t="s">
        <v>215</v>
      </c>
      <c r="C2254" t="s">
        <v>105</v>
      </c>
      <c r="D2254" t="s">
        <v>313</v>
      </c>
      <c r="E2254">
        <v>100</v>
      </c>
      <c r="F2254">
        <v>0.1</v>
      </c>
      <c r="G2254">
        <v>10</v>
      </c>
    </row>
    <row r="2255" spans="1:7" x14ac:dyDescent="0.2">
      <c r="A2255" t="s">
        <v>137</v>
      </c>
      <c r="B2255" t="s">
        <v>215</v>
      </c>
      <c r="C2255" t="s">
        <v>108</v>
      </c>
      <c r="D2255" t="s">
        <v>323</v>
      </c>
      <c r="E2255">
        <v>20</v>
      </c>
      <c r="F2255">
        <v>0.1</v>
      </c>
      <c r="G2255">
        <v>2</v>
      </c>
    </row>
    <row r="2256" spans="1:7" x14ac:dyDescent="0.2">
      <c r="A2256" t="s">
        <v>137</v>
      </c>
      <c r="B2256" t="s">
        <v>215</v>
      </c>
      <c r="C2256" t="s">
        <v>117</v>
      </c>
      <c r="D2256" t="s">
        <v>352</v>
      </c>
      <c r="E2256">
        <v>80</v>
      </c>
      <c r="F2256">
        <v>0.1</v>
      </c>
      <c r="G2256">
        <v>8</v>
      </c>
    </row>
    <row r="2257" spans="1:7" x14ac:dyDescent="0.2">
      <c r="A2257" t="s">
        <v>139</v>
      </c>
      <c r="B2257" t="s">
        <v>216</v>
      </c>
      <c r="C2257" t="s">
        <v>94</v>
      </c>
      <c r="D2257" t="s">
        <v>280</v>
      </c>
      <c r="E2257">
        <v>1</v>
      </c>
      <c r="F2257">
        <v>3.5</v>
      </c>
      <c r="G2257">
        <v>3.5</v>
      </c>
    </row>
    <row r="2258" spans="1:7" x14ac:dyDescent="0.2">
      <c r="A2258" t="s">
        <v>139</v>
      </c>
      <c r="B2258" t="s">
        <v>216</v>
      </c>
      <c r="C2258" t="s">
        <v>95</v>
      </c>
      <c r="D2258" t="s">
        <v>281</v>
      </c>
      <c r="E2258">
        <v>1</v>
      </c>
      <c r="F2258">
        <v>2</v>
      </c>
      <c r="G2258">
        <v>2</v>
      </c>
    </row>
    <row r="2259" spans="1:7" x14ac:dyDescent="0.2">
      <c r="A2259" t="s">
        <v>139</v>
      </c>
      <c r="B2259" t="s">
        <v>216</v>
      </c>
      <c r="C2259" t="s">
        <v>44</v>
      </c>
      <c r="D2259" t="s">
        <v>324</v>
      </c>
      <c r="E2259">
        <v>0.3</v>
      </c>
      <c r="F2259">
        <v>65</v>
      </c>
      <c r="G2259">
        <v>19.5</v>
      </c>
    </row>
    <row r="2260" spans="1:7" x14ac:dyDescent="0.2">
      <c r="A2260" t="s">
        <v>139</v>
      </c>
      <c r="B2260" t="s">
        <v>216</v>
      </c>
      <c r="C2260" t="s">
        <v>54</v>
      </c>
      <c r="D2260" t="s">
        <v>358</v>
      </c>
      <c r="E2260">
        <v>0.95</v>
      </c>
      <c r="F2260">
        <v>120</v>
      </c>
      <c r="G2260">
        <v>114</v>
      </c>
    </row>
    <row r="2261" spans="1:7" x14ac:dyDescent="0.2">
      <c r="A2261" t="s">
        <v>139</v>
      </c>
      <c r="B2261" t="s">
        <v>216</v>
      </c>
      <c r="C2261" t="s">
        <v>61</v>
      </c>
      <c r="D2261" t="s">
        <v>341</v>
      </c>
      <c r="E2261">
        <v>0.95</v>
      </c>
      <c r="F2261">
        <v>190</v>
      </c>
      <c r="G2261">
        <v>180.5</v>
      </c>
    </row>
    <row r="2262" spans="1:7" x14ac:dyDescent="0.2">
      <c r="A2262" t="s">
        <v>139</v>
      </c>
      <c r="B2262" t="s">
        <v>216</v>
      </c>
      <c r="C2262" t="s">
        <v>69</v>
      </c>
      <c r="D2262" t="s">
        <v>288</v>
      </c>
      <c r="E2262">
        <v>0.19</v>
      </c>
      <c r="F2262">
        <v>190</v>
      </c>
      <c r="G2262">
        <v>36.1</v>
      </c>
    </row>
    <row r="2263" spans="1:7" x14ac:dyDescent="0.2">
      <c r="A2263" t="s">
        <v>139</v>
      </c>
      <c r="B2263" t="s">
        <v>216</v>
      </c>
      <c r="C2263" t="s">
        <v>93</v>
      </c>
      <c r="D2263" t="s">
        <v>327</v>
      </c>
      <c r="E2263">
        <v>0.125</v>
      </c>
      <c r="F2263">
        <v>70</v>
      </c>
      <c r="G2263">
        <v>8.75</v>
      </c>
    </row>
    <row r="2264" spans="1:7" x14ac:dyDescent="0.2">
      <c r="A2264" t="s">
        <v>139</v>
      </c>
      <c r="B2264" t="s">
        <v>216</v>
      </c>
      <c r="C2264" t="s">
        <v>47</v>
      </c>
      <c r="D2264" t="s">
        <v>328</v>
      </c>
      <c r="E2264">
        <v>0.08</v>
      </c>
      <c r="F2264">
        <v>235</v>
      </c>
      <c r="G2264">
        <v>18.8</v>
      </c>
    </row>
    <row r="2265" spans="1:7" x14ac:dyDescent="0.2">
      <c r="A2265" t="s">
        <v>139</v>
      </c>
      <c r="B2265" t="s">
        <v>216</v>
      </c>
      <c r="C2265" t="s">
        <v>49</v>
      </c>
      <c r="D2265" t="s">
        <v>290</v>
      </c>
      <c r="E2265">
        <v>7.4999999999999997E-2</v>
      </c>
      <c r="F2265">
        <v>248</v>
      </c>
      <c r="G2265">
        <v>18.600000000000001</v>
      </c>
    </row>
    <row r="2266" spans="1:7" x14ac:dyDescent="0.2">
      <c r="A2266" t="s">
        <v>139</v>
      </c>
      <c r="B2266" t="s">
        <v>216</v>
      </c>
      <c r="C2266" t="s">
        <v>19</v>
      </c>
      <c r="D2266" t="s">
        <v>329</v>
      </c>
      <c r="E2266">
        <v>2</v>
      </c>
      <c r="F2266">
        <v>2.9</v>
      </c>
      <c r="G2266">
        <v>5.8</v>
      </c>
    </row>
    <row r="2267" spans="1:7" x14ac:dyDescent="0.2">
      <c r="A2267" t="s">
        <v>139</v>
      </c>
      <c r="B2267" t="s">
        <v>216</v>
      </c>
      <c r="C2267" t="s">
        <v>20</v>
      </c>
      <c r="D2267" t="s">
        <v>330</v>
      </c>
      <c r="E2267">
        <v>2</v>
      </c>
      <c r="F2267">
        <v>2.9</v>
      </c>
      <c r="G2267">
        <v>5.8</v>
      </c>
    </row>
    <row r="2268" spans="1:7" x14ac:dyDescent="0.2">
      <c r="A2268" t="s">
        <v>139</v>
      </c>
      <c r="B2268" t="s">
        <v>216</v>
      </c>
      <c r="C2268" t="s">
        <v>23</v>
      </c>
      <c r="D2268" t="s">
        <v>367</v>
      </c>
      <c r="E2268">
        <v>2</v>
      </c>
      <c r="F2268">
        <v>2.5</v>
      </c>
      <c r="G2268">
        <v>5</v>
      </c>
    </row>
    <row r="2269" spans="1:7" x14ac:dyDescent="0.2">
      <c r="A2269" t="s">
        <v>139</v>
      </c>
      <c r="B2269" t="s">
        <v>216</v>
      </c>
      <c r="C2269" t="s">
        <v>29</v>
      </c>
      <c r="D2269" t="s">
        <v>292</v>
      </c>
      <c r="E2269">
        <v>0.35</v>
      </c>
      <c r="F2269">
        <v>27</v>
      </c>
      <c r="G2269">
        <v>9.4499999999999993</v>
      </c>
    </row>
    <row r="2270" spans="1:7" x14ac:dyDescent="0.2">
      <c r="A2270" t="s">
        <v>139</v>
      </c>
      <c r="B2270" t="s">
        <v>216</v>
      </c>
      <c r="C2270" t="s">
        <v>30</v>
      </c>
      <c r="D2270" t="s">
        <v>332</v>
      </c>
      <c r="E2270">
        <v>1</v>
      </c>
      <c r="F2270">
        <v>6</v>
      </c>
      <c r="G2270">
        <v>6</v>
      </c>
    </row>
    <row r="2271" spans="1:7" x14ac:dyDescent="0.2">
      <c r="A2271" t="s">
        <v>139</v>
      </c>
      <c r="B2271" t="s">
        <v>216</v>
      </c>
      <c r="C2271" t="s">
        <v>104</v>
      </c>
      <c r="D2271" t="s">
        <v>343</v>
      </c>
      <c r="E2271">
        <v>1.4999999999999999E-2</v>
      </c>
      <c r="F2271">
        <v>890</v>
      </c>
      <c r="G2271">
        <v>13.35</v>
      </c>
    </row>
    <row r="2272" spans="1:7" x14ac:dyDescent="0.2">
      <c r="A2272" t="s">
        <v>139</v>
      </c>
      <c r="B2272" t="s">
        <v>216</v>
      </c>
      <c r="C2272" t="s">
        <v>121</v>
      </c>
      <c r="D2272" t="s">
        <v>301</v>
      </c>
      <c r="E2272">
        <v>1</v>
      </c>
      <c r="F2272">
        <v>0.95</v>
      </c>
      <c r="G2272">
        <v>0.95</v>
      </c>
    </row>
    <row r="2273" spans="1:7" x14ac:dyDescent="0.2">
      <c r="A2273" t="s">
        <v>139</v>
      </c>
      <c r="B2273" t="s">
        <v>216</v>
      </c>
      <c r="C2273" t="s">
        <v>122</v>
      </c>
      <c r="D2273" t="s">
        <v>302</v>
      </c>
      <c r="E2273">
        <v>1</v>
      </c>
      <c r="F2273">
        <v>4.2</v>
      </c>
      <c r="G2273">
        <v>4.2</v>
      </c>
    </row>
    <row r="2274" spans="1:7" x14ac:dyDescent="0.2">
      <c r="A2274" t="s">
        <v>139</v>
      </c>
      <c r="B2274" t="s">
        <v>216</v>
      </c>
      <c r="C2274" t="s">
        <v>4</v>
      </c>
      <c r="D2274" t="s">
        <v>304</v>
      </c>
      <c r="E2274">
        <v>2.2999999999999998</v>
      </c>
      <c r="F2274">
        <v>10.1</v>
      </c>
      <c r="G2274">
        <v>23.23</v>
      </c>
    </row>
    <row r="2275" spans="1:7" x14ac:dyDescent="0.2">
      <c r="A2275" t="s">
        <v>139</v>
      </c>
      <c r="B2275" t="s">
        <v>216</v>
      </c>
      <c r="C2275" t="s">
        <v>5</v>
      </c>
      <c r="D2275" t="s">
        <v>305</v>
      </c>
      <c r="E2275">
        <v>2.6</v>
      </c>
      <c r="F2275">
        <v>11.5</v>
      </c>
      <c r="G2275">
        <v>29.9</v>
      </c>
    </row>
    <row r="2276" spans="1:7" x14ac:dyDescent="0.2">
      <c r="A2276" t="s">
        <v>139</v>
      </c>
      <c r="B2276" t="s">
        <v>216</v>
      </c>
      <c r="C2276" t="s">
        <v>8</v>
      </c>
      <c r="D2276" t="s">
        <v>375</v>
      </c>
      <c r="E2276">
        <v>1.6</v>
      </c>
      <c r="F2276">
        <v>3.7</v>
      </c>
      <c r="G2276">
        <v>5.92</v>
      </c>
    </row>
    <row r="2277" spans="1:7" x14ac:dyDescent="0.2">
      <c r="A2277" t="s">
        <v>139</v>
      </c>
      <c r="B2277" t="s">
        <v>216</v>
      </c>
      <c r="C2277" t="s">
        <v>105</v>
      </c>
      <c r="D2277" t="s">
        <v>313</v>
      </c>
      <c r="E2277">
        <v>100</v>
      </c>
      <c r="F2277">
        <v>0.1</v>
      </c>
      <c r="G2277">
        <v>10</v>
      </c>
    </row>
    <row r="2278" spans="1:7" x14ac:dyDescent="0.2">
      <c r="A2278" t="s">
        <v>139</v>
      </c>
      <c r="B2278" t="s">
        <v>216</v>
      </c>
      <c r="C2278" t="s">
        <v>112</v>
      </c>
      <c r="D2278" t="s">
        <v>362</v>
      </c>
      <c r="E2278">
        <v>20</v>
      </c>
      <c r="F2278">
        <v>0.1</v>
      </c>
      <c r="G2278">
        <v>2</v>
      </c>
    </row>
    <row r="2279" spans="1:7" x14ac:dyDescent="0.2">
      <c r="A2279" t="s">
        <v>138</v>
      </c>
      <c r="B2279" t="s">
        <v>214</v>
      </c>
      <c r="C2279" t="s">
        <v>94</v>
      </c>
      <c r="D2279" t="s">
        <v>280</v>
      </c>
      <c r="E2279">
        <v>1</v>
      </c>
      <c r="F2279">
        <v>3.5</v>
      </c>
      <c r="G2279">
        <v>3.5</v>
      </c>
    </row>
    <row r="2280" spans="1:7" x14ac:dyDescent="0.2">
      <c r="A2280" t="s">
        <v>138</v>
      </c>
      <c r="B2280" t="s">
        <v>214</v>
      </c>
      <c r="C2280" t="s">
        <v>95</v>
      </c>
      <c r="D2280" t="s">
        <v>281</v>
      </c>
      <c r="E2280">
        <v>1</v>
      </c>
      <c r="F2280">
        <v>2</v>
      </c>
      <c r="G2280">
        <v>2</v>
      </c>
    </row>
    <row r="2281" spans="1:7" x14ac:dyDescent="0.2">
      <c r="A2281" t="s">
        <v>138</v>
      </c>
      <c r="B2281" t="s">
        <v>214</v>
      </c>
      <c r="C2281" t="s">
        <v>45</v>
      </c>
      <c r="D2281" t="s">
        <v>374</v>
      </c>
      <c r="E2281">
        <v>1.25</v>
      </c>
      <c r="F2281">
        <v>65</v>
      </c>
      <c r="G2281">
        <v>81.25</v>
      </c>
    </row>
    <row r="2282" spans="1:7" x14ac:dyDescent="0.2">
      <c r="A2282" t="s">
        <v>138</v>
      </c>
      <c r="B2282" t="s">
        <v>214</v>
      </c>
      <c r="C2282" t="s">
        <v>61</v>
      </c>
      <c r="D2282" t="s">
        <v>341</v>
      </c>
      <c r="E2282">
        <v>0.14000000000000001</v>
      </c>
      <c r="F2282">
        <v>190</v>
      </c>
      <c r="G2282">
        <v>26.6</v>
      </c>
    </row>
    <row r="2283" spans="1:7" x14ac:dyDescent="0.2">
      <c r="A2283" t="s">
        <v>138</v>
      </c>
      <c r="B2283" t="s">
        <v>214</v>
      </c>
      <c r="C2283" t="s">
        <v>69</v>
      </c>
      <c r="D2283" t="s">
        <v>288</v>
      </c>
      <c r="E2283">
        <v>0.19</v>
      </c>
      <c r="F2283">
        <v>190</v>
      </c>
      <c r="G2283">
        <v>36.1</v>
      </c>
    </row>
    <row r="2284" spans="1:7" x14ac:dyDescent="0.2">
      <c r="A2284" t="s">
        <v>138</v>
      </c>
      <c r="B2284" t="s">
        <v>214</v>
      </c>
      <c r="C2284" t="s">
        <v>76</v>
      </c>
      <c r="D2284" t="s">
        <v>376</v>
      </c>
      <c r="E2284">
        <v>0.75</v>
      </c>
      <c r="F2284">
        <v>145</v>
      </c>
      <c r="G2284">
        <v>108.75</v>
      </c>
    </row>
    <row r="2285" spans="1:7" x14ac:dyDescent="0.2">
      <c r="A2285" t="s">
        <v>138</v>
      </c>
      <c r="B2285" t="s">
        <v>214</v>
      </c>
      <c r="C2285" t="s">
        <v>93</v>
      </c>
      <c r="D2285" t="s">
        <v>327</v>
      </c>
      <c r="E2285">
        <v>0.125</v>
      </c>
      <c r="F2285">
        <v>70</v>
      </c>
      <c r="G2285">
        <v>8.75</v>
      </c>
    </row>
    <row r="2286" spans="1:7" x14ac:dyDescent="0.2">
      <c r="A2286" t="s">
        <v>138</v>
      </c>
      <c r="B2286" t="s">
        <v>214</v>
      </c>
      <c r="C2286" t="s">
        <v>47</v>
      </c>
      <c r="D2286" t="s">
        <v>328</v>
      </c>
      <c r="E2286">
        <v>0.08</v>
      </c>
      <c r="F2286">
        <v>235</v>
      </c>
      <c r="G2286">
        <v>18.8</v>
      </c>
    </row>
    <row r="2287" spans="1:7" x14ac:dyDescent="0.2">
      <c r="A2287" t="s">
        <v>138</v>
      </c>
      <c r="B2287" t="s">
        <v>214</v>
      </c>
      <c r="C2287" t="s">
        <v>49</v>
      </c>
      <c r="D2287" t="s">
        <v>290</v>
      </c>
      <c r="E2287">
        <v>7.4999999999999997E-2</v>
      </c>
      <c r="F2287">
        <v>248</v>
      </c>
      <c r="G2287">
        <v>18.600000000000001</v>
      </c>
    </row>
    <row r="2288" spans="1:7" x14ac:dyDescent="0.2">
      <c r="A2288" t="s">
        <v>138</v>
      </c>
      <c r="B2288" t="s">
        <v>214</v>
      </c>
      <c r="C2288" t="s">
        <v>19</v>
      </c>
      <c r="D2288" t="s">
        <v>329</v>
      </c>
      <c r="E2288">
        <v>2</v>
      </c>
      <c r="F2288">
        <v>2.9</v>
      </c>
      <c r="G2288">
        <v>5.8</v>
      </c>
    </row>
    <row r="2289" spans="1:7" x14ac:dyDescent="0.2">
      <c r="A2289" t="s">
        <v>138</v>
      </c>
      <c r="B2289" t="s">
        <v>214</v>
      </c>
      <c r="C2289" t="s">
        <v>20</v>
      </c>
      <c r="D2289" t="s">
        <v>330</v>
      </c>
      <c r="E2289">
        <v>2</v>
      </c>
      <c r="F2289">
        <v>2.9</v>
      </c>
      <c r="G2289">
        <v>5.8</v>
      </c>
    </row>
    <row r="2290" spans="1:7" x14ac:dyDescent="0.2">
      <c r="A2290" t="s">
        <v>138</v>
      </c>
      <c r="B2290" t="s">
        <v>214</v>
      </c>
      <c r="C2290" t="s">
        <v>23</v>
      </c>
      <c r="D2290" t="s">
        <v>367</v>
      </c>
      <c r="E2290">
        <v>2</v>
      </c>
      <c r="F2290">
        <v>2.5</v>
      </c>
      <c r="G2290">
        <v>5</v>
      </c>
    </row>
    <row r="2291" spans="1:7" x14ac:dyDescent="0.2">
      <c r="A2291" t="s">
        <v>138</v>
      </c>
      <c r="B2291" t="s">
        <v>214</v>
      </c>
      <c r="C2291" t="s">
        <v>29</v>
      </c>
      <c r="D2291" t="s">
        <v>292</v>
      </c>
      <c r="E2291">
        <v>0.35</v>
      </c>
      <c r="F2291">
        <v>27</v>
      </c>
      <c r="G2291">
        <v>9.4499999999999993</v>
      </c>
    </row>
    <row r="2292" spans="1:7" x14ac:dyDescent="0.2">
      <c r="A2292" t="s">
        <v>138</v>
      </c>
      <c r="B2292" t="s">
        <v>214</v>
      </c>
      <c r="C2292" t="s">
        <v>30</v>
      </c>
      <c r="D2292" t="s">
        <v>332</v>
      </c>
      <c r="E2292">
        <v>1</v>
      </c>
      <c r="F2292">
        <v>6</v>
      </c>
      <c r="G2292">
        <v>6</v>
      </c>
    </row>
    <row r="2293" spans="1:7" x14ac:dyDescent="0.2">
      <c r="A2293" t="s">
        <v>138</v>
      </c>
      <c r="B2293" t="s">
        <v>214</v>
      </c>
      <c r="C2293" t="s">
        <v>104</v>
      </c>
      <c r="D2293" t="s">
        <v>343</v>
      </c>
      <c r="E2293">
        <v>1.4999999999999999E-2</v>
      </c>
      <c r="F2293">
        <v>890</v>
      </c>
      <c r="G2293">
        <v>13.35</v>
      </c>
    </row>
    <row r="2294" spans="1:7" x14ac:dyDescent="0.2">
      <c r="A2294" t="s">
        <v>138</v>
      </c>
      <c r="B2294" t="s">
        <v>214</v>
      </c>
      <c r="C2294" t="s">
        <v>121</v>
      </c>
      <c r="D2294" t="s">
        <v>301</v>
      </c>
      <c r="E2294">
        <v>1</v>
      </c>
      <c r="F2294">
        <v>0.95</v>
      </c>
      <c r="G2294">
        <v>0.95</v>
      </c>
    </row>
    <row r="2295" spans="1:7" x14ac:dyDescent="0.2">
      <c r="A2295" t="s">
        <v>138</v>
      </c>
      <c r="B2295" t="s">
        <v>214</v>
      </c>
      <c r="C2295" t="s">
        <v>122</v>
      </c>
      <c r="D2295" t="s">
        <v>302</v>
      </c>
      <c r="E2295">
        <v>1</v>
      </c>
      <c r="F2295">
        <v>4.2</v>
      </c>
      <c r="G2295">
        <v>4.2</v>
      </c>
    </row>
    <row r="2296" spans="1:7" x14ac:dyDescent="0.2">
      <c r="A2296" t="s">
        <v>138</v>
      </c>
      <c r="B2296" t="s">
        <v>214</v>
      </c>
      <c r="C2296" t="s">
        <v>4</v>
      </c>
      <c r="D2296" t="s">
        <v>304</v>
      </c>
      <c r="E2296">
        <v>2.2999999999999998</v>
      </c>
      <c r="F2296">
        <v>10.1</v>
      </c>
      <c r="G2296">
        <v>23.23</v>
      </c>
    </row>
    <row r="2297" spans="1:7" x14ac:dyDescent="0.2">
      <c r="A2297" t="s">
        <v>138</v>
      </c>
      <c r="B2297" t="s">
        <v>214</v>
      </c>
      <c r="C2297" t="s">
        <v>5</v>
      </c>
      <c r="D2297" t="s">
        <v>305</v>
      </c>
      <c r="E2297">
        <v>2.6</v>
      </c>
      <c r="F2297">
        <v>11.5</v>
      </c>
      <c r="G2297">
        <v>29.9</v>
      </c>
    </row>
    <row r="2298" spans="1:7" x14ac:dyDescent="0.2">
      <c r="A2298" t="s">
        <v>138</v>
      </c>
      <c r="B2298" t="s">
        <v>214</v>
      </c>
      <c r="C2298" t="s">
        <v>8</v>
      </c>
      <c r="D2298" t="s">
        <v>375</v>
      </c>
      <c r="E2298">
        <v>1.6</v>
      </c>
      <c r="F2298">
        <v>3.7</v>
      </c>
      <c r="G2298">
        <v>5.92</v>
      </c>
    </row>
    <row r="2299" spans="1:7" x14ac:dyDescent="0.2">
      <c r="A2299" t="s">
        <v>138</v>
      </c>
      <c r="B2299" t="s">
        <v>214</v>
      </c>
      <c r="C2299" t="s">
        <v>105</v>
      </c>
      <c r="D2299" t="s">
        <v>313</v>
      </c>
      <c r="E2299">
        <v>100</v>
      </c>
      <c r="F2299">
        <v>0.1</v>
      </c>
      <c r="G2299">
        <v>10</v>
      </c>
    </row>
    <row r="2300" spans="1:7" x14ac:dyDescent="0.2">
      <c r="A2300" t="s">
        <v>138</v>
      </c>
      <c r="B2300" t="s">
        <v>214</v>
      </c>
      <c r="C2300" t="s">
        <v>108</v>
      </c>
      <c r="D2300" t="s">
        <v>323</v>
      </c>
      <c r="E2300">
        <v>20</v>
      </c>
      <c r="F2300">
        <v>0.1</v>
      </c>
      <c r="G2300">
        <v>2</v>
      </c>
    </row>
    <row r="2301" spans="1:7" x14ac:dyDescent="0.2">
      <c r="A2301" t="s">
        <v>138</v>
      </c>
      <c r="B2301" t="s">
        <v>214</v>
      </c>
      <c r="C2301" t="s">
        <v>117</v>
      </c>
      <c r="D2301" t="s">
        <v>352</v>
      </c>
      <c r="E2301">
        <v>80</v>
      </c>
      <c r="F2301">
        <v>0.1</v>
      </c>
      <c r="G2301">
        <v>8</v>
      </c>
    </row>
    <row r="2302" spans="1:7" x14ac:dyDescent="0.2">
      <c r="A2302" t="s">
        <v>178</v>
      </c>
      <c r="B2302" t="s">
        <v>1015</v>
      </c>
      <c r="C2302" t="s">
        <v>94</v>
      </c>
      <c r="D2302" t="s">
        <v>280</v>
      </c>
      <c r="E2302">
        <v>1</v>
      </c>
      <c r="F2302">
        <v>3.5</v>
      </c>
      <c r="G2302">
        <v>3.5</v>
      </c>
    </row>
    <row r="2303" spans="1:7" x14ac:dyDescent="0.2">
      <c r="A2303" t="s">
        <v>178</v>
      </c>
      <c r="B2303" t="s">
        <v>1015</v>
      </c>
      <c r="C2303" t="s">
        <v>95</v>
      </c>
      <c r="D2303" t="s">
        <v>281</v>
      </c>
      <c r="E2303">
        <v>1</v>
      </c>
      <c r="F2303">
        <v>2</v>
      </c>
      <c r="G2303">
        <v>2</v>
      </c>
    </row>
    <row r="2304" spans="1:7" x14ac:dyDescent="0.2">
      <c r="A2304" t="s">
        <v>178</v>
      </c>
      <c r="B2304" t="s">
        <v>1015</v>
      </c>
      <c r="C2304" t="s">
        <v>44</v>
      </c>
      <c r="D2304" t="s">
        <v>324</v>
      </c>
      <c r="E2304">
        <v>0.3</v>
      </c>
      <c r="F2304">
        <v>65</v>
      </c>
      <c r="G2304">
        <v>19.5</v>
      </c>
    </row>
    <row r="2305" spans="1:7" x14ac:dyDescent="0.2">
      <c r="A2305" t="s">
        <v>178</v>
      </c>
      <c r="B2305" t="s">
        <v>1015</v>
      </c>
      <c r="C2305" t="s">
        <v>53</v>
      </c>
      <c r="D2305" t="s">
        <v>325</v>
      </c>
      <c r="E2305">
        <v>0.9</v>
      </c>
      <c r="F2305">
        <v>120</v>
      </c>
      <c r="G2305">
        <v>108</v>
      </c>
    </row>
    <row r="2306" spans="1:7" x14ac:dyDescent="0.2">
      <c r="A2306" t="s">
        <v>178</v>
      </c>
      <c r="B2306" t="s">
        <v>1015</v>
      </c>
      <c r="C2306" t="s">
        <v>69</v>
      </c>
      <c r="D2306" t="s">
        <v>288</v>
      </c>
      <c r="E2306">
        <v>0.19</v>
      </c>
      <c r="F2306">
        <v>190</v>
      </c>
      <c r="G2306">
        <v>36.1</v>
      </c>
    </row>
    <row r="2307" spans="1:7" x14ac:dyDescent="0.2">
      <c r="A2307" t="s">
        <v>178</v>
      </c>
      <c r="B2307" t="s">
        <v>1015</v>
      </c>
      <c r="C2307" t="s">
        <v>84</v>
      </c>
      <c r="D2307" t="s">
        <v>346</v>
      </c>
      <c r="E2307">
        <v>0.75</v>
      </c>
      <c r="F2307">
        <v>190</v>
      </c>
      <c r="G2307">
        <v>142.5</v>
      </c>
    </row>
    <row r="2308" spans="1:7" x14ac:dyDescent="0.2">
      <c r="A2308" t="s">
        <v>178</v>
      </c>
      <c r="B2308" t="s">
        <v>1015</v>
      </c>
      <c r="C2308" t="s">
        <v>93</v>
      </c>
      <c r="D2308" t="s">
        <v>327</v>
      </c>
      <c r="E2308">
        <v>0.125</v>
      </c>
      <c r="F2308">
        <v>70</v>
      </c>
      <c r="G2308">
        <v>8.75</v>
      </c>
    </row>
    <row r="2309" spans="1:7" x14ac:dyDescent="0.2">
      <c r="A2309" t="s">
        <v>178</v>
      </c>
      <c r="B2309" t="s">
        <v>1015</v>
      </c>
      <c r="C2309" t="s">
        <v>47</v>
      </c>
      <c r="D2309" t="s">
        <v>328</v>
      </c>
      <c r="E2309">
        <v>0.08</v>
      </c>
      <c r="F2309">
        <v>235</v>
      </c>
      <c r="G2309">
        <v>18.8</v>
      </c>
    </row>
    <row r="2310" spans="1:7" x14ac:dyDescent="0.2">
      <c r="A2310" t="s">
        <v>178</v>
      </c>
      <c r="B2310" t="s">
        <v>1015</v>
      </c>
      <c r="C2310" t="s">
        <v>49</v>
      </c>
      <c r="D2310" t="s">
        <v>290</v>
      </c>
      <c r="E2310">
        <v>7.4999999999999997E-2</v>
      </c>
      <c r="F2310">
        <v>248</v>
      </c>
      <c r="G2310">
        <v>18.600000000000001</v>
      </c>
    </row>
    <row r="2311" spans="1:7" x14ac:dyDescent="0.2">
      <c r="A2311" t="s">
        <v>178</v>
      </c>
      <c r="B2311" t="s">
        <v>1015</v>
      </c>
      <c r="C2311" t="s">
        <v>19</v>
      </c>
      <c r="D2311" t="s">
        <v>329</v>
      </c>
      <c r="E2311">
        <v>1</v>
      </c>
      <c r="F2311">
        <v>2.9</v>
      </c>
      <c r="G2311">
        <v>2.9</v>
      </c>
    </row>
    <row r="2312" spans="1:7" x14ac:dyDescent="0.2">
      <c r="A2312" t="s">
        <v>178</v>
      </c>
      <c r="B2312" t="s">
        <v>1015</v>
      </c>
      <c r="C2312" t="s">
        <v>20</v>
      </c>
      <c r="D2312" t="s">
        <v>330</v>
      </c>
      <c r="E2312">
        <v>1</v>
      </c>
      <c r="F2312">
        <v>2.9</v>
      </c>
      <c r="G2312">
        <v>2.9</v>
      </c>
    </row>
    <row r="2313" spans="1:7" x14ac:dyDescent="0.2">
      <c r="A2313" t="s">
        <v>178</v>
      </c>
      <c r="B2313" t="s">
        <v>1015</v>
      </c>
      <c r="C2313" t="s">
        <v>22</v>
      </c>
      <c r="D2313" t="s">
        <v>331</v>
      </c>
      <c r="E2313">
        <v>2</v>
      </c>
      <c r="F2313">
        <v>2.5</v>
      </c>
      <c r="G2313">
        <v>5</v>
      </c>
    </row>
    <row r="2314" spans="1:7" x14ac:dyDescent="0.2">
      <c r="A2314" t="s">
        <v>178</v>
      </c>
      <c r="B2314" t="s">
        <v>1015</v>
      </c>
      <c r="C2314" t="s">
        <v>29</v>
      </c>
      <c r="D2314" t="s">
        <v>292</v>
      </c>
      <c r="E2314">
        <v>0.35</v>
      </c>
      <c r="F2314">
        <v>27</v>
      </c>
      <c r="G2314">
        <v>9.4499999999999993</v>
      </c>
    </row>
    <row r="2315" spans="1:7" x14ac:dyDescent="0.2">
      <c r="A2315" t="s">
        <v>178</v>
      </c>
      <c r="B2315" t="s">
        <v>1015</v>
      </c>
      <c r="C2315" t="s">
        <v>30</v>
      </c>
      <c r="D2315" t="s">
        <v>332</v>
      </c>
      <c r="E2315">
        <v>1</v>
      </c>
      <c r="F2315">
        <v>6</v>
      </c>
      <c r="G2315">
        <v>6</v>
      </c>
    </row>
    <row r="2316" spans="1:7" x14ac:dyDescent="0.2">
      <c r="A2316" t="s">
        <v>178</v>
      </c>
      <c r="B2316" t="s">
        <v>1015</v>
      </c>
      <c r="C2316" t="s">
        <v>103</v>
      </c>
      <c r="D2316" t="s">
        <v>349</v>
      </c>
      <c r="E2316">
        <v>0.18</v>
      </c>
      <c r="F2316">
        <v>890</v>
      </c>
      <c r="G2316">
        <v>160.19999999999999</v>
      </c>
    </row>
    <row r="2317" spans="1:7" x14ac:dyDescent="0.2">
      <c r="A2317" t="s">
        <v>178</v>
      </c>
      <c r="B2317" t="s">
        <v>1015</v>
      </c>
      <c r="C2317" t="s">
        <v>121</v>
      </c>
      <c r="D2317" t="s">
        <v>301</v>
      </c>
      <c r="E2317">
        <v>1</v>
      </c>
      <c r="F2317">
        <v>0.95</v>
      </c>
      <c r="G2317">
        <v>0.95</v>
      </c>
    </row>
    <row r="2318" spans="1:7" x14ac:dyDescent="0.2">
      <c r="A2318" t="s">
        <v>178</v>
      </c>
      <c r="B2318" t="s">
        <v>1015</v>
      </c>
      <c r="C2318" t="s">
        <v>122</v>
      </c>
      <c r="D2318" t="s">
        <v>302</v>
      </c>
      <c r="E2318">
        <v>1</v>
      </c>
      <c r="F2318">
        <v>4.2</v>
      </c>
      <c r="G2318">
        <v>4.2</v>
      </c>
    </row>
    <row r="2319" spans="1:7" x14ac:dyDescent="0.2">
      <c r="A2319" t="s">
        <v>178</v>
      </c>
      <c r="B2319" t="s">
        <v>1015</v>
      </c>
      <c r="C2319" t="s">
        <v>4</v>
      </c>
      <c r="D2319" t="s">
        <v>304</v>
      </c>
      <c r="E2319">
        <v>2.2000000000000002</v>
      </c>
      <c r="F2319">
        <v>10.1</v>
      </c>
      <c r="G2319">
        <v>22.22</v>
      </c>
    </row>
    <row r="2320" spans="1:7" x14ac:dyDescent="0.2">
      <c r="A2320" t="s">
        <v>178</v>
      </c>
      <c r="B2320" t="s">
        <v>1015</v>
      </c>
      <c r="C2320" t="s">
        <v>105</v>
      </c>
      <c r="D2320" t="s">
        <v>313</v>
      </c>
      <c r="E2320">
        <v>100</v>
      </c>
      <c r="F2320">
        <v>0.1</v>
      </c>
      <c r="G2320">
        <v>10</v>
      </c>
    </row>
    <row r="2321" spans="1:7" x14ac:dyDescent="0.2">
      <c r="A2321" t="s">
        <v>178</v>
      </c>
      <c r="B2321" t="s">
        <v>1015</v>
      </c>
      <c r="C2321" t="s">
        <v>107</v>
      </c>
      <c r="D2321" t="s">
        <v>316</v>
      </c>
      <c r="E2321">
        <v>20</v>
      </c>
      <c r="F2321">
        <v>0.1</v>
      </c>
      <c r="G2321">
        <v>2</v>
      </c>
    </row>
    <row r="2322" spans="1:7" x14ac:dyDescent="0.2">
      <c r="A2322" t="s">
        <v>178</v>
      </c>
      <c r="B2322" t="s">
        <v>1015</v>
      </c>
      <c r="C2322" t="s">
        <v>114</v>
      </c>
      <c r="D2322" t="s">
        <v>350</v>
      </c>
      <c r="E2322">
        <v>20</v>
      </c>
      <c r="F2322">
        <v>0.1</v>
      </c>
      <c r="G2322">
        <v>2</v>
      </c>
    </row>
    <row r="2323" spans="1:7" x14ac:dyDescent="0.2">
      <c r="A2323" t="s">
        <v>184</v>
      </c>
      <c r="B2323" t="s">
        <v>1021</v>
      </c>
      <c r="C2323" t="s">
        <v>94</v>
      </c>
      <c r="D2323" t="s">
        <v>280</v>
      </c>
      <c r="E2323">
        <v>1</v>
      </c>
      <c r="F2323">
        <v>3.5</v>
      </c>
      <c r="G2323">
        <v>3.5</v>
      </c>
    </row>
    <row r="2324" spans="1:7" x14ac:dyDescent="0.2">
      <c r="A2324" t="s">
        <v>184</v>
      </c>
      <c r="B2324" t="s">
        <v>1021</v>
      </c>
      <c r="C2324" t="s">
        <v>95</v>
      </c>
      <c r="D2324" t="s">
        <v>281</v>
      </c>
      <c r="E2324">
        <v>1</v>
      </c>
      <c r="F2324">
        <v>2</v>
      </c>
      <c r="G2324">
        <v>2</v>
      </c>
    </row>
    <row r="2325" spans="1:7" x14ac:dyDescent="0.2">
      <c r="A2325" t="s">
        <v>184</v>
      </c>
      <c r="B2325" t="s">
        <v>1021</v>
      </c>
      <c r="C2325" t="s">
        <v>44</v>
      </c>
      <c r="D2325" t="s">
        <v>324</v>
      </c>
      <c r="E2325">
        <v>0.3</v>
      </c>
      <c r="F2325">
        <v>65</v>
      </c>
      <c r="G2325">
        <v>19.5</v>
      </c>
    </row>
    <row r="2326" spans="1:7" x14ac:dyDescent="0.2">
      <c r="A2326" t="s">
        <v>184</v>
      </c>
      <c r="B2326" t="s">
        <v>1021</v>
      </c>
      <c r="C2326" t="s">
        <v>53</v>
      </c>
      <c r="D2326" t="s">
        <v>325</v>
      </c>
      <c r="E2326">
        <v>0.9</v>
      </c>
      <c r="F2326">
        <v>120</v>
      </c>
      <c r="G2326">
        <v>108</v>
      </c>
    </row>
    <row r="2327" spans="1:7" x14ac:dyDescent="0.2">
      <c r="A2327" t="s">
        <v>184</v>
      </c>
      <c r="B2327" t="s">
        <v>1021</v>
      </c>
      <c r="C2327" t="s">
        <v>69</v>
      </c>
      <c r="D2327" t="s">
        <v>288</v>
      </c>
      <c r="E2327">
        <v>0.19</v>
      </c>
      <c r="F2327">
        <v>190</v>
      </c>
      <c r="G2327">
        <v>36.1</v>
      </c>
    </row>
    <row r="2328" spans="1:7" x14ac:dyDescent="0.2">
      <c r="A2328" t="s">
        <v>184</v>
      </c>
      <c r="B2328" t="s">
        <v>1021</v>
      </c>
      <c r="C2328" t="s">
        <v>91</v>
      </c>
      <c r="D2328" t="s">
        <v>377</v>
      </c>
      <c r="E2328">
        <v>0.75</v>
      </c>
      <c r="F2328">
        <v>170</v>
      </c>
      <c r="G2328">
        <v>127.5</v>
      </c>
    </row>
    <row r="2329" spans="1:7" x14ac:dyDescent="0.2">
      <c r="A2329" t="s">
        <v>184</v>
      </c>
      <c r="B2329" t="s">
        <v>1021</v>
      </c>
      <c r="C2329" t="s">
        <v>93</v>
      </c>
      <c r="D2329" t="s">
        <v>327</v>
      </c>
      <c r="E2329">
        <v>0.125</v>
      </c>
      <c r="F2329">
        <v>70</v>
      </c>
      <c r="G2329">
        <v>8.75</v>
      </c>
    </row>
    <row r="2330" spans="1:7" x14ac:dyDescent="0.2">
      <c r="A2330" t="s">
        <v>184</v>
      </c>
      <c r="B2330" t="s">
        <v>1021</v>
      </c>
      <c r="C2330" t="s">
        <v>47</v>
      </c>
      <c r="D2330" t="s">
        <v>328</v>
      </c>
      <c r="E2330">
        <v>0.08</v>
      </c>
      <c r="F2330">
        <v>235</v>
      </c>
      <c r="G2330">
        <v>18.8</v>
      </c>
    </row>
    <row r="2331" spans="1:7" x14ac:dyDescent="0.2">
      <c r="A2331" t="s">
        <v>184</v>
      </c>
      <c r="B2331" t="s">
        <v>1021</v>
      </c>
      <c r="C2331" t="s">
        <v>49</v>
      </c>
      <c r="D2331" t="s">
        <v>290</v>
      </c>
      <c r="E2331">
        <v>7.4999999999999997E-2</v>
      </c>
      <c r="F2331">
        <v>248</v>
      </c>
      <c r="G2331">
        <v>18.600000000000001</v>
      </c>
    </row>
    <row r="2332" spans="1:7" x14ac:dyDescent="0.2">
      <c r="A2332" t="s">
        <v>184</v>
      </c>
      <c r="B2332" t="s">
        <v>1021</v>
      </c>
      <c r="C2332" t="s">
        <v>19</v>
      </c>
      <c r="D2332" t="s">
        <v>329</v>
      </c>
      <c r="E2332">
        <v>1</v>
      </c>
      <c r="F2332">
        <v>2.9</v>
      </c>
      <c r="G2332">
        <v>2.9</v>
      </c>
    </row>
    <row r="2333" spans="1:7" x14ac:dyDescent="0.2">
      <c r="A2333" t="s">
        <v>184</v>
      </c>
      <c r="B2333" t="s">
        <v>1021</v>
      </c>
      <c r="C2333" t="s">
        <v>20</v>
      </c>
      <c r="D2333" t="s">
        <v>330</v>
      </c>
      <c r="E2333">
        <v>1</v>
      </c>
      <c r="F2333">
        <v>2.9</v>
      </c>
      <c r="G2333">
        <v>2.9</v>
      </c>
    </row>
    <row r="2334" spans="1:7" x14ac:dyDescent="0.2">
      <c r="A2334" t="s">
        <v>184</v>
      </c>
      <c r="B2334" t="s">
        <v>1021</v>
      </c>
      <c r="C2334" t="s">
        <v>22</v>
      </c>
      <c r="D2334" t="s">
        <v>331</v>
      </c>
      <c r="E2334">
        <v>2</v>
      </c>
      <c r="F2334">
        <v>2.5</v>
      </c>
      <c r="G2334">
        <v>5</v>
      </c>
    </row>
    <row r="2335" spans="1:7" x14ac:dyDescent="0.2">
      <c r="A2335" t="s">
        <v>184</v>
      </c>
      <c r="B2335" t="s">
        <v>1021</v>
      </c>
      <c r="C2335" t="s">
        <v>29</v>
      </c>
      <c r="D2335" t="s">
        <v>292</v>
      </c>
      <c r="E2335">
        <v>0.35</v>
      </c>
      <c r="F2335">
        <v>27</v>
      </c>
      <c r="G2335">
        <v>9.4499999999999993</v>
      </c>
    </row>
    <row r="2336" spans="1:7" x14ac:dyDescent="0.2">
      <c r="A2336" t="s">
        <v>184</v>
      </c>
      <c r="B2336" t="s">
        <v>1021</v>
      </c>
      <c r="C2336" t="s">
        <v>30</v>
      </c>
      <c r="D2336" t="s">
        <v>332</v>
      </c>
      <c r="E2336">
        <v>1</v>
      </c>
      <c r="F2336">
        <v>6</v>
      </c>
      <c r="G2336">
        <v>6</v>
      </c>
    </row>
    <row r="2337" spans="1:7" x14ac:dyDescent="0.2">
      <c r="A2337" t="s">
        <v>184</v>
      </c>
      <c r="B2337" t="s">
        <v>1021</v>
      </c>
      <c r="C2337" t="s">
        <v>103</v>
      </c>
      <c r="D2337" t="s">
        <v>349</v>
      </c>
      <c r="E2337">
        <v>0.18</v>
      </c>
      <c r="F2337">
        <v>890</v>
      </c>
      <c r="G2337">
        <v>160.19999999999999</v>
      </c>
    </row>
    <row r="2338" spans="1:7" x14ac:dyDescent="0.2">
      <c r="A2338" t="s">
        <v>184</v>
      </c>
      <c r="B2338" t="s">
        <v>1021</v>
      </c>
      <c r="C2338" t="s">
        <v>121</v>
      </c>
      <c r="D2338" t="s">
        <v>301</v>
      </c>
      <c r="E2338">
        <v>1</v>
      </c>
      <c r="F2338">
        <v>0.95</v>
      </c>
      <c r="G2338">
        <v>0.95</v>
      </c>
    </row>
    <row r="2339" spans="1:7" x14ac:dyDescent="0.2">
      <c r="A2339" t="s">
        <v>184</v>
      </c>
      <c r="B2339" t="s">
        <v>1021</v>
      </c>
      <c r="C2339" t="s">
        <v>122</v>
      </c>
      <c r="D2339" t="s">
        <v>302</v>
      </c>
      <c r="E2339">
        <v>1</v>
      </c>
      <c r="F2339">
        <v>4.2</v>
      </c>
      <c r="G2339">
        <v>4.2</v>
      </c>
    </row>
    <row r="2340" spans="1:7" x14ac:dyDescent="0.2">
      <c r="A2340" t="s">
        <v>184</v>
      </c>
      <c r="B2340" t="s">
        <v>1021</v>
      </c>
      <c r="C2340" t="s">
        <v>4</v>
      </c>
      <c r="D2340" t="s">
        <v>304</v>
      </c>
      <c r="E2340">
        <v>2.2000000000000002</v>
      </c>
      <c r="F2340">
        <v>10.1</v>
      </c>
      <c r="G2340">
        <v>22.22</v>
      </c>
    </row>
    <row r="2341" spans="1:7" x14ac:dyDescent="0.2">
      <c r="A2341" t="s">
        <v>184</v>
      </c>
      <c r="B2341" t="s">
        <v>1021</v>
      </c>
      <c r="C2341" t="s">
        <v>105</v>
      </c>
      <c r="D2341" t="s">
        <v>313</v>
      </c>
      <c r="E2341">
        <v>10</v>
      </c>
      <c r="F2341">
        <v>0.1</v>
      </c>
      <c r="G2341">
        <v>1</v>
      </c>
    </row>
    <row r="2342" spans="1:7" x14ac:dyDescent="0.2">
      <c r="A2342" t="s">
        <v>184</v>
      </c>
      <c r="B2342" t="s">
        <v>1021</v>
      </c>
      <c r="C2342" t="s">
        <v>107</v>
      </c>
      <c r="D2342" t="s">
        <v>316</v>
      </c>
      <c r="E2342">
        <v>20</v>
      </c>
      <c r="F2342">
        <v>0.1</v>
      </c>
      <c r="G2342">
        <v>2</v>
      </c>
    </row>
    <row r="2343" spans="1:7" x14ac:dyDescent="0.2">
      <c r="A2343" t="s">
        <v>184</v>
      </c>
      <c r="B2343" t="s">
        <v>1021</v>
      </c>
      <c r="C2343" t="s">
        <v>109</v>
      </c>
      <c r="D2343" t="s">
        <v>378</v>
      </c>
      <c r="E2343">
        <v>100</v>
      </c>
      <c r="F2343">
        <v>0.1</v>
      </c>
      <c r="G2343">
        <v>10</v>
      </c>
    </row>
    <row r="2344" spans="1:7" x14ac:dyDescent="0.2">
      <c r="A2344" t="s">
        <v>184</v>
      </c>
      <c r="B2344" t="s">
        <v>1021</v>
      </c>
      <c r="C2344" t="s">
        <v>114</v>
      </c>
      <c r="D2344" t="s">
        <v>350</v>
      </c>
      <c r="E2344">
        <v>20</v>
      </c>
      <c r="F2344">
        <v>0.1</v>
      </c>
      <c r="G2344">
        <v>2</v>
      </c>
    </row>
    <row r="2345" spans="1:7" x14ac:dyDescent="0.2">
      <c r="A2345" t="s">
        <v>182</v>
      </c>
      <c r="B2345" t="s">
        <v>1019</v>
      </c>
      <c r="C2345" t="s">
        <v>94</v>
      </c>
      <c r="D2345" t="s">
        <v>280</v>
      </c>
      <c r="E2345">
        <v>1</v>
      </c>
      <c r="F2345">
        <v>3.5</v>
      </c>
      <c r="G2345">
        <v>3.5</v>
      </c>
    </row>
    <row r="2346" spans="1:7" x14ac:dyDescent="0.2">
      <c r="A2346" t="s">
        <v>182</v>
      </c>
      <c r="B2346" t="s">
        <v>1019</v>
      </c>
      <c r="C2346" t="s">
        <v>95</v>
      </c>
      <c r="D2346" t="s">
        <v>281</v>
      </c>
      <c r="E2346">
        <v>1</v>
      </c>
      <c r="F2346">
        <v>2</v>
      </c>
      <c r="G2346">
        <v>2</v>
      </c>
    </row>
    <row r="2347" spans="1:7" x14ac:dyDescent="0.2">
      <c r="A2347" t="s">
        <v>182</v>
      </c>
      <c r="B2347" t="s">
        <v>1019</v>
      </c>
      <c r="C2347" t="s">
        <v>44</v>
      </c>
      <c r="D2347" t="s">
        <v>324</v>
      </c>
      <c r="E2347">
        <v>0.3</v>
      </c>
      <c r="F2347">
        <v>65</v>
      </c>
      <c r="G2347">
        <v>19.5</v>
      </c>
    </row>
    <row r="2348" spans="1:7" x14ac:dyDescent="0.2">
      <c r="A2348" t="s">
        <v>182</v>
      </c>
      <c r="B2348" t="s">
        <v>1019</v>
      </c>
      <c r="C2348" t="s">
        <v>53</v>
      </c>
      <c r="D2348" t="s">
        <v>325</v>
      </c>
      <c r="E2348">
        <v>0.9</v>
      </c>
      <c r="F2348">
        <v>120</v>
      </c>
      <c r="G2348">
        <v>108</v>
      </c>
    </row>
    <row r="2349" spans="1:7" x14ac:dyDescent="0.2">
      <c r="A2349" t="s">
        <v>182</v>
      </c>
      <c r="B2349" t="s">
        <v>1019</v>
      </c>
      <c r="C2349" t="s">
        <v>69</v>
      </c>
      <c r="D2349" t="s">
        <v>288</v>
      </c>
      <c r="E2349">
        <v>0.19</v>
      </c>
      <c r="F2349">
        <v>190</v>
      </c>
      <c r="G2349">
        <v>36.1</v>
      </c>
    </row>
    <row r="2350" spans="1:7" x14ac:dyDescent="0.2">
      <c r="A2350" t="s">
        <v>182</v>
      </c>
      <c r="B2350" t="s">
        <v>1019</v>
      </c>
      <c r="C2350" t="s">
        <v>89</v>
      </c>
      <c r="D2350" t="s">
        <v>379</v>
      </c>
      <c r="E2350">
        <v>0.75</v>
      </c>
      <c r="F2350">
        <v>170</v>
      </c>
      <c r="G2350">
        <v>127.5</v>
      </c>
    </row>
    <row r="2351" spans="1:7" x14ac:dyDescent="0.2">
      <c r="A2351" t="s">
        <v>182</v>
      </c>
      <c r="B2351" t="s">
        <v>1019</v>
      </c>
      <c r="C2351" t="s">
        <v>93</v>
      </c>
      <c r="D2351" t="s">
        <v>327</v>
      </c>
      <c r="E2351">
        <v>0.125</v>
      </c>
      <c r="F2351">
        <v>70</v>
      </c>
      <c r="G2351">
        <v>8.75</v>
      </c>
    </row>
    <row r="2352" spans="1:7" x14ac:dyDescent="0.2">
      <c r="A2352" t="s">
        <v>182</v>
      </c>
      <c r="B2352" t="s">
        <v>1019</v>
      </c>
      <c r="C2352" t="s">
        <v>47</v>
      </c>
      <c r="D2352" t="s">
        <v>328</v>
      </c>
      <c r="E2352">
        <v>0.08</v>
      </c>
      <c r="F2352">
        <v>235</v>
      </c>
      <c r="G2352">
        <v>18.8</v>
      </c>
    </row>
    <row r="2353" spans="1:7" x14ac:dyDescent="0.2">
      <c r="A2353" t="s">
        <v>182</v>
      </c>
      <c r="B2353" t="s">
        <v>1019</v>
      </c>
      <c r="C2353" t="s">
        <v>49</v>
      </c>
      <c r="D2353" t="s">
        <v>290</v>
      </c>
      <c r="E2353">
        <v>7.4999999999999997E-2</v>
      </c>
      <c r="F2353">
        <v>248</v>
      </c>
      <c r="G2353">
        <v>18.600000000000001</v>
      </c>
    </row>
    <row r="2354" spans="1:7" x14ac:dyDescent="0.2">
      <c r="A2354" t="s">
        <v>182</v>
      </c>
      <c r="B2354" t="s">
        <v>1019</v>
      </c>
      <c r="C2354" t="s">
        <v>19</v>
      </c>
      <c r="D2354" t="s">
        <v>329</v>
      </c>
      <c r="E2354">
        <v>1</v>
      </c>
      <c r="F2354">
        <v>2.9</v>
      </c>
      <c r="G2354">
        <v>2.9</v>
      </c>
    </row>
    <row r="2355" spans="1:7" x14ac:dyDescent="0.2">
      <c r="A2355" t="s">
        <v>182</v>
      </c>
      <c r="B2355" t="s">
        <v>1019</v>
      </c>
      <c r="C2355" t="s">
        <v>20</v>
      </c>
      <c r="D2355" t="s">
        <v>330</v>
      </c>
      <c r="E2355">
        <v>1</v>
      </c>
      <c r="F2355">
        <v>2.9</v>
      </c>
      <c r="G2355">
        <v>2.9</v>
      </c>
    </row>
    <row r="2356" spans="1:7" x14ac:dyDescent="0.2">
      <c r="A2356" t="s">
        <v>182</v>
      </c>
      <c r="B2356" t="s">
        <v>1019</v>
      </c>
      <c r="C2356" t="s">
        <v>22</v>
      </c>
      <c r="D2356" t="s">
        <v>331</v>
      </c>
      <c r="E2356">
        <v>2</v>
      </c>
      <c r="F2356">
        <v>2.5</v>
      </c>
      <c r="G2356">
        <v>5</v>
      </c>
    </row>
    <row r="2357" spans="1:7" x14ac:dyDescent="0.2">
      <c r="A2357" t="s">
        <v>182</v>
      </c>
      <c r="B2357" t="s">
        <v>1019</v>
      </c>
      <c r="C2357" t="s">
        <v>29</v>
      </c>
      <c r="D2357" t="s">
        <v>292</v>
      </c>
      <c r="E2357">
        <v>0.35</v>
      </c>
      <c r="F2357">
        <v>27</v>
      </c>
      <c r="G2357">
        <v>9.4499999999999993</v>
      </c>
    </row>
    <row r="2358" spans="1:7" x14ac:dyDescent="0.2">
      <c r="A2358" t="s">
        <v>182</v>
      </c>
      <c r="B2358" t="s">
        <v>1019</v>
      </c>
      <c r="C2358" t="s">
        <v>30</v>
      </c>
      <c r="D2358" t="s">
        <v>332</v>
      </c>
      <c r="E2358">
        <v>1</v>
      </c>
      <c r="F2358">
        <v>6</v>
      </c>
      <c r="G2358">
        <v>6</v>
      </c>
    </row>
    <row r="2359" spans="1:7" x14ac:dyDescent="0.2">
      <c r="A2359" t="s">
        <v>182</v>
      </c>
      <c r="B2359" t="s">
        <v>1019</v>
      </c>
      <c r="C2359" t="s">
        <v>101</v>
      </c>
      <c r="D2359" t="s">
        <v>333</v>
      </c>
      <c r="E2359">
        <v>0.18</v>
      </c>
      <c r="F2359">
        <v>1200</v>
      </c>
      <c r="G2359">
        <v>216</v>
      </c>
    </row>
    <row r="2360" spans="1:7" x14ac:dyDescent="0.2">
      <c r="A2360" t="s">
        <v>182</v>
      </c>
      <c r="B2360" t="s">
        <v>1019</v>
      </c>
      <c r="C2360" t="s">
        <v>121</v>
      </c>
      <c r="D2360" t="s">
        <v>301</v>
      </c>
      <c r="E2360">
        <v>1</v>
      </c>
      <c r="F2360">
        <v>0.95</v>
      </c>
      <c r="G2360">
        <v>0.95</v>
      </c>
    </row>
    <row r="2361" spans="1:7" x14ac:dyDescent="0.2">
      <c r="A2361" t="s">
        <v>182</v>
      </c>
      <c r="B2361" t="s">
        <v>1019</v>
      </c>
      <c r="C2361" t="s">
        <v>122</v>
      </c>
      <c r="D2361" t="s">
        <v>302</v>
      </c>
      <c r="E2361">
        <v>1</v>
      </c>
      <c r="F2361">
        <v>4.2</v>
      </c>
      <c r="G2361">
        <v>4.2</v>
      </c>
    </row>
    <row r="2362" spans="1:7" x14ac:dyDescent="0.2">
      <c r="A2362" t="s">
        <v>182</v>
      </c>
      <c r="B2362" t="s">
        <v>1019</v>
      </c>
      <c r="C2362" t="s">
        <v>4</v>
      </c>
      <c r="D2362" t="s">
        <v>304</v>
      </c>
      <c r="E2362">
        <v>2.2000000000000002</v>
      </c>
      <c r="F2362">
        <v>10.1</v>
      </c>
      <c r="G2362">
        <v>22.22</v>
      </c>
    </row>
    <row r="2363" spans="1:7" x14ac:dyDescent="0.2">
      <c r="A2363" t="s">
        <v>182</v>
      </c>
      <c r="B2363" t="s">
        <v>1019</v>
      </c>
      <c r="C2363" t="s">
        <v>105</v>
      </c>
      <c r="D2363" t="s">
        <v>313</v>
      </c>
      <c r="E2363">
        <v>20</v>
      </c>
      <c r="F2363">
        <v>0.1</v>
      </c>
      <c r="G2363">
        <v>2</v>
      </c>
    </row>
    <row r="2364" spans="1:7" x14ac:dyDescent="0.2">
      <c r="A2364" t="s">
        <v>182</v>
      </c>
      <c r="B2364" t="s">
        <v>1019</v>
      </c>
      <c r="C2364" t="s">
        <v>107</v>
      </c>
      <c r="D2364" t="s">
        <v>316</v>
      </c>
      <c r="E2364">
        <v>120</v>
      </c>
      <c r="F2364">
        <v>0.1</v>
      </c>
      <c r="G2364">
        <v>12</v>
      </c>
    </row>
    <row r="2365" spans="1:7" x14ac:dyDescent="0.2">
      <c r="A2365" t="s">
        <v>179</v>
      </c>
      <c r="B2365" t="s">
        <v>1016</v>
      </c>
      <c r="C2365" t="s">
        <v>94</v>
      </c>
      <c r="D2365" t="s">
        <v>280</v>
      </c>
      <c r="E2365">
        <v>1</v>
      </c>
      <c r="F2365">
        <v>3.5</v>
      </c>
      <c r="G2365">
        <v>3.5</v>
      </c>
    </row>
    <row r="2366" spans="1:7" x14ac:dyDescent="0.2">
      <c r="A2366" t="s">
        <v>179</v>
      </c>
      <c r="B2366" t="s">
        <v>1016</v>
      </c>
      <c r="C2366" t="s">
        <v>95</v>
      </c>
      <c r="D2366" t="s">
        <v>281</v>
      </c>
      <c r="E2366">
        <v>1</v>
      </c>
      <c r="F2366">
        <v>2</v>
      </c>
      <c r="G2366">
        <v>2</v>
      </c>
    </row>
    <row r="2367" spans="1:7" x14ac:dyDescent="0.2">
      <c r="A2367" t="s">
        <v>179</v>
      </c>
      <c r="B2367" t="s">
        <v>1016</v>
      </c>
      <c r="C2367" t="s">
        <v>44</v>
      </c>
      <c r="D2367" t="s">
        <v>324</v>
      </c>
      <c r="E2367">
        <v>0.3</v>
      </c>
      <c r="F2367">
        <v>65</v>
      </c>
      <c r="G2367">
        <v>19.5</v>
      </c>
    </row>
    <row r="2368" spans="1:7" x14ac:dyDescent="0.2">
      <c r="A2368" t="s">
        <v>179</v>
      </c>
      <c r="B2368" t="s">
        <v>1016</v>
      </c>
      <c r="C2368" t="s">
        <v>53</v>
      </c>
      <c r="D2368" t="s">
        <v>325</v>
      </c>
      <c r="E2368">
        <v>0.9</v>
      </c>
      <c r="F2368">
        <v>120</v>
      </c>
      <c r="G2368">
        <v>108</v>
      </c>
    </row>
    <row r="2369" spans="1:7" x14ac:dyDescent="0.2">
      <c r="A2369" t="s">
        <v>179</v>
      </c>
      <c r="B2369" t="s">
        <v>1016</v>
      </c>
      <c r="C2369" t="s">
        <v>69</v>
      </c>
      <c r="D2369" t="s">
        <v>288</v>
      </c>
      <c r="E2369">
        <v>0.19</v>
      </c>
      <c r="F2369">
        <v>190</v>
      </c>
      <c r="G2369">
        <v>36.1</v>
      </c>
    </row>
    <row r="2370" spans="1:7" x14ac:dyDescent="0.2">
      <c r="A2370" t="s">
        <v>179</v>
      </c>
      <c r="B2370" t="s">
        <v>1016</v>
      </c>
      <c r="C2370" t="s">
        <v>92</v>
      </c>
      <c r="D2370" t="s">
        <v>380</v>
      </c>
      <c r="E2370">
        <v>0.75</v>
      </c>
      <c r="F2370">
        <v>0</v>
      </c>
      <c r="G2370">
        <v>0</v>
      </c>
    </row>
    <row r="2371" spans="1:7" x14ac:dyDescent="0.2">
      <c r="A2371" t="s">
        <v>179</v>
      </c>
      <c r="B2371" t="s">
        <v>1016</v>
      </c>
      <c r="C2371" t="s">
        <v>93</v>
      </c>
      <c r="D2371" t="s">
        <v>327</v>
      </c>
      <c r="E2371">
        <v>0.125</v>
      </c>
      <c r="F2371">
        <v>70</v>
      </c>
      <c r="G2371">
        <v>8.75</v>
      </c>
    </row>
    <row r="2372" spans="1:7" x14ac:dyDescent="0.2">
      <c r="A2372" t="s">
        <v>179</v>
      </c>
      <c r="B2372" t="s">
        <v>1016</v>
      </c>
      <c r="C2372" t="s">
        <v>47</v>
      </c>
      <c r="D2372" t="s">
        <v>328</v>
      </c>
      <c r="E2372">
        <v>0.08</v>
      </c>
      <c r="F2372">
        <v>235</v>
      </c>
      <c r="G2372">
        <v>18.8</v>
      </c>
    </row>
    <row r="2373" spans="1:7" x14ac:dyDescent="0.2">
      <c r="A2373" t="s">
        <v>179</v>
      </c>
      <c r="B2373" t="s">
        <v>1016</v>
      </c>
      <c r="C2373" t="s">
        <v>49</v>
      </c>
      <c r="D2373" t="s">
        <v>290</v>
      </c>
      <c r="E2373">
        <v>7.4999999999999997E-2</v>
      </c>
      <c r="F2373">
        <v>248</v>
      </c>
      <c r="G2373">
        <v>18.600000000000001</v>
      </c>
    </row>
    <row r="2374" spans="1:7" x14ac:dyDescent="0.2">
      <c r="A2374" t="s">
        <v>179</v>
      </c>
      <c r="B2374" t="s">
        <v>1016</v>
      </c>
      <c r="C2374" t="s">
        <v>19</v>
      </c>
      <c r="D2374" t="s">
        <v>329</v>
      </c>
      <c r="E2374">
        <v>1</v>
      </c>
      <c r="F2374">
        <v>2.9</v>
      </c>
      <c r="G2374">
        <v>2.9</v>
      </c>
    </row>
    <row r="2375" spans="1:7" x14ac:dyDescent="0.2">
      <c r="A2375" t="s">
        <v>179</v>
      </c>
      <c r="B2375" t="s">
        <v>1016</v>
      </c>
      <c r="C2375" t="s">
        <v>20</v>
      </c>
      <c r="D2375" t="s">
        <v>330</v>
      </c>
      <c r="E2375">
        <v>1</v>
      </c>
      <c r="F2375">
        <v>2.9</v>
      </c>
      <c r="G2375">
        <v>2.9</v>
      </c>
    </row>
    <row r="2376" spans="1:7" x14ac:dyDescent="0.2">
      <c r="A2376" t="s">
        <v>179</v>
      </c>
      <c r="B2376" t="s">
        <v>1016</v>
      </c>
      <c r="C2376" t="s">
        <v>22</v>
      </c>
      <c r="D2376" t="s">
        <v>331</v>
      </c>
      <c r="E2376">
        <v>2</v>
      </c>
      <c r="F2376">
        <v>2.5</v>
      </c>
      <c r="G2376">
        <v>5</v>
      </c>
    </row>
    <row r="2377" spans="1:7" x14ac:dyDescent="0.2">
      <c r="A2377" t="s">
        <v>179</v>
      </c>
      <c r="B2377" t="s">
        <v>1016</v>
      </c>
      <c r="C2377" t="s">
        <v>29</v>
      </c>
      <c r="D2377" t="s">
        <v>292</v>
      </c>
      <c r="E2377">
        <v>0.35</v>
      </c>
      <c r="F2377">
        <v>27</v>
      </c>
      <c r="G2377">
        <v>9.4499999999999993</v>
      </c>
    </row>
    <row r="2378" spans="1:7" x14ac:dyDescent="0.2">
      <c r="A2378" t="s">
        <v>179</v>
      </c>
      <c r="B2378" t="s">
        <v>1016</v>
      </c>
      <c r="C2378" t="s">
        <v>30</v>
      </c>
      <c r="D2378" t="s">
        <v>332</v>
      </c>
      <c r="E2378">
        <v>1</v>
      </c>
      <c r="F2378">
        <v>6</v>
      </c>
      <c r="G2378">
        <v>6</v>
      </c>
    </row>
    <row r="2379" spans="1:7" x14ac:dyDescent="0.2">
      <c r="A2379" t="s">
        <v>179</v>
      </c>
      <c r="B2379" t="s">
        <v>1016</v>
      </c>
      <c r="C2379" t="s">
        <v>103</v>
      </c>
      <c r="D2379" t="s">
        <v>349</v>
      </c>
      <c r="E2379">
        <v>0.18</v>
      </c>
      <c r="F2379">
        <v>890</v>
      </c>
      <c r="G2379">
        <v>160.19999999999999</v>
      </c>
    </row>
    <row r="2380" spans="1:7" x14ac:dyDescent="0.2">
      <c r="A2380" t="s">
        <v>179</v>
      </c>
      <c r="B2380" t="s">
        <v>1016</v>
      </c>
      <c r="C2380" t="s">
        <v>121</v>
      </c>
      <c r="D2380" t="s">
        <v>301</v>
      </c>
      <c r="E2380">
        <v>1</v>
      </c>
      <c r="F2380">
        <v>0.95</v>
      </c>
      <c r="G2380">
        <v>0.95</v>
      </c>
    </row>
    <row r="2381" spans="1:7" x14ac:dyDescent="0.2">
      <c r="A2381" t="s">
        <v>179</v>
      </c>
      <c r="B2381" t="s">
        <v>1016</v>
      </c>
      <c r="C2381" t="s">
        <v>122</v>
      </c>
      <c r="D2381" t="s">
        <v>302</v>
      </c>
      <c r="E2381">
        <v>1</v>
      </c>
      <c r="F2381">
        <v>4.2</v>
      </c>
      <c r="G2381">
        <v>4.2</v>
      </c>
    </row>
    <row r="2382" spans="1:7" x14ac:dyDescent="0.2">
      <c r="A2382" t="s">
        <v>179</v>
      </c>
      <c r="B2382" t="s">
        <v>1016</v>
      </c>
      <c r="C2382" t="s">
        <v>4</v>
      </c>
      <c r="D2382" t="s">
        <v>304</v>
      </c>
      <c r="E2382">
        <v>2.2000000000000002</v>
      </c>
      <c r="F2382">
        <v>10.1</v>
      </c>
      <c r="G2382">
        <v>22.22</v>
      </c>
    </row>
    <row r="2383" spans="1:7" x14ac:dyDescent="0.2">
      <c r="A2383" t="s">
        <v>179</v>
      </c>
      <c r="B2383" t="s">
        <v>1016</v>
      </c>
      <c r="C2383" t="s">
        <v>105</v>
      </c>
      <c r="D2383" t="s">
        <v>313</v>
      </c>
      <c r="E2383">
        <v>10</v>
      </c>
      <c r="F2383">
        <v>0.1</v>
      </c>
      <c r="G2383">
        <v>1</v>
      </c>
    </row>
    <row r="2384" spans="1:7" x14ac:dyDescent="0.2">
      <c r="A2384" t="s">
        <v>179</v>
      </c>
      <c r="B2384" t="s">
        <v>1016</v>
      </c>
      <c r="C2384" t="s">
        <v>107</v>
      </c>
      <c r="D2384" t="s">
        <v>316</v>
      </c>
      <c r="E2384">
        <v>20</v>
      </c>
      <c r="F2384">
        <v>0.1</v>
      </c>
      <c r="G2384">
        <v>2</v>
      </c>
    </row>
    <row r="2385" spans="1:7" x14ac:dyDescent="0.2">
      <c r="A2385" t="s">
        <v>179</v>
      </c>
      <c r="B2385" t="s">
        <v>1016</v>
      </c>
      <c r="C2385" t="s">
        <v>114</v>
      </c>
      <c r="D2385" t="s">
        <v>350</v>
      </c>
      <c r="E2385">
        <v>100</v>
      </c>
      <c r="F2385">
        <v>0.1</v>
      </c>
      <c r="G2385">
        <v>10</v>
      </c>
    </row>
    <row r="2386" spans="1:7" x14ac:dyDescent="0.2">
      <c r="A2386" t="s">
        <v>180</v>
      </c>
      <c r="B2386" t="s">
        <v>1017</v>
      </c>
      <c r="C2386" t="s">
        <v>94</v>
      </c>
      <c r="D2386" t="s">
        <v>280</v>
      </c>
      <c r="E2386">
        <v>1</v>
      </c>
      <c r="F2386">
        <v>3.5</v>
      </c>
      <c r="G2386">
        <v>3.5</v>
      </c>
    </row>
    <row r="2387" spans="1:7" x14ac:dyDescent="0.2">
      <c r="A2387" t="s">
        <v>180</v>
      </c>
      <c r="B2387" t="s">
        <v>1017</v>
      </c>
      <c r="C2387" t="s">
        <v>95</v>
      </c>
      <c r="D2387" t="s">
        <v>281</v>
      </c>
      <c r="E2387">
        <v>1</v>
      </c>
      <c r="F2387">
        <v>2</v>
      </c>
      <c r="G2387">
        <v>2</v>
      </c>
    </row>
    <row r="2388" spans="1:7" x14ac:dyDescent="0.2">
      <c r="A2388" t="s">
        <v>180</v>
      </c>
      <c r="B2388" t="s">
        <v>1017</v>
      </c>
      <c r="C2388" t="s">
        <v>44</v>
      </c>
      <c r="D2388" t="s">
        <v>324</v>
      </c>
      <c r="E2388">
        <v>0.3</v>
      </c>
      <c r="F2388">
        <v>65</v>
      </c>
      <c r="G2388">
        <v>19.5</v>
      </c>
    </row>
    <row r="2389" spans="1:7" x14ac:dyDescent="0.2">
      <c r="A2389" t="s">
        <v>180</v>
      </c>
      <c r="B2389" t="s">
        <v>1017</v>
      </c>
      <c r="C2389" t="s">
        <v>53</v>
      </c>
      <c r="D2389" t="s">
        <v>325</v>
      </c>
      <c r="E2389">
        <v>0.9</v>
      </c>
      <c r="F2389">
        <v>120</v>
      </c>
      <c r="G2389">
        <v>108</v>
      </c>
    </row>
    <row r="2390" spans="1:7" x14ac:dyDescent="0.2">
      <c r="A2390" t="s">
        <v>180</v>
      </c>
      <c r="B2390" t="s">
        <v>1017</v>
      </c>
      <c r="C2390" t="s">
        <v>69</v>
      </c>
      <c r="D2390" t="s">
        <v>288</v>
      </c>
      <c r="E2390">
        <v>0.19</v>
      </c>
      <c r="F2390">
        <v>190</v>
      </c>
      <c r="G2390">
        <v>36.1</v>
      </c>
    </row>
    <row r="2391" spans="1:7" x14ac:dyDescent="0.2">
      <c r="A2391" t="s">
        <v>180</v>
      </c>
      <c r="B2391" t="s">
        <v>1017</v>
      </c>
      <c r="C2391" t="s">
        <v>86</v>
      </c>
      <c r="D2391" t="s">
        <v>338</v>
      </c>
      <c r="E2391">
        <v>0.75</v>
      </c>
      <c r="F2391">
        <v>175</v>
      </c>
      <c r="G2391">
        <v>131.25</v>
      </c>
    </row>
    <row r="2392" spans="1:7" x14ac:dyDescent="0.2">
      <c r="A2392" t="s">
        <v>180</v>
      </c>
      <c r="B2392" t="s">
        <v>1017</v>
      </c>
      <c r="C2392" t="s">
        <v>93</v>
      </c>
      <c r="D2392" t="s">
        <v>327</v>
      </c>
      <c r="E2392">
        <v>0.125</v>
      </c>
      <c r="F2392">
        <v>70</v>
      </c>
      <c r="G2392">
        <v>8.75</v>
      </c>
    </row>
    <row r="2393" spans="1:7" x14ac:dyDescent="0.2">
      <c r="A2393" t="s">
        <v>180</v>
      </c>
      <c r="B2393" t="s">
        <v>1017</v>
      </c>
      <c r="C2393" t="s">
        <v>47</v>
      </c>
      <c r="D2393" t="s">
        <v>328</v>
      </c>
      <c r="E2393">
        <v>0.08</v>
      </c>
      <c r="F2393">
        <v>235</v>
      </c>
      <c r="G2393">
        <v>18.8</v>
      </c>
    </row>
    <row r="2394" spans="1:7" x14ac:dyDescent="0.2">
      <c r="A2394" t="s">
        <v>180</v>
      </c>
      <c r="B2394" t="s">
        <v>1017</v>
      </c>
      <c r="C2394" t="s">
        <v>49</v>
      </c>
      <c r="D2394" t="s">
        <v>290</v>
      </c>
      <c r="E2394">
        <v>7.4999999999999997E-2</v>
      </c>
      <c r="F2394">
        <v>248</v>
      </c>
      <c r="G2394">
        <v>18.600000000000001</v>
      </c>
    </row>
    <row r="2395" spans="1:7" x14ac:dyDescent="0.2">
      <c r="A2395" t="s">
        <v>180</v>
      </c>
      <c r="B2395" t="s">
        <v>1017</v>
      </c>
      <c r="C2395" t="s">
        <v>19</v>
      </c>
      <c r="D2395" t="s">
        <v>329</v>
      </c>
      <c r="E2395">
        <v>1</v>
      </c>
      <c r="F2395">
        <v>2.9</v>
      </c>
      <c r="G2395">
        <v>2.9</v>
      </c>
    </row>
    <row r="2396" spans="1:7" x14ac:dyDescent="0.2">
      <c r="A2396" t="s">
        <v>180</v>
      </c>
      <c r="B2396" t="s">
        <v>1017</v>
      </c>
      <c r="C2396" t="s">
        <v>20</v>
      </c>
      <c r="D2396" t="s">
        <v>330</v>
      </c>
      <c r="E2396">
        <v>1</v>
      </c>
      <c r="F2396">
        <v>2.9</v>
      </c>
      <c r="G2396">
        <v>2.9</v>
      </c>
    </row>
    <row r="2397" spans="1:7" x14ac:dyDescent="0.2">
      <c r="A2397" t="s">
        <v>180</v>
      </c>
      <c r="B2397" t="s">
        <v>1017</v>
      </c>
      <c r="C2397" t="s">
        <v>22</v>
      </c>
      <c r="D2397" t="s">
        <v>331</v>
      </c>
      <c r="E2397">
        <v>2</v>
      </c>
      <c r="F2397">
        <v>2.5</v>
      </c>
      <c r="G2397">
        <v>5</v>
      </c>
    </row>
    <row r="2398" spans="1:7" x14ac:dyDescent="0.2">
      <c r="A2398" t="s">
        <v>180</v>
      </c>
      <c r="B2398" t="s">
        <v>1017</v>
      </c>
      <c r="C2398" t="s">
        <v>29</v>
      </c>
      <c r="D2398" t="s">
        <v>292</v>
      </c>
      <c r="E2398">
        <v>0.35</v>
      </c>
      <c r="F2398">
        <v>27</v>
      </c>
      <c r="G2398">
        <v>9.4499999999999993</v>
      </c>
    </row>
    <row r="2399" spans="1:7" x14ac:dyDescent="0.2">
      <c r="A2399" t="s">
        <v>180</v>
      </c>
      <c r="B2399" t="s">
        <v>1017</v>
      </c>
      <c r="C2399" t="s">
        <v>30</v>
      </c>
      <c r="D2399" t="s">
        <v>332</v>
      </c>
      <c r="E2399">
        <v>1</v>
      </c>
      <c r="F2399">
        <v>6</v>
      </c>
      <c r="G2399">
        <v>6</v>
      </c>
    </row>
    <row r="2400" spans="1:7" x14ac:dyDescent="0.2">
      <c r="A2400" t="s">
        <v>180</v>
      </c>
      <c r="B2400" t="s">
        <v>1017</v>
      </c>
      <c r="C2400" t="s">
        <v>101</v>
      </c>
      <c r="D2400" t="s">
        <v>333</v>
      </c>
      <c r="E2400">
        <v>0.18</v>
      </c>
      <c r="F2400">
        <v>1200</v>
      </c>
      <c r="G2400">
        <v>216</v>
      </c>
    </row>
    <row r="2401" spans="1:7" x14ac:dyDescent="0.2">
      <c r="A2401" t="s">
        <v>180</v>
      </c>
      <c r="B2401" t="s">
        <v>1017</v>
      </c>
      <c r="C2401" t="s">
        <v>121</v>
      </c>
      <c r="D2401" t="s">
        <v>301</v>
      </c>
      <c r="E2401">
        <v>1</v>
      </c>
      <c r="F2401">
        <v>0.95</v>
      </c>
      <c r="G2401">
        <v>0.95</v>
      </c>
    </row>
    <row r="2402" spans="1:7" x14ac:dyDescent="0.2">
      <c r="A2402" t="s">
        <v>180</v>
      </c>
      <c r="B2402" t="s">
        <v>1017</v>
      </c>
      <c r="C2402" t="s">
        <v>122</v>
      </c>
      <c r="D2402" t="s">
        <v>302</v>
      </c>
      <c r="E2402">
        <v>1</v>
      </c>
      <c r="F2402">
        <v>4.2</v>
      </c>
      <c r="G2402">
        <v>4.2</v>
      </c>
    </row>
    <row r="2403" spans="1:7" x14ac:dyDescent="0.2">
      <c r="A2403" t="s">
        <v>180</v>
      </c>
      <c r="B2403" t="s">
        <v>1017</v>
      </c>
      <c r="C2403" t="s">
        <v>4</v>
      </c>
      <c r="D2403" t="s">
        <v>304</v>
      </c>
      <c r="E2403">
        <v>2.2000000000000002</v>
      </c>
      <c r="F2403">
        <v>10.1</v>
      </c>
      <c r="G2403">
        <v>22.22</v>
      </c>
    </row>
    <row r="2404" spans="1:7" x14ac:dyDescent="0.2">
      <c r="A2404" t="s">
        <v>180</v>
      </c>
      <c r="B2404" t="s">
        <v>1017</v>
      </c>
      <c r="C2404" t="s">
        <v>105</v>
      </c>
      <c r="D2404" t="s">
        <v>313</v>
      </c>
      <c r="E2404">
        <v>20</v>
      </c>
      <c r="F2404">
        <v>0.1</v>
      </c>
      <c r="G2404">
        <v>2</v>
      </c>
    </row>
    <row r="2405" spans="1:7" x14ac:dyDescent="0.2">
      <c r="A2405" t="s">
        <v>180</v>
      </c>
      <c r="B2405" t="s">
        <v>1017</v>
      </c>
      <c r="C2405" t="s">
        <v>107</v>
      </c>
      <c r="D2405" t="s">
        <v>316</v>
      </c>
      <c r="E2405">
        <v>20</v>
      </c>
      <c r="F2405">
        <v>0.1</v>
      </c>
      <c r="G2405">
        <v>2</v>
      </c>
    </row>
    <row r="2406" spans="1:7" x14ac:dyDescent="0.2">
      <c r="A2406" t="s">
        <v>180</v>
      </c>
      <c r="B2406" t="s">
        <v>1017</v>
      </c>
      <c r="C2406" t="s">
        <v>120</v>
      </c>
      <c r="D2406" t="s">
        <v>340</v>
      </c>
      <c r="E2406">
        <v>100</v>
      </c>
      <c r="F2406">
        <v>0.1</v>
      </c>
      <c r="G2406">
        <v>10</v>
      </c>
    </row>
    <row r="2407" spans="1:7" x14ac:dyDescent="0.2">
      <c r="A2407" t="s">
        <v>177</v>
      </c>
      <c r="B2407" t="s">
        <v>1014</v>
      </c>
      <c r="C2407" t="s">
        <v>94</v>
      </c>
      <c r="D2407" t="s">
        <v>280</v>
      </c>
      <c r="E2407">
        <v>1</v>
      </c>
      <c r="F2407">
        <v>3.5</v>
      </c>
      <c r="G2407">
        <v>3.5</v>
      </c>
    </row>
    <row r="2408" spans="1:7" x14ac:dyDescent="0.2">
      <c r="A2408" t="s">
        <v>177</v>
      </c>
      <c r="B2408" t="s">
        <v>1014</v>
      </c>
      <c r="C2408" t="s">
        <v>95</v>
      </c>
      <c r="D2408" t="s">
        <v>281</v>
      </c>
      <c r="E2408">
        <v>1</v>
      </c>
      <c r="F2408">
        <v>2</v>
      </c>
      <c r="G2408">
        <v>2</v>
      </c>
    </row>
    <row r="2409" spans="1:7" x14ac:dyDescent="0.2">
      <c r="A2409" t="s">
        <v>177</v>
      </c>
      <c r="B2409" t="s">
        <v>1014</v>
      </c>
      <c r="C2409" t="s">
        <v>44</v>
      </c>
      <c r="D2409" t="s">
        <v>324</v>
      </c>
      <c r="E2409">
        <v>0.3</v>
      </c>
      <c r="F2409">
        <v>65</v>
      </c>
      <c r="G2409">
        <v>19.5</v>
      </c>
    </row>
    <row r="2410" spans="1:7" x14ac:dyDescent="0.2">
      <c r="A2410" t="s">
        <v>177</v>
      </c>
      <c r="B2410" t="s">
        <v>1014</v>
      </c>
      <c r="C2410" t="s">
        <v>53</v>
      </c>
      <c r="D2410" t="s">
        <v>325</v>
      </c>
      <c r="E2410">
        <v>0.9</v>
      </c>
      <c r="F2410">
        <v>120</v>
      </c>
      <c r="G2410">
        <v>108</v>
      </c>
    </row>
    <row r="2411" spans="1:7" x14ac:dyDescent="0.2">
      <c r="A2411" t="s">
        <v>177</v>
      </c>
      <c r="B2411" t="s">
        <v>1014</v>
      </c>
      <c r="C2411" t="s">
        <v>69</v>
      </c>
      <c r="D2411" t="s">
        <v>288</v>
      </c>
      <c r="E2411">
        <v>0.19</v>
      </c>
      <c r="F2411">
        <v>190</v>
      </c>
      <c r="G2411">
        <v>36.1</v>
      </c>
    </row>
    <row r="2412" spans="1:7" x14ac:dyDescent="0.2">
      <c r="A2412" t="s">
        <v>177</v>
      </c>
      <c r="B2412" t="s">
        <v>1014</v>
      </c>
      <c r="C2412" t="s">
        <v>86</v>
      </c>
      <c r="D2412" t="s">
        <v>338</v>
      </c>
      <c r="E2412">
        <v>0.75</v>
      </c>
      <c r="F2412">
        <v>175</v>
      </c>
      <c r="G2412">
        <v>131.25</v>
      </c>
    </row>
    <row r="2413" spans="1:7" x14ac:dyDescent="0.2">
      <c r="A2413" t="s">
        <v>177</v>
      </c>
      <c r="B2413" t="s">
        <v>1014</v>
      </c>
      <c r="C2413" t="s">
        <v>93</v>
      </c>
      <c r="D2413" t="s">
        <v>327</v>
      </c>
      <c r="E2413">
        <v>0.125</v>
      </c>
      <c r="F2413">
        <v>70</v>
      </c>
      <c r="G2413">
        <v>8.75</v>
      </c>
    </row>
    <row r="2414" spans="1:7" x14ac:dyDescent="0.2">
      <c r="A2414" t="s">
        <v>177</v>
      </c>
      <c r="B2414" t="s">
        <v>1014</v>
      </c>
      <c r="C2414" t="s">
        <v>47</v>
      </c>
      <c r="D2414" t="s">
        <v>328</v>
      </c>
      <c r="E2414">
        <v>0.08</v>
      </c>
      <c r="F2414">
        <v>235</v>
      </c>
      <c r="G2414">
        <v>18.8</v>
      </c>
    </row>
    <row r="2415" spans="1:7" x14ac:dyDescent="0.2">
      <c r="A2415" t="s">
        <v>177</v>
      </c>
      <c r="B2415" t="s">
        <v>1014</v>
      </c>
      <c r="C2415" t="s">
        <v>49</v>
      </c>
      <c r="D2415" t="s">
        <v>290</v>
      </c>
      <c r="E2415">
        <v>7.4999999999999997E-2</v>
      </c>
      <c r="F2415">
        <v>248</v>
      </c>
      <c r="G2415">
        <v>18.600000000000001</v>
      </c>
    </row>
    <row r="2416" spans="1:7" x14ac:dyDescent="0.2">
      <c r="A2416" t="s">
        <v>177</v>
      </c>
      <c r="B2416" t="s">
        <v>1014</v>
      </c>
      <c r="C2416" t="s">
        <v>19</v>
      </c>
      <c r="D2416" t="s">
        <v>329</v>
      </c>
      <c r="E2416">
        <v>1</v>
      </c>
      <c r="F2416">
        <v>2.9</v>
      </c>
      <c r="G2416">
        <v>2.9</v>
      </c>
    </row>
    <row r="2417" spans="1:7" x14ac:dyDescent="0.2">
      <c r="A2417" t="s">
        <v>177</v>
      </c>
      <c r="B2417" t="s">
        <v>1014</v>
      </c>
      <c r="C2417" t="s">
        <v>20</v>
      </c>
      <c r="D2417" t="s">
        <v>330</v>
      </c>
      <c r="E2417">
        <v>1</v>
      </c>
      <c r="F2417">
        <v>2.9</v>
      </c>
      <c r="G2417">
        <v>2.9</v>
      </c>
    </row>
    <row r="2418" spans="1:7" x14ac:dyDescent="0.2">
      <c r="A2418" t="s">
        <v>177</v>
      </c>
      <c r="B2418" t="s">
        <v>1014</v>
      </c>
      <c r="C2418" t="s">
        <v>22</v>
      </c>
      <c r="D2418" t="s">
        <v>331</v>
      </c>
      <c r="E2418">
        <v>2</v>
      </c>
      <c r="F2418">
        <v>2.5</v>
      </c>
      <c r="G2418">
        <v>5</v>
      </c>
    </row>
    <row r="2419" spans="1:7" x14ac:dyDescent="0.2">
      <c r="A2419" t="s">
        <v>177</v>
      </c>
      <c r="B2419" t="s">
        <v>1014</v>
      </c>
      <c r="C2419" t="s">
        <v>29</v>
      </c>
      <c r="D2419" t="s">
        <v>292</v>
      </c>
      <c r="E2419">
        <v>0.35</v>
      </c>
      <c r="F2419">
        <v>27</v>
      </c>
      <c r="G2419">
        <v>9.4499999999999993</v>
      </c>
    </row>
    <row r="2420" spans="1:7" x14ac:dyDescent="0.2">
      <c r="A2420" t="s">
        <v>177</v>
      </c>
      <c r="B2420" t="s">
        <v>1014</v>
      </c>
      <c r="C2420" t="s">
        <v>30</v>
      </c>
      <c r="D2420" t="s">
        <v>332</v>
      </c>
      <c r="E2420">
        <v>1</v>
      </c>
      <c r="F2420">
        <v>6</v>
      </c>
      <c r="G2420">
        <v>6</v>
      </c>
    </row>
    <row r="2421" spans="1:7" x14ac:dyDescent="0.2">
      <c r="A2421" t="s">
        <v>177</v>
      </c>
      <c r="B2421" t="s">
        <v>1014</v>
      </c>
      <c r="C2421" t="s">
        <v>103</v>
      </c>
      <c r="D2421" t="s">
        <v>349</v>
      </c>
      <c r="E2421">
        <v>0.18</v>
      </c>
      <c r="F2421">
        <v>890</v>
      </c>
      <c r="G2421">
        <v>160.19999999999999</v>
      </c>
    </row>
    <row r="2422" spans="1:7" x14ac:dyDescent="0.2">
      <c r="A2422" t="s">
        <v>177</v>
      </c>
      <c r="B2422" t="s">
        <v>1014</v>
      </c>
      <c r="C2422" t="s">
        <v>121</v>
      </c>
      <c r="D2422" t="s">
        <v>301</v>
      </c>
      <c r="E2422">
        <v>1</v>
      </c>
      <c r="F2422">
        <v>0.95</v>
      </c>
      <c r="G2422">
        <v>0.95</v>
      </c>
    </row>
    <row r="2423" spans="1:7" x14ac:dyDescent="0.2">
      <c r="A2423" t="s">
        <v>177</v>
      </c>
      <c r="B2423" t="s">
        <v>1014</v>
      </c>
      <c r="C2423" t="s">
        <v>122</v>
      </c>
      <c r="D2423" t="s">
        <v>302</v>
      </c>
      <c r="E2423">
        <v>1</v>
      </c>
      <c r="F2423">
        <v>4.2</v>
      </c>
      <c r="G2423">
        <v>4.2</v>
      </c>
    </row>
    <row r="2424" spans="1:7" x14ac:dyDescent="0.2">
      <c r="A2424" t="s">
        <v>177</v>
      </c>
      <c r="B2424" t="s">
        <v>1014</v>
      </c>
      <c r="C2424" t="s">
        <v>4</v>
      </c>
      <c r="D2424" t="s">
        <v>304</v>
      </c>
      <c r="E2424">
        <v>2.2000000000000002</v>
      </c>
      <c r="F2424">
        <v>10.1</v>
      </c>
      <c r="G2424">
        <v>22.22</v>
      </c>
    </row>
    <row r="2425" spans="1:7" x14ac:dyDescent="0.2">
      <c r="A2425" t="s">
        <v>177</v>
      </c>
      <c r="B2425" t="s">
        <v>1014</v>
      </c>
      <c r="C2425" t="s">
        <v>105</v>
      </c>
      <c r="D2425" t="s">
        <v>313</v>
      </c>
      <c r="E2425">
        <v>10</v>
      </c>
      <c r="F2425">
        <v>0.1</v>
      </c>
      <c r="G2425">
        <v>1</v>
      </c>
    </row>
    <row r="2426" spans="1:7" x14ac:dyDescent="0.2">
      <c r="A2426" t="s">
        <v>177</v>
      </c>
      <c r="B2426" t="s">
        <v>1014</v>
      </c>
      <c r="C2426" t="s">
        <v>107</v>
      </c>
      <c r="D2426" t="s">
        <v>316</v>
      </c>
      <c r="E2426">
        <v>20</v>
      </c>
      <c r="F2426">
        <v>0.1</v>
      </c>
      <c r="G2426">
        <v>2</v>
      </c>
    </row>
    <row r="2427" spans="1:7" x14ac:dyDescent="0.2">
      <c r="A2427" t="s">
        <v>177</v>
      </c>
      <c r="B2427" t="s">
        <v>1014</v>
      </c>
      <c r="C2427" t="s">
        <v>114</v>
      </c>
      <c r="D2427" t="s">
        <v>350</v>
      </c>
      <c r="E2427">
        <v>20</v>
      </c>
      <c r="F2427">
        <v>0.1</v>
      </c>
      <c r="G2427">
        <v>2</v>
      </c>
    </row>
    <row r="2428" spans="1:7" x14ac:dyDescent="0.2">
      <c r="A2428" t="s">
        <v>177</v>
      </c>
      <c r="B2428" t="s">
        <v>1014</v>
      </c>
      <c r="C2428" t="s">
        <v>120</v>
      </c>
      <c r="D2428" t="s">
        <v>340</v>
      </c>
      <c r="E2428">
        <v>100</v>
      </c>
      <c r="F2428">
        <v>0.1</v>
      </c>
      <c r="G2428">
        <v>10</v>
      </c>
    </row>
    <row r="2429" spans="1:7" x14ac:dyDescent="0.2">
      <c r="A2429" t="s">
        <v>181</v>
      </c>
      <c r="B2429" t="s">
        <v>1018</v>
      </c>
      <c r="C2429" t="s">
        <v>94</v>
      </c>
      <c r="D2429" t="s">
        <v>280</v>
      </c>
      <c r="E2429">
        <v>1</v>
      </c>
      <c r="F2429">
        <v>3.5</v>
      </c>
      <c r="G2429">
        <v>3.5</v>
      </c>
    </row>
    <row r="2430" spans="1:7" x14ac:dyDescent="0.2">
      <c r="A2430" t="s">
        <v>181</v>
      </c>
      <c r="B2430" t="s">
        <v>1018</v>
      </c>
      <c r="C2430" t="s">
        <v>95</v>
      </c>
      <c r="D2430" t="s">
        <v>281</v>
      </c>
      <c r="E2430">
        <v>1</v>
      </c>
      <c r="F2430">
        <v>2</v>
      </c>
      <c r="G2430">
        <v>2</v>
      </c>
    </row>
    <row r="2431" spans="1:7" x14ac:dyDescent="0.2">
      <c r="A2431" t="s">
        <v>181</v>
      </c>
      <c r="B2431" t="s">
        <v>1018</v>
      </c>
      <c r="C2431" t="s">
        <v>44</v>
      </c>
      <c r="D2431" t="s">
        <v>324</v>
      </c>
      <c r="E2431">
        <v>0.3</v>
      </c>
      <c r="F2431">
        <v>65</v>
      </c>
      <c r="G2431">
        <v>19.5</v>
      </c>
    </row>
    <row r="2432" spans="1:7" x14ac:dyDescent="0.2">
      <c r="A2432" t="s">
        <v>181</v>
      </c>
      <c r="B2432" t="s">
        <v>1018</v>
      </c>
      <c r="C2432" t="s">
        <v>53</v>
      </c>
      <c r="D2432" t="s">
        <v>325</v>
      </c>
      <c r="E2432">
        <v>0.9</v>
      </c>
      <c r="F2432">
        <v>120</v>
      </c>
      <c r="G2432">
        <v>108</v>
      </c>
    </row>
    <row r="2433" spans="1:7" x14ac:dyDescent="0.2">
      <c r="A2433" t="s">
        <v>181</v>
      </c>
      <c r="B2433" t="s">
        <v>1018</v>
      </c>
      <c r="C2433" t="s">
        <v>69</v>
      </c>
      <c r="D2433" t="s">
        <v>288</v>
      </c>
      <c r="E2433">
        <v>0.19</v>
      </c>
      <c r="F2433">
        <v>190</v>
      </c>
      <c r="G2433">
        <v>36.1</v>
      </c>
    </row>
    <row r="2434" spans="1:7" x14ac:dyDescent="0.2">
      <c r="A2434" t="s">
        <v>181</v>
      </c>
      <c r="B2434" t="s">
        <v>1018</v>
      </c>
      <c r="C2434" t="s">
        <v>89</v>
      </c>
      <c r="D2434" t="s">
        <v>379</v>
      </c>
      <c r="E2434">
        <v>0.75</v>
      </c>
      <c r="F2434">
        <v>170</v>
      </c>
      <c r="G2434">
        <v>127.5</v>
      </c>
    </row>
    <row r="2435" spans="1:7" x14ac:dyDescent="0.2">
      <c r="A2435" t="s">
        <v>181</v>
      </c>
      <c r="B2435" t="s">
        <v>1018</v>
      </c>
      <c r="C2435" t="s">
        <v>93</v>
      </c>
      <c r="D2435" t="s">
        <v>327</v>
      </c>
      <c r="E2435">
        <v>0.125</v>
      </c>
      <c r="F2435">
        <v>70</v>
      </c>
      <c r="G2435">
        <v>8.75</v>
      </c>
    </row>
    <row r="2436" spans="1:7" x14ac:dyDescent="0.2">
      <c r="A2436" t="s">
        <v>181</v>
      </c>
      <c r="B2436" t="s">
        <v>1018</v>
      </c>
      <c r="C2436" t="s">
        <v>47</v>
      </c>
      <c r="D2436" t="s">
        <v>328</v>
      </c>
      <c r="E2436">
        <v>0.08</v>
      </c>
      <c r="F2436">
        <v>235</v>
      </c>
      <c r="G2436">
        <v>18.8</v>
      </c>
    </row>
    <row r="2437" spans="1:7" x14ac:dyDescent="0.2">
      <c r="A2437" t="s">
        <v>181</v>
      </c>
      <c r="B2437" t="s">
        <v>1018</v>
      </c>
      <c r="C2437" t="s">
        <v>49</v>
      </c>
      <c r="D2437" t="s">
        <v>290</v>
      </c>
      <c r="E2437">
        <v>7.4999999999999997E-2</v>
      </c>
      <c r="F2437">
        <v>248</v>
      </c>
      <c r="G2437">
        <v>18.600000000000001</v>
      </c>
    </row>
    <row r="2438" spans="1:7" x14ac:dyDescent="0.2">
      <c r="A2438" t="s">
        <v>181</v>
      </c>
      <c r="B2438" t="s">
        <v>1018</v>
      </c>
      <c r="C2438" t="s">
        <v>19</v>
      </c>
      <c r="D2438" t="s">
        <v>329</v>
      </c>
      <c r="E2438">
        <v>1</v>
      </c>
      <c r="F2438">
        <v>2.9</v>
      </c>
      <c r="G2438">
        <v>2.9</v>
      </c>
    </row>
    <row r="2439" spans="1:7" x14ac:dyDescent="0.2">
      <c r="A2439" t="s">
        <v>181</v>
      </c>
      <c r="B2439" t="s">
        <v>1018</v>
      </c>
      <c r="C2439" t="s">
        <v>20</v>
      </c>
      <c r="D2439" t="s">
        <v>330</v>
      </c>
      <c r="E2439">
        <v>1</v>
      </c>
      <c r="F2439">
        <v>2.9</v>
      </c>
      <c r="G2439">
        <v>2.9</v>
      </c>
    </row>
    <row r="2440" spans="1:7" x14ac:dyDescent="0.2">
      <c r="A2440" t="s">
        <v>181</v>
      </c>
      <c r="B2440" t="s">
        <v>1018</v>
      </c>
      <c r="C2440" t="s">
        <v>22</v>
      </c>
      <c r="D2440" t="s">
        <v>331</v>
      </c>
      <c r="E2440">
        <v>2</v>
      </c>
      <c r="F2440">
        <v>2.5</v>
      </c>
      <c r="G2440">
        <v>5</v>
      </c>
    </row>
    <row r="2441" spans="1:7" x14ac:dyDescent="0.2">
      <c r="A2441" t="s">
        <v>181</v>
      </c>
      <c r="B2441" t="s">
        <v>1018</v>
      </c>
      <c r="C2441" t="s">
        <v>29</v>
      </c>
      <c r="D2441" t="s">
        <v>292</v>
      </c>
      <c r="E2441">
        <v>0.35</v>
      </c>
      <c r="F2441">
        <v>27</v>
      </c>
      <c r="G2441">
        <v>9.4499999999999993</v>
      </c>
    </row>
    <row r="2442" spans="1:7" x14ac:dyDescent="0.2">
      <c r="A2442" t="s">
        <v>181</v>
      </c>
      <c r="B2442" t="s">
        <v>1018</v>
      </c>
      <c r="C2442" t="s">
        <v>30</v>
      </c>
      <c r="D2442" t="s">
        <v>332</v>
      </c>
      <c r="E2442">
        <v>1</v>
      </c>
      <c r="F2442">
        <v>6</v>
      </c>
      <c r="G2442">
        <v>6</v>
      </c>
    </row>
    <row r="2443" spans="1:7" x14ac:dyDescent="0.2">
      <c r="A2443" t="s">
        <v>181</v>
      </c>
      <c r="B2443" t="s">
        <v>1018</v>
      </c>
      <c r="C2443" t="s">
        <v>101</v>
      </c>
      <c r="D2443" t="s">
        <v>333</v>
      </c>
      <c r="E2443">
        <v>0.18</v>
      </c>
      <c r="F2443">
        <v>1200</v>
      </c>
      <c r="G2443">
        <v>216</v>
      </c>
    </row>
    <row r="2444" spans="1:7" x14ac:dyDescent="0.2">
      <c r="A2444" t="s">
        <v>181</v>
      </c>
      <c r="B2444" t="s">
        <v>1018</v>
      </c>
      <c r="C2444" t="s">
        <v>121</v>
      </c>
      <c r="D2444" t="s">
        <v>301</v>
      </c>
      <c r="E2444">
        <v>1</v>
      </c>
      <c r="F2444">
        <v>0.95</v>
      </c>
      <c r="G2444">
        <v>0.95</v>
      </c>
    </row>
    <row r="2445" spans="1:7" x14ac:dyDescent="0.2">
      <c r="A2445" t="s">
        <v>181</v>
      </c>
      <c r="B2445" t="s">
        <v>1018</v>
      </c>
      <c r="C2445" t="s">
        <v>122</v>
      </c>
      <c r="D2445" t="s">
        <v>302</v>
      </c>
      <c r="E2445">
        <v>1</v>
      </c>
      <c r="F2445">
        <v>4.2</v>
      </c>
      <c r="G2445">
        <v>4.2</v>
      </c>
    </row>
    <row r="2446" spans="1:7" x14ac:dyDescent="0.2">
      <c r="A2446" t="s">
        <v>181</v>
      </c>
      <c r="B2446" t="s">
        <v>1018</v>
      </c>
      <c r="C2446" t="s">
        <v>4</v>
      </c>
      <c r="D2446" t="s">
        <v>304</v>
      </c>
      <c r="E2446">
        <v>2.2000000000000002</v>
      </c>
      <c r="F2446">
        <v>10.1</v>
      </c>
      <c r="G2446">
        <v>22.22</v>
      </c>
    </row>
    <row r="2447" spans="1:7" x14ac:dyDescent="0.2">
      <c r="A2447" t="s">
        <v>181</v>
      </c>
      <c r="B2447" t="s">
        <v>1018</v>
      </c>
      <c r="C2447" t="s">
        <v>105</v>
      </c>
      <c r="D2447" t="s">
        <v>313</v>
      </c>
      <c r="E2447">
        <v>20</v>
      </c>
      <c r="F2447">
        <v>0.1</v>
      </c>
      <c r="G2447">
        <v>2</v>
      </c>
    </row>
    <row r="2448" spans="1:7" x14ac:dyDescent="0.2">
      <c r="A2448" t="s">
        <v>181</v>
      </c>
      <c r="B2448" t="s">
        <v>1018</v>
      </c>
      <c r="C2448" t="s">
        <v>107</v>
      </c>
      <c r="D2448" t="s">
        <v>316</v>
      </c>
      <c r="E2448">
        <v>20</v>
      </c>
      <c r="F2448">
        <v>0.1</v>
      </c>
      <c r="G2448">
        <v>2</v>
      </c>
    </row>
    <row r="2449" spans="1:7" x14ac:dyDescent="0.2">
      <c r="A2449" t="s">
        <v>181</v>
      </c>
      <c r="B2449" t="s">
        <v>1018</v>
      </c>
      <c r="C2449" t="s">
        <v>115</v>
      </c>
      <c r="D2449" t="s">
        <v>381</v>
      </c>
      <c r="E2449">
        <v>100</v>
      </c>
      <c r="F2449">
        <v>0.1</v>
      </c>
      <c r="G2449">
        <v>10</v>
      </c>
    </row>
    <row r="2450" spans="1:7" x14ac:dyDescent="0.2">
      <c r="A2450" t="s">
        <v>176</v>
      </c>
      <c r="B2450" t="s">
        <v>1013</v>
      </c>
      <c r="C2450" t="s">
        <v>94</v>
      </c>
      <c r="D2450" t="s">
        <v>280</v>
      </c>
      <c r="E2450">
        <v>1</v>
      </c>
      <c r="F2450">
        <v>3.5</v>
      </c>
      <c r="G2450">
        <v>3.5</v>
      </c>
    </row>
    <row r="2451" spans="1:7" x14ac:dyDescent="0.2">
      <c r="A2451" t="s">
        <v>176</v>
      </c>
      <c r="B2451" t="s">
        <v>1013</v>
      </c>
      <c r="C2451" t="s">
        <v>95</v>
      </c>
      <c r="D2451" t="s">
        <v>281</v>
      </c>
      <c r="E2451">
        <v>1</v>
      </c>
      <c r="F2451">
        <v>2</v>
      </c>
      <c r="G2451">
        <v>2</v>
      </c>
    </row>
    <row r="2452" spans="1:7" x14ac:dyDescent="0.2">
      <c r="A2452" t="s">
        <v>176</v>
      </c>
      <c r="B2452" t="s">
        <v>1013</v>
      </c>
      <c r="C2452" t="s">
        <v>44</v>
      </c>
      <c r="D2452" t="s">
        <v>324</v>
      </c>
      <c r="E2452">
        <v>0.3</v>
      </c>
      <c r="F2452">
        <v>65</v>
      </c>
      <c r="G2452">
        <v>19.5</v>
      </c>
    </row>
    <row r="2453" spans="1:7" x14ac:dyDescent="0.2">
      <c r="A2453" t="s">
        <v>176</v>
      </c>
      <c r="B2453" t="s">
        <v>1013</v>
      </c>
      <c r="C2453" t="s">
        <v>53</v>
      </c>
      <c r="D2453" t="s">
        <v>325</v>
      </c>
      <c r="E2453">
        <v>0.9</v>
      </c>
      <c r="F2453">
        <v>120</v>
      </c>
      <c r="G2453">
        <v>108</v>
      </c>
    </row>
    <row r="2454" spans="1:7" x14ac:dyDescent="0.2">
      <c r="A2454" t="s">
        <v>176</v>
      </c>
      <c r="B2454" t="s">
        <v>1013</v>
      </c>
      <c r="C2454" t="s">
        <v>69</v>
      </c>
      <c r="D2454" t="s">
        <v>288</v>
      </c>
      <c r="E2454">
        <v>0.19</v>
      </c>
      <c r="F2454">
        <v>190</v>
      </c>
      <c r="G2454">
        <v>36.1</v>
      </c>
    </row>
    <row r="2455" spans="1:7" x14ac:dyDescent="0.2">
      <c r="A2455" t="s">
        <v>176</v>
      </c>
      <c r="B2455" t="s">
        <v>1013</v>
      </c>
      <c r="C2455" t="s">
        <v>89</v>
      </c>
      <c r="D2455" t="s">
        <v>379</v>
      </c>
      <c r="E2455">
        <v>0.75</v>
      </c>
      <c r="F2455">
        <v>170</v>
      </c>
      <c r="G2455">
        <v>127.5</v>
      </c>
    </row>
    <row r="2456" spans="1:7" x14ac:dyDescent="0.2">
      <c r="A2456" t="s">
        <v>176</v>
      </c>
      <c r="B2456" t="s">
        <v>1013</v>
      </c>
      <c r="C2456" t="s">
        <v>93</v>
      </c>
      <c r="D2456" t="s">
        <v>327</v>
      </c>
      <c r="E2456">
        <v>0.125</v>
      </c>
      <c r="F2456">
        <v>70</v>
      </c>
      <c r="G2456">
        <v>8.75</v>
      </c>
    </row>
    <row r="2457" spans="1:7" x14ac:dyDescent="0.2">
      <c r="A2457" t="s">
        <v>176</v>
      </c>
      <c r="B2457" t="s">
        <v>1013</v>
      </c>
      <c r="C2457" t="s">
        <v>47</v>
      </c>
      <c r="D2457" t="s">
        <v>328</v>
      </c>
      <c r="E2457">
        <v>0.08</v>
      </c>
      <c r="F2457">
        <v>235</v>
      </c>
      <c r="G2457">
        <v>18.8</v>
      </c>
    </row>
    <row r="2458" spans="1:7" x14ac:dyDescent="0.2">
      <c r="A2458" t="s">
        <v>176</v>
      </c>
      <c r="B2458" t="s">
        <v>1013</v>
      </c>
      <c r="C2458" t="s">
        <v>49</v>
      </c>
      <c r="D2458" t="s">
        <v>290</v>
      </c>
      <c r="E2458">
        <v>7.4999999999999997E-2</v>
      </c>
      <c r="F2458">
        <v>248</v>
      </c>
      <c r="G2458">
        <v>18.600000000000001</v>
      </c>
    </row>
    <row r="2459" spans="1:7" x14ac:dyDescent="0.2">
      <c r="A2459" t="s">
        <v>176</v>
      </c>
      <c r="B2459" t="s">
        <v>1013</v>
      </c>
      <c r="C2459" t="s">
        <v>19</v>
      </c>
      <c r="D2459" t="s">
        <v>329</v>
      </c>
      <c r="E2459">
        <v>1</v>
      </c>
      <c r="F2459">
        <v>2.9</v>
      </c>
      <c r="G2459">
        <v>2.9</v>
      </c>
    </row>
    <row r="2460" spans="1:7" x14ac:dyDescent="0.2">
      <c r="A2460" t="s">
        <v>176</v>
      </c>
      <c r="B2460" t="s">
        <v>1013</v>
      </c>
      <c r="C2460" t="s">
        <v>20</v>
      </c>
      <c r="D2460" t="s">
        <v>330</v>
      </c>
      <c r="E2460">
        <v>1</v>
      </c>
      <c r="F2460">
        <v>2.9</v>
      </c>
      <c r="G2460">
        <v>2.9</v>
      </c>
    </row>
    <row r="2461" spans="1:7" x14ac:dyDescent="0.2">
      <c r="A2461" t="s">
        <v>176</v>
      </c>
      <c r="B2461" t="s">
        <v>1013</v>
      </c>
      <c r="C2461" t="s">
        <v>22</v>
      </c>
      <c r="D2461" t="s">
        <v>331</v>
      </c>
      <c r="E2461">
        <v>2</v>
      </c>
      <c r="F2461">
        <v>2.5</v>
      </c>
      <c r="G2461">
        <v>5</v>
      </c>
    </row>
    <row r="2462" spans="1:7" x14ac:dyDescent="0.2">
      <c r="A2462" t="s">
        <v>176</v>
      </c>
      <c r="B2462" t="s">
        <v>1013</v>
      </c>
      <c r="C2462" t="s">
        <v>29</v>
      </c>
      <c r="D2462" t="s">
        <v>292</v>
      </c>
      <c r="E2462">
        <v>0.35</v>
      </c>
      <c r="F2462">
        <v>27</v>
      </c>
      <c r="G2462">
        <v>9.4499999999999993</v>
      </c>
    </row>
    <row r="2463" spans="1:7" x14ac:dyDescent="0.2">
      <c r="A2463" t="s">
        <v>176</v>
      </c>
      <c r="B2463" t="s">
        <v>1013</v>
      </c>
      <c r="C2463" t="s">
        <v>30</v>
      </c>
      <c r="D2463" t="s">
        <v>332</v>
      </c>
      <c r="E2463">
        <v>1</v>
      </c>
      <c r="F2463">
        <v>6</v>
      </c>
      <c r="G2463">
        <v>6</v>
      </c>
    </row>
    <row r="2464" spans="1:7" x14ac:dyDescent="0.2">
      <c r="A2464" t="s">
        <v>176</v>
      </c>
      <c r="B2464" t="s">
        <v>1013</v>
      </c>
      <c r="C2464" t="s">
        <v>103</v>
      </c>
      <c r="D2464" t="s">
        <v>349</v>
      </c>
      <c r="E2464">
        <v>0.18</v>
      </c>
      <c r="F2464">
        <v>890</v>
      </c>
      <c r="G2464">
        <v>160.19999999999999</v>
      </c>
    </row>
    <row r="2465" spans="1:7" x14ac:dyDescent="0.2">
      <c r="A2465" t="s">
        <v>176</v>
      </c>
      <c r="B2465" t="s">
        <v>1013</v>
      </c>
      <c r="C2465" t="s">
        <v>121</v>
      </c>
      <c r="D2465" t="s">
        <v>301</v>
      </c>
      <c r="E2465">
        <v>1</v>
      </c>
      <c r="F2465">
        <v>0.95</v>
      </c>
      <c r="G2465">
        <v>0.95</v>
      </c>
    </row>
    <row r="2466" spans="1:7" x14ac:dyDescent="0.2">
      <c r="A2466" t="s">
        <v>176</v>
      </c>
      <c r="B2466" t="s">
        <v>1013</v>
      </c>
      <c r="C2466" t="s">
        <v>122</v>
      </c>
      <c r="D2466" t="s">
        <v>302</v>
      </c>
      <c r="E2466">
        <v>1</v>
      </c>
      <c r="F2466">
        <v>4.2</v>
      </c>
      <c r="G2466">
        <v>4.2</v>
      </c>
    </row>
    <row r="2467" spans="1:7" x14ac:dyDescent="0.2">
      <c r="A2467" t="s">
        <v>176</v>
      </c>
      <c r="B2467" t="s">
        <v>1013</v>
      </c>
      <c r="C2467" t="s">
        <v>4</v>
      </c>
      <c r="D2467" t="s">
        <v>304</v>
      </c>
      <c r="E2467">
        <v>2.2000000000000002</v>
      </c>
      <c r="F2467">
        <v>10.1</v>
      </c>
      <c r="G2467">
        <v>22.22</v>
      </c>
    </row>
    <row r="2468" spans="1:7" x14ac:dyDescent="0.2">
      <c r="A2468" t="s">
        <v>176</v>
      </c>
      <c r="B2468" t="s">
        <v>1013</v>
      </c>
      <c r="C2468" t="s">
        <v>105</v>
      </c>
      <c r="D2468" t="s">
        <v>313</v>
      </c>
      <c r="E2468">
        <v>10</v>
      </c>
      <c r="F2468">
        <v>0.1</v>
      </c>
      <c r="G2468">
        <v>1</v>
      </c>
    </row>
    <row r="2469" spans="1:7" x14ac:dyDescent="0.2">
      <c r="A2469" t="s">
        <v>176</v>
      </c>
      <c r="B2469" t="s">
        <v>1013</v>
      </c>
      <c r="C2469" t="s">
        <v>107</v>
      </c>
      <c r="D2469" t="s">
        <v>316</v>
      </c>
      <c r="E2469">
        <v>20</v>
      </c>
      <c r="F2469">
        <v>0.1</v>
      </c>
      <c r="G2469">
        <v>2</v>
      </c>
    </row>
    <row r="2470" spans="1:7" x14ac:dyDescent="0.2">
      <c r="A2470" t="s">
        <v>176</v>
      </c>
      <c r="B2470" t="s">
        <v>1013</v>
      </c>
      <c r="C2470" t="s">
        <v>114</v>
      </c>
      <c r="D2470" t="s">
        <v>350</v>
      </c>
      <c r="E2470">
        <v>20</v>
      </c>
      <c r="F2470">
        <v>0.1</v>
      </c>
      <c r="G2470">
        <v>2</v>
      </c>
    </row>
    <row r="2471" spans="1:7" x14ac:dyDescent="0.2">
      <c r="A2471" t="s">
        <v>176</v>
      </c>
      <c r="B2471" t="s">
        <v>1013</v>
      </c>
      <c r="C2471" t="s">
        <v>115</v>
      </c>
      <c r="D2471" t="s">
        <v>381</v>
      </c>
      <c r="E2471">
        <v>100</v>
      </c>
      <c r="F2471">
        <v>0.1</v>
      </c>
      <c r="G2471">
        <v>10</v>
      </c>
    </row>
    <row r="2472" spans="1:7" x14ac:dyDescent="0.2">
      <c r="A2472" t="s">
        <v>183</v>
      </c>
      <c r="B2472" t="s">
        <v>1020</v>
      </c>
      <c r="C2472" t="s">
        <v>94</v>
      </c>
      <c r="D2472" t="s">
        <v>280</v>
      </c>
      <c r="E2472">
        <v>1</v>
      </c>
      <c r="F2472">
        <v>3.5</v>
      </c>
      <c r="G2472">
        <v>3.5</v>
      </c>
    </row>
    <row r="2473" spans="1:7" x14ac:dyDescent="0.2">
      <c r="A2473" t="s">
        <v>183</v>
      </c>
      <c r="B2473" t="s">
        <v>1020</v>
      </c>
      <c r="C2473" t="s">
        <v>95</v>
      </c>
      <c r="D2473" t="s">
        <v>281</v>
      </c>
      <c r="E2473">
        <v>1</v>
      </c>
      <c r="F2473">
        <v>2</v>
      </c>
      <c r="G2473">
        <v>2</v>
      </c>
    </row>
    <row r="2474" spans="1:7" x14ac:dyDescent="0.2">
      <c r="A2474" t="s">
        <v>183</v>
      </c>
      <c r="B2474" t="s">
        <v>1020</v>
      </c>
      <c r="C2474" t="s">
        <v>44</v>
      </c>
      <c r="D2474" t="s">
        <v>324</v>
      </c>
      <c r="E2474">
        <v>0.3</v>
      </c>
      <c r="F2474">
        <v>65</v>
      </c>
      <c r="G2474">
        <v>19.5</v>
      </c>
    </row>
    <row r="2475" spans="1:7" x14ac:dyDescent="0.2">
      <c r="A2475" t="s">
        <v>183</v>
      </c>
      <c r="B2475" t="s">
        <v>1020</v>
      </c>
      <c r="C2475" t="s">
        <v>53</v>
      </c>
      <c r="D2475" t="s">
        <v>325</v>
      </c>
      <c r="E2475">
        <v>0.9</v>
      </c>
      <c r="F2475">
        <v>120</v>
      </c>
      <c r="G2475">
        <v>108</v>
      </c>
    </row>
    <row r="2476" spans="1:7" x14ac:dyDescent="0.2">
      <c r="A2476" t="s">
        <v>183</v>
      </c>
      <c r="B2476" t="s">
        <v>1020</v>
      </c>
      <c r="C2476" t="s">
        <v>69</v>
      </c>
      <c r="D2476" t="s">
        <v>288</v>
      </c>
      <c r="E2476">
        <v>0.19</v>
      </c>
      <c r="F2476">
        <v>190</v>
      </c>
      <c r="G2476">
        <v>36.1</v>
      </c>
    </row>
    <row r="2477" spans="1:7" x14ac:dyDescent="0.2">
      <c r="A2477" t="s">
        <v>183</v>
      </c>
      <c r="B2477" t="s">
        <v>1020</v>
      </c>
      <c r="C2477" t="s">
        <v>90</v>
      </c>
      <c r="D2477" t="s">
        <v>382</v>
      </c>
      <c r="E2477">
        <v>0.75</v>
      </c>
      <c r="F2477">
        <v>170</v>
      </c>
      <c r="G2477">
        <v>127.5</v>
      </c>
    </row>
    <row r="2478" spans="1:7" x14ac:dyDescent="0.2">
      <c r="A2478" t="s">
        <v>183</v>
      </c>
      <c r="B2478" t="s">
        <v>1020</v>
      </c>
      <c r="C2478" t="s">
        <v>93</v>
      </c>
      <c r="D2478" t="s">
        <v>327</v>
      </c>
      <c r="E2478">
        <v>0.125</v>
      </c>
      <c r="F2478">
        <v>70</v>
      </c>
      <c r="G2478">
        <v>8.75</v>
      </c>
    </row>
    <row r="2479" spans="1:7" x14ac:dyDescent="0.2">
      <c r="A2479" t="s">
        <v>183</v>
      </c>
      <c r="B2479" t="s">
        <v>1020</v>
      </c>
      <c r="C2479" t="s">
        <v>47</v>
      </c>
      <c r="D2479" t="s">
        <v>328</v>
      </c>
      <c r="E2479">
        <v>0.08</v>
      </c>
      <c r="F2479">
        <v>235</v>
      </c>
      <c r="G2479">
        <v>18.8</v>
      </c>
    </row>
    <row r="2480" spans="1:7" x14ac:dyDescent="0.2">
      <c r="A2480" t="s">
        <v>183</v>
      </c>
      <c r="B2480" t="s">
        <v>1020</v>
      </c>
      <c r="C2480" t="s">
        <v>49</v>
      </c>
      <c r="D2480" t="s">
        <v>290</v>
      </c>
      <c r="E2480">
        <v>7.4999999999999997E-2</v>
      </c>
      <c r="F2480">
        <v>248</v>
      </c>
      <c r="G2480">
        <v>18.600000000000001</v>
      </c>
    </row>
    <row r="2481" spans="1:7" x14ac:dyDescent="0.2">
      <c r="A2481" t="s">
        <v>183</v>
      </c>
      <c r="B2481" t="s">
        <v>1020</v>
      </c>
      <c r="C2481" t="s">
        <v>19</v>
      </c>
      <c r="D2481" t="s">
        <v>329</v>
      </c>
      <c r="E2481">
        <v>1</v>
      </c>
      <c r="F2481">
        <v>2.9</v>
      </c>
      <c r="G2481">
        <v>2.9</v>
      </c>
    </row>
    <row r="2482" spans="1:7" x14ac:dyDescent="0.2">
      <c r="A2482" t="s">
        <v>183</v>
      </c>
      <c r="B2482" t="s">
        <v>1020</v>
      </c>
      <c r="C2482" t="s">
        <v>20</v>
      </c>
      <c r="D2482" t="s">
        <v>330</v>
      </c>
      <c r="E2482">
        <v>1</v>
      </c>
      <c r="F2482">
        <v>2.9</v>
      </c>
      <c r="G2482">
        <v>2.9</v>
      </c>
    </row>
    <row r="2483" spans="1:7" x14ac:dyDescent="0.2">
      <c r="A2483" t="s">
        <v>183</v>
      </c>
      <c r="B2483" t="s">
        <v>1020</v>
      </c>
      <c r="C2483" t="s">
        <v>22</v>
      </c>
      <c r="D2483" t="s">
        <v>331</v>
      </c>
      <c r="E2483">
        <v>2</v>
      </c>
      <c r="F2483">
        <v>2.5</v>
      </c>
      <c r="G2483">
        <v>5</v>
      </c>
    </row>
    <row r="2484" spans="1:7" x14ac:dyDescent="0.2">
      <c r="A2484" t="s">
        <v>183</v>
      </c>
      <c r="B2484" t="s">
        <v>1020</v>
      </c>
      <c r="C2484" t="s">
        <v>29</v>
      </c>
      <c r="D2484" t="s">
        <v>292</v>
      </c>
      <c r="E2484">
        <v>0.35</v>
      </c>
      <c r="F2484">
        <v>27</v>
      </c>
      <c r="G2484">
        <v>9.4499999999999993</v>
      </c>
    </row>
    <row r="2485" spans="1:7" x14ac:dyDescent="0.2">
      <c r="A2485" t="s">
        <v>183</v>
      </c>
      <c r="B2485" t="s">
        <v>1020</v>
      </c>
      <c r="C2485" t="s">
        <v>30</v>
      </c>
      <c r="D2485" t="s">
        <v>332</v>
      </c>
      <c r="E2485">
        <v>1</v>
      </c>
      <c r="F2485">
        <v>6</v>
      </c>
      <c r="G2485">
        <v>6</v>
      </c>
    </row>
    <row r="2486" spans="1:7" x14ac:dyDescent="0.2">
      <c r="A2486" t="s">
        <v>183</v>
      </c>
      <c r="B2486" t="s">
        <v>1020</v>
      </c>
      <c r="C2486" t="s">
        <v>101</v>
      </c>
      <c r="D2486" t="s">
        <v>333</v>
      </c>
      <c r="E2486">
        <v>0.18</v>
      </c>
      <c r="F2486">
        <v>1200</v>
      </c>
      <c r="G2486">
        <v>216</v>
      </c>
    </row>
    <row r="2487" spans="1:7" x14ac:dyDescent="0.2">
      <c r="A2487" t="s">
        <v>183</v>
      </c>
      <c r="B2487" t="s">
        <v>1020</v>
      </c>
      <c r="C2487" t="s">
        <v>121</v>
      </c>
      <c r="D2487" t="s">
        <v>301</v>
      </c>
      <c r="E2487">
        <v>1</v>
      </c>
      <c r="F2487">
        <v>0.95</v>
      </c>
      <c r="G2487">
        <v>0.95</v>
      </c>
    </row>
    <row r="2488" spans="1:7" x14ac:dyDescent="0.2">
      <c r="A2488" t="s">
        <v>183</v>
      </c>
      <c r="B2488" t="s">
        <v>1020</v>
      </c>
      <c r="C2488" t="s">
        <v>122</v>
      </c>
      <c r="D2488" t="s">
        <v>302</v>
      </c>
      <c r="E2488">
        <v>1</v>
      </c>
      <c r="F2488">
        <v>4.2</v>
      </c>
      <c r="G2488">
        <v>4.2</v>
      </c>
    </row>
    <row r="2489" spans="1:7" x14ac:dyDescent="0.2">
      <c r="A2489" t="s">
        <v>183</v>
      </c>
      <c r="B2489" t="s">
        <v>1020</v>
      </c>
      <c r="C2489" t="s">
        <v>4</v>
      </c>
      <c r="D2489" t="s">
        <v>304</v>
      </c>
      <c r="E2489">
        <v>2.2000000000000002</v>
      </c>
      <c r="F2489">
        <v>10.1</v>
      </c>
      <c r="G2489">
        <v>22.22</v>
      </c>
    </row>
    <row r="2490" spans="1:7" x14ac:dyDescent="0.2">
      <c r="A2490" t="s">
        <v>183</v>
      </c>
      <c r="B2490" t="s">
        <v>1020</v>
      </c>
      <c r="C2490" t="s">
        <v>105</v>
      </c>
      <c r="D2490" t="s">
        <v>313</v>
      </c>
      <c r="E2490">
        <v>20</v>
      </c>
      <c r="F2490">
        <v>0.1</v>
      </c>
      <c r="G2490">
        <v>2</v>
      </c>
    </row>
    <row r="2491" spans="1:7" x14ac:dyDescent="0.2">
      <c r="A2491" t="s">
        <v>183</v>
      </c>
      <c r="B2491" t="s">
        <v>1020</v>
      </c>
      <c r="C2491" t="s">
        <v>107</v>
      </c>
      <c r="D2491" t="s">
        <v>316</v>
      </c>
      <c r="E2491">
        <v>20</v>
      </c>
      <c r="F2491">
        <v>0.1</v>
      </c>
      <c r="G2491">
        <v>2</v>
      </c>
    </row>
    <row r="2492" spans="1:7" x14ac:dyDescent="0.2">
      <c r="A2492" t="s">
        <v>183</v>
      </c>
      <c r="B2492" t="s">
        <v>1020</v>
      </c>
      <c r="C2492" t="s">
        <v>116</v>
      </c>
      <c r="D2492" t="s">
        <v>373</v>
      </c>
      <c r="E2492">
        <v>100</v>
      </c>
      <c r="F2492">
        <v>0.1</v>
      </c>
      <c r="G2492">
        <v>10</v>
      </c>
    </row>
    <row r="2493" spans="1:7" x14ac:dyDescent="0.2">
      <c r="A2493" t="s">
        <v>175</v>
      </c>
      <c r="B2493" t="s">
        <v>1012</v>
      </c>
      <c r="C2493" t="s">
        <v>94</v>
      </c>
      <c r="D2493" t="s">
        <v>280</v>
      </c>
      <c r="E2493">
        <v>1</v>
      </c>
      <c r="F2493">
        <v>3.5</v>
      </c>
      <c r="G2493">
        <v>3.5</v>
      </c>
    </row>
    <row r="2494" spans="1:7" x14ac:dyDescent="0.2">
      <c r="A2494" t="s">
        <v>175</v>
      </c>
      <c r="B2494" t="s">
        <v>1012</v>
      </c>
      <c r="C2494" t="s">
        <v>95</v>
      </c>
      <c r="D2494" t="s">
        <v>281</v>
      </c>
      <c r="E2494">
        <v>1</v>
      </c>
      <c r="F2494">
        <v>2</v>
      </c>
      <c r="G2494">
        <v>2</v>
      </c>
    </row>
    <row r="2495" spans="1:7" x14ac:dyDescent="0.2">
      <c r="A2495" t="s">
        <v>175</v>
      </c>
      <c r="B2495" t="s">
        <v>1012</v>
      </c>
      <c r="C2495" t="s">
        <v>44</v>
      </c>
      <c r="D2495" t="s">
        <v>324</v>
      </c>
      <c r="E2495">
        <v>0.3</v>
      </c>
      <c r="F2495">
        <v>65</v>
      </c>
      <c r="G2495">
        <v>19.5</v>
      </c>
    </row>
    <row r="2496" spans="1:7" x14ac:dyDescent="0.2">
      <c r="A2496" t="s">
        <v>175</v>
      </c>
      <c r="B2496" t="s">
        <v>1012</v>
      </c>
      <c r="C2496" t="s">
        <v>53</v>
      </c>
      <c r="D2496" t="s">
        <v>325</v>
      </c>
      <c r="E2496">
        <v>0.9</v>
      </c>
      <c r="F2496">
        <v>120</v>
      </c>
      <c r="G2496">
        <v>108</v>
      </c>
    </row>
    <row r="2497" spans="1:7" x14ac:dyDescent="0.2">
      <c r="A2497" t="s">
        <v>175</v>
      </c>
      <c r="B2497" t="s">
        <v>1012</v>
      </c>
      <c r="C2497" t="s">
        <v>69</v>
      </c>
      <c r="D2497" t="s">
        <v>288</v>
      </c>
      <c r="E2497">
        <v>0.19</v>
      </c>
      <c r="F2497">
        <v>190</v>
      </c>
      <c r="G2497">
        <v>36.1</v>
      </c>
    </row>
    <row r="2498" spans="1:7" x14ac:dyDescent="0.2">
      <c r="A2498" t="s">
        <v>175</v>
      </c>
      <c r="B2498" t="s">
        <v>1012</v>
      </c>
      <c r="C2498" t="s">
        <v>88</v>
      </c>
      <c r="D2498" t="s">
        <v>383</v>
      </c>
      <c r="E2498">
        <v>0.75</v>
      </c>
      <c r="F2498">
        <v>170</v>
      </c>
      <c r="G2498">
        <v>127.5</v>
      </c>
    </row>
    <row r="2499" spans="1:7" x14ac:dyDescent="0.2">
      <c r="A2499" t="s">
        <v>175</v>
      </c>
      <c r="B2499" t="s">
        <v>1012</v>
      </c>
      <c r="C2499" t="s">
        <v>93</v>
      </c>
      <c r="D2499" t="s">
        <v>327</v>
      </c>
      <c r="E2499">
        <v>0.125</v>
      </c>
      <c r="F2499">
        <v>70</v>
      </c>
      <c r="G2499">
        <v>8.75</v>
      </c>
    </row>
    <row r="2500" spans="1:7" x14ac:dyDescent="0.2">
      <c r="A2500" t="s">
        <v>175</v>
      </c>
      <c r="B2500" t="s">
        <v>1012</v>
      </c>
      <c r="C2500" t="s">
        <v>47</v>
      </c>
      <c r="D2500" t="s">
        <v>328</v>
      </c>
      <c r="E2500">
        <v>0.08</v>
      </c>
      <c r="F2500">
        <v>235</v>
      </c>
      <c r="G2500">
        <v>18.8</v>
      </c>
    </row>
    <row r="2501" spans="1:7" x14ac:dyDescent="0.2">
      <c r="A2501" t="s">
        <v>175</v>
      </c>
      <c r="B2501" t="s">
        <v>1012</v>
      </c>
      <c r="C2501" t="s">
        <v>49</v>
      </c>
      <c r="D2501" t="s">
        <v>290</v>
      </c>
      <c r="E2501">
        <v>7.4999999999999997E-2</v>
      </c>
      <c r="F2501">
        <v>248</v>
      </c>
      <c r="G2501">
        <v>18.600000000000001</v>
      </c>
    </row>
    <row r="2502" spans="1:7" x14ac:dyDescent="0.2">
      <c r="A2502" t="s">
        <v>175</v>
      </c>
      <c r="B2502" t="s">
        <v>1012</v>
      </c>
      <c r="C2502" t="s">
        <v>19</v>
      </c>
      <c r="D2502" t="s">
        <v>329</v>
      </c>
      <c r="E2502">
        <v>1</v>
      </c>
      <c r="F2502">
        <v>2.9</v>
      </c>
      <c r="G2502">
        <v>2.9</v>
      </c>
    </row>
    <row r="2503" spans="1:7" x14ac:dyDescent="0.2">
      <c r="A2503" t="s">
        <v>175</v>
      </c>
      <c r="B2503" t="s">
        <v>1012</v>
      </c>
      <c r="C2503" t="s">
        <v>20</v>
      </c>
      <c r="D2503" t="s">
        <v>330</v>
      </c>
      <c r="E2503">
        <v>1</v>
      </c>
      <c r="F2503">
        <v>2.9</v>
      </c>
      <c r="G2503">
        <v>2.9</v>
      </c>
    </row>
    <row r="2504" spans="1:7" x14ac:dyDescent="0.2">
      <c r="A2504" t="s">
        <v>175</v>
      </c>
      <c r="B2504" t="s">
        <v>1012</v>
      </c>
      <c r="C2504" t="s">
        <v>22</v>
      </c>
      <c r="D2504" t="s">
        <v>331</v>
      </c>
      <c r="E2504">
        <v>2</v>
      </c>
      <c r="F2504">
        <v>2.5</v>
      </c>
      <c r="G2504">
        <v>5</v>
      </c>
    </row>
    <row r="2505" spans="1:7" x14ac:dyDescent="0.2">
      <c r="A2505" t="s">
        <v>175</v>
      </c>
      <c r="B2505" t="s">
        <v>1012</v>
      </c>
      <c r="C2505" t="s">
        <v>29</v>
      </c>
      <c r="D2505" t="s">
        <v>292</v>
      </c>
      <c r="E2505">
        <v>0.35</v>
      </c>
      <c r="F2505">
        <v>27</v>
      </c>
      <c r="G2505">
        <v>9.4499999999999993</v>
      </c>
    </row>
    <row r="2506" spans="1:7" x14ac:dyDescent="0.2">
      <c r="A2506" t="s">
        <v>175</v>
      </c>
      <c r="B2506" t="s">
        <v>1012</v>
      </c>
      <c r="C2506" t="s">
        <v>30</v>
      </c>
      <c r="D2506" t="s">
        <v>332</v>
      </c>
      <c r="E2506">
        <v>1</v>
      </c>
      <c r="F2506">
        <v>6</v>
      </c>
      <c r="G2506">
        <v>6</v>
      </c>
    </row>
    <row r="2507" spans="1:7" x14ac:dyDescent="0.2">
      <c r="A2507" t="s">
        <v>175</v>
      </c>
      <c r="B2507" t="s">
        <v>1012</v>
      </c>
      <c r="C2507" t="s">
        <v>103</v>
      </c>
      <c r="D2507" t="s">
        <v>349</v>
      </c>
      <c r="E2507">
        <v>0.18</v>
      </c>
      <c r="F2507">
        <v>890</v>
      </c>
      <c r="G2507">
        <v>160.19999999999999</v>
      </c>
    </row>
    <row r="2508" spans="1:7" x14ac:dyDescent="0.2">
      <c r="A2508" t="s">
        <v>175</v>
      </c>
      <c r="B2508" t="s">
        <v>1012</v>
      </c>
      <c r="C2508" t="s">
        <v>121</v>
      </c>
      <c r="D2508" t="s">
        <v>301</v>
      </c>
      <c r="E2508">
        <v>1</v>
      </c>
      <c r="F2508">
        <v>0.95</v>
      </c>
      <c r="G2508">
        <v>0.95</v>
      </c>
    </row>
    <row r="2509" spans="1:7" x14ac:dyDescent="0.2">
      <c r="A2509" t="s">
        <v>175</v>
      </c>
      <c r="B2509" t="s">
        <v>1012</v>
      </c>
      <c r="C2509" t="s">
        <v>122</v>
      </c>
      <c r="D2509" t="s">
        <v>302</v>
      </c>
      <c r="E2509">
        <v>1</v>
      </c>
      <c r="F2509">
        <v>4.2</v>
      </c>
      <c r="G2509">
        <v>4.2</v>
      </c>
    </row>
    <row r="2510" spans="1:7" x14ac:dyDescent="0.2">
      <c r="A2510" t="s">
        <v>175</v>
      </c>
      <c r="B2510" t="s">
        <v>1012</v>
      </c>
      <c r="C2510" t="s">
        <v>4</v>
      </c>
      <c r="D2510" t="s">
        <v>304</v>
      </c>
      <c r="E2510">
        <v>2.2000000000000002</v>
      </c>
      <c r="F2510">
        <v>10.1</v>
      </c>
      <c r="G2510">
        <v>22.22</v>
      </c>
    </row>
    <row r="2511" spans="1:7" x14ac:dyDescent="0.2">
      <c r="A2511" t="s">
        <v>175</v>
      </c>
      <c r="B2511" t="s">
        <v>1012</v>
      </c>
      <c r="C2511" t="s">
        <v>105</v>
      </c>
      <c r="D2511" t="s">
        <v>313</v>
      </c>
      <c r="E2511">
        <v>10</v>
      </c>
      <c r="F2511">
        <v>0.1</v>
      </c>
      <c r="G2511">
        <v>1</v>
      </c>
    </row>
    <row r="2512" spans="1:7" x14ac:dyDescent="0.2">
      <c r="A2512" t="s">
        <v>175</v>
      </c>
      <c r="B2512" t="s">
        <v>1012</v>
      </c>
      <c r="C2512" t="s">
        <v>107</v>
      </c>
      <c r="D2512" t="s">
        <v>316</v>
      </c>
      <c r="E2512">
        <v>20</v>
      </c>
      <c r="F2512">
        <v>0.1</v>
      </c>
      <c r="G2512">
        <v>2</v>
      </c>
    </row>
    <row r="2513" spans="1:7" x14ac:dyDescent="0.2">
      <c r="A2513" t="s">
        <v>175</v>
      </c>
      <c r="B2513" t="s">
        <v>1012</v>
      </c>
      <c r="C2513" t="s">
        <v>108</v>
      </c>
      <c r="D2513" t="s">
        <v>323</v>
      </c>
      <c r="E2513">
        <v>100</v>
      </c>
      <c r="F2513">
        <v>0.1</v>
      </c>
      <c r="G2513">
        <v>10</v>
      </c>
    </row>
    <row r="2514" spans="1:7" x14ac:dyDescent="0.2">
      <c r="A2514" t="s">
        <v>175</v>
      </c>
      <c r="B2514" t="s">
        <v>1012</v>
      </c>
      <c r="C2514" t="s">
        <v>114</v>
      </c>
      <c r="D2514" t="s">
        <v>350</v>
      </c>
      <c r="E2514">
        <v>20</v>
      </c>
      <c r="F2514">
        <v>0.1</v>
      </c>
      <c r="G2514">
        <v>2</v>
      </c>
    </row>
    <row r="2515" spans="1:7" x14ac:dyDescent="0.2">
      <c r="A2515" t="s">
        <v>174</v>
      </c>
      <c r="B2515" t="s">
        <v>234</v>
      </c>
      <c r="C2515" t="s">
        <v>94</v>
      </c>
      <c r="D2515" t="s">
        <v>280</v>
      </c>
      <c r="E2515">
        <v>1</v>
      </c>
      <c r="F2515">
        <v>3.5</v>
      </c>
      <c r="G2515">
        <v>3.5</v>
      </c>
    </row>
    <row r="2516" spans="1:7" x14ac:dyDescent="0.2">
      <c r="A2516" t="s">
        <v>174</v>
      </c>
      <c r="B2516" t="s">
        <v>234</v>
      </c>
      <c r="C2516" t="s">
        <v>95</v>
      </c>
      <c r="D2516" t="s">
        <v>281</v>
      </c>
      <c r="E2516">
        <v>1</v>
      </c>
      <c r="F2516">
        <v>2</v>
      </c>
      <c r="G2516">
        <v>2</v>
      </c>
    </row>
    <row r="2517" spans="1:7" x14ac:dyDescent="0.2">
      <c r="A2517" t="s">
        <v>174</v>
      </c>
      <c r="B2517" t="s">
        <v>234</v>
      </c>
      <c r="C2517" t="s">
        <v>44</v>
      </c>
      <c r="D2517" t="s">
        <v>324</v>
      </c>
      <c r="E2517">
        <v>0.3</v>
      </c>
      <c r="F2517">
        <v>65</v>
      </c>
      <c r="G2517">
        <v>19.5</v>
      </c>
    </row>
    <row r="2518" spans="1:7" x14ac:dyDescent="0.2">
      <c r="A2518" t="s">
        <v>174</v>
      </c>
      <c r="B2518" t="s">
        <v>234</v>
      </c>
      <c r="C2518" t="s">
        <v>53</v>
      </c>
      <c r="D2518" t="s">
        <v>325</v>
      </c>
      <c r="E2518">
        <v>0.95</v>
      </c>
      <c r="F2518">
        <v>120</v>
      </c>
      <c r="G2518">
        <v>114</v>
      </c>
    </row>
    <row r="2519" spans="1:7" x14ac:dyDescent="0.2">
      <c r="A2519" t="s">
        <v>174</v>
      </c>
      <c r="B2519" t="s">
        <v>234</v>
      </c>
      <c r="C2519" t="s">
        <v>63</v>
      </c>
      <c r="D2519" t="s">
        <v>354</v>
      </c>
      <c r="E2519">
        <v>0.9</v>
      </c>
      <c r="F2519">
        <v>190</v>
      </c>
      <c r="G2519">
        <v>171</v>
      </c>
    </row>
    <row r="2520" spans="1:7" x14ac:dyDescent="0.2">
      <c r="A2520" t="s">
        <v>174</v>
      </c>
      <c r="B2520" t="s">
        <v>234</v>
      </c>
      <c r="C2520" t="s">
        <v>75</v>
      </c>
      <c r="D2520" t="s">
        <v>384</v>
      </c>
      <c r="E2520">
        <v>0.19</v>
      </c>
      <c r="F2520">
        <v>145</v>
      </c>
      <c r="G2520">
        <v>27.55</v>
      </c>
    </row>
    <row r="2521" spans="1:7" x14ac:dyDescent="0.2">
      <c r="A2521" t="s">
        <v>174</v>
      </c>
      <c r="B2521" t="s">
        <v>234</v>
      </c>
      <c r="C2521" t="s">
        <v>93</v>
      </c>
      <c r="D2521" t="s">
        <v>327</v>
      </c>
      <c r="E2521">
        <v>0.125</v>
      </c>
      <c r="F2521">
        <v>70</v>
      </c>
      <c r="G2521">
        <v>8.75</v>
      </c>
    </row>
    <row r="2522" spans="1:7" x14ac:dyDescent="0.2">
      <c r="A2522" t="s">
        <v>174</v>
      </c>
      <c r="B2522" t="s">
        <v>234</v>
      </c>
      <c r="C2522" t="s">
        <v>47</v>
      </c>
      <c r="D2522" t="s">
        <v>328</v>
      </c>
      <c r="E2522">
        <v>0.08</v>
      </c>
      <c r="F2522">
        <v>235</v>
      </c>
      <c r="G2522">
        <v>18.8</v>
      </c>
    </row>
    <row r="2523" spans="1:7" x14ac:dyDescent="0.2">
      <c r="A2523" t="s">
        <v>174</v>
      </c>
      <c r="B2523" t="s">
        <v>234</v>
      </c>
      <c r="C2523" t="s">
        <v>49</v>
      </c>
      <c r="D2523" t="s">
        <v>290</v>
      </c>
      <c r="E2523">
        <v>7.4999999999999997E-2</v>
      </c>
      <c r="F2523">
        <v>248</v>
      </c>
      <c r="G2523">
        <v>18.600000000000001</v>
      </c>
    </row>
    <row r="2524" spans="1:7" x14ac:dyDescent="0.2">
      <c r="A2524" t="s">
        <v>174</v>
      </c>
      <c r="B2524" t="s">
        <v>234</v>
      </c>
      <c r="C2524" t="s">
        <v>19</v>
      </c>
      <c r="D2524" t="s">
        <v>329</v>
      </c>
      <c r="E2524">
        <v>1</v>
      </c>
      <c r="F2524">
        <v>2.9</v>
      </c>
      <c r="G2524">
        <v>2.9</v>
      </c>
    </row>
    <row r="2525" spans="1:7" x14ac:dyDescent="0.2">
      <c r="A2525" t="s">
        <v>174</v>
      </c>
      <c r="B2525" t="s">
        <v>234</v>
      </c>
      <c r="C2525" t="s">
        <v>20</v>
      </c>
      <c r="D2525" t="s">
        <v>330</v>
      </c>
      <c r="E2525">
        <v>1</v>
      </c>
      <c r="F2525">
        <v>2.9</v>
      </c>
      <c r="G2525">
        <v>2.9</v>
      </c>
    </row>
    <row r="2526" spans="1:7" x14ac:dyDescent="0.2">
      <c r="A2526" t="s">
        <v>174</v>
      </c>
      <c r="B2526" t="s">
        <v>234</v>
      </c>
      <c r="C2526" t="s">
        <v>22</v>
      </c>
      <c r="D2526" t="s">
        <v>331</v>
      </c>
      <c r="E2526">
        <v>2</v>
      </c>
      <c r="F2526">
        <v>2.5</v>
      </c>
      <c r="G2526">
        <v>5</v>
      </c>
    </row>
    <row r="2527" spans="1:7" x14ac:dyDescent="0.2">
      <c r="A2527" t="s">
        <v>174</v>
      </c>
      <c r="B2527" t="s">
        <v>234</v>
      </c>
      <c r="C2527" t="s">
        <v>29</v>
      </c>
      <c r="D2527" t="s">
        <v>292</v>
      </c>
      <c r="E2527">
        <v>0.35</v>
      </c>
      <c r="F2527">
        <v>27</v>
      </c>
      <c r="G2527">
        <v>9.4499999999999993</v>
      </c>
    </row>
    <row r="2528" spans="1:7" x14ac:dyDescent="0.2">
      <c r="A2528" t="s">
        <v>174</v>
      </c>
      <c r="B2528" t="s">
        <v>234</v>
      </c>
      <c r="C2528" t="s">
        <v>30</v>
      </c>
      <c r="D2528" t="s">
        <v>332</v>
      </c>
      <c r="E2528">
        <v>1</v>
      </c>
      <c r="F2528">
        <v>6</v>
      </c>
      <c r="G2528">
        <v>6</v>
      </c>
    </row>
    <row r="2529" spans="1:7" x14ac:dyDescent="0.2">
      <c r="A2529" t="s">
        <v>174</v>
      </c>
      <c r="B2529" t="s">
        <v>234</v>
      </c>
      <c r="C2529" t="s">
        <v>101</v>
      </c>
      <c r="D2529" t="s">
        <v>333</v>
      </c>
      <c r="E2529">
        <v>1.4999999999999999E-2</v>
      </c>
      <c r="F2529">
        <v>1200</v>
      </c>
      <c r="G2529">
        <v>18</v>
      </c>
    </row>
    <row r="2530" spans="1:7" x14ac:dyDescent="0.2">
      <c r="A2530" t="s">
        <v>174</v>
      </c>
      <c r="B2530" t="s">
        <v>234</v>
      </c>
      <c r="C2530" t="s">
        <v>121</v>
      </c>
      <c r="D2530" t="s">
        <v>301</v>
      </c>
      <c r="E2530">
        <v>1</v>
      </c>
      <c r="F2530">
        <v>0.95</v>
      </c>
      <c r="G2530">
        <v>0.95</v>
      </c>
    </row>
    <row r="2531" spans="1:7" x14ac:dyDescent="0.2">
      <c r="A2531" t="s">
        <v>174</v>
      </c>
      <c r="B2531" t="s">
        <v>234</v>
      </c>
      <c r="C2531" t="s">
        <v>122</v>
      </c>
      <c r="D2531" t="s">
        <v>302</v>
      </c>
      <c r="E2531">
        <v>1</v>
      </c>
      <c r="F2531">
        <v>4.2</v>
      </c>
      <c r="G2531">
        <v>4.2</v>
      </c>
    </row>
    <row r="2532" spans="1:7" x14ac:dyDescent="0.2">
      <c r="A2532" t="s">
        <v>174</v>
      </c>
      <c r="B2532" t="s">
        <v>234</v>
      </c>
      <c r="C2532" t="s">
        <v>4</v>
      </c>
      <c r="D2532" t="s">
        <v>304</v>
      </c>
      <c r="E2532">
        <v>2.2000000000000002</v>
      </c>
      <c r="F2532">
        <v>10.1</v>
      </c>
      <c r="G2532">
        <v>22.22</v>
      </c>
    </row>
    <row r="2533" spans="1:7" x14ac:dyDescent="0.2">
      <c r="A2533" t="s">
        <v>174</v>
      </c>
      <c r="B2533" t="s">
        <v>234</v>
      </c>
      <c r="C2533" t="s">
        <v>107</v>
      </c>
      <c r="D2533" t="s">
        <v>316</v>
      </c>
      <c r="E2533">
        <v>20</v>
      </c>
      <c r="F2533">
        <v>0.1</v>
      </c>
      <c r="G2533">
        <v>2</v>
      </c>
    </row>
    <row r="2534" spans="1:7" x14ac:dyDescent="0.2">
      <c r="A2534" t="s">
        <v>174</v>
      </c>
      <c r="B2534" t="s">
        <v>234</v>
      </c>
      <c r="C2534" t="s">
        <v>109</v>
      </c>
      <c r="D2534" t="s">
        <v>378</v>
      </c>
      <c r="E2534">
        <v>20</v>
      </c>
      <c r="F2534">
        <v>0.1</v>
      </c>
      <c r="G2534">
        <v>2</v>
      </c>
    </row>
    <row r="2535" spans="1:7" x14ac:dyDescent="0.2">
      <c r="A2535" t="s">
        <v>174</v>
      </c>
      <c r="B2535" t="s">
        <v>234</v>
      </c>
      <c r="C2535" t="s">
        <v>119</v>
      </c>
      <c r="D2535" t="s">
        <v>334</v>
      </c>
      <c r="E2535">
        <v>80</v>
      </c>
      <c r="F2535">
        <v>0.1</v>
      </c>
      <c r="G2535">
        <v>8</v>
      </c>
    </row>
    <row r="2536" spans="1:7" x14ac:dyDescent="0.2">
      <c r="A2536" t="s">
        <v>170</v>
      </c>
      <c r="B2536" t="s">
        <v>235</v>
      </c>
      <c r="C2536" t="s">
        <v>94</v>
      </c>
      <c r="D2536" t="s">
        <v>280</v>
      </c>
      <c r="E2536">
        <v>1</v>
      </c>
      <c r="F2536">
        <v>3.5</v>
      </c>
      <c r="G2536">
        <v>3.5</v>
      </c>
    </row>
    <row r="2537" spans="1:7" x14ac:dyDescent="0.2">
      <c r="A2537" t="s">
        <v>170</v>
      </c>
      <c r="B2537" t="s">
        <v>235</v>
      </c>
      <c r="C2537" t="s">
        <v>95</v>
      </c>
      <c r="D2537" t="s">
        <v>281</v>
      </c>
      <c r="E2537">
        <v>1</v>
      </c>
      <c r="F2537">
        <v>2</v>
      </c>
      <c r="G2537">
        <v>2</v>
      </c>
    </row>
    <row r="2538" spans="1:7" x14ac:dyDescent="0.2">
      <c r="A2538" t="s">
        <v>170</v>
      </c>
      <c r="B2538" t="s">
        <v>235</v>
      </c>
      <c r="C2538" t="s">
        <v>44</v>
      </c>
      <c r="D2538" t="s">
        <v>324</v>
      </c>
      <c r="E2538">
        <v>0.3</v>
      </c>
      <c r="F2538">
        <v>65</v>
      </c>
      <c r="G2538">
        <v>19.5</v>
      </c>
    </row>
    <row r="2539" spans="1:7" x14ac:dyDescent="0.2">
      <c r="A2539" t="s">
        <v>170</v>
      </c>
      <c r="B2539" t="s">
        <v>235</v>
      </c>
      <c r="C2539" t="s">
        <v>53</v>
      </c>
      <c r="D2539" t="s">
        <v>325</v>
      </c>
      <c r="E2539">
        <v>0.95</v>
      </c>
      <c r="F2539">
        <v>120</v>
      </c>
      <c r="G2539">
        <v>114</v>
      </c>
    </row>
    <row r="2540" spans="1:7" x14ac:dyDescent="0.2">
      <c r="A2540" t="s">
        <v>170</v>
      </c>
      <c r="B2540" t="s">
        <v>235</v>
      </c>
      <c r="C2540" t="s">
        <v>61</v>
      </c>
      <c r="D2540" t="s">
        <v>341</v>
      </c>
      <c r="E2540">
        <v>0.9</v>
      </c>
      <c r="F2540">
        <v>190</v>
      </c>
      <c r="G2540">
        <v>171</v>
      </c>
    </row>
    <row r="2541" spans="1:7" x14ac:dyDescent="0.2">
      <c r="A2541" t="s">
        <v>170</v>
      </c>
      <c r="B2541" t="s">
        <v>235</v>
      </c>
      <c r="C2541" t="s">
        <v>71</v>
      </c>
      <c r="D2541" t="s">
        <v>385</v>
      </c>
      <c r="E2541">
        <v>0.19</v>
      </c>
      <c r="F2541">
        <v>145</v>
      </c>
      <c r="G2541">
        <v>27.55</v>
      </c>
    </row>
    <row r="2542" spans="1:7" x14ac:dyDescent="0.2">
      <c r="A2542" t="s">
        <v>170</v>
      </c>
      <c r="B2542" t="s">
        <v>235</v>
      </c>
      <c r="C2542" t="s">
        <v>93</v>
      </c>
      <c r="D2542" t="s">
        <v>327</v>
      </c>
      <c r="E2542">
        <v>0.125</v>
      </c>
      <c r="F2542">
        <v>70</v>
      </c>
      <c r="G2542">
        <v>8.75</v>
      </c>
    </row>
    <row r="2543" spans="1:7" x14ac:dyDescent="0.2">
      <c r="A2543" t="s">
        <v>170</v>
      </c>
      <c r="B2543" t="s">
        <v>235</v>
      </c>
      <c r="C2543" t="s">
        <v>47</v>
      </c>
      <c r="D2543" t="s">
        <v>328</v>
      </c>
      <c r="E2543">
        <v>0.08</v>
      </c>
      <c r="F2543">
        <v>235</v>
      </c>
      <c r="G2543">
        <v>18.8</v>
      </c>
    </row>
    <row r="2544" spans="1:7" x14ac:dyDescent="0.2">
      <c r="A2544" t="s">
        <v>170</v>
      </c>
      <c r="B2544" t="s">
        <v>235</v>
      </c>
      <c r="C2544" t="s">
        <v>49</v>
      </c>
      <c r="D2544" t="s">
        <v>290</v>
      </c>
      <c r="E2544">
        <v>7.4999999999999997E-2</v>
      </c>
      <c r="F2544">
        <v>248</v>
      </c>
      <c r="G2544">
        <v>18.600000000000001</v>
      </c>
    </row>
    <row r="2545" spans="1:7" x14ac:dyDescent="0.2">
      <c r="A2545" t="s">
        <v>170</v>
      </c>
      <c r="B2545" t="s">
        <v>235</v>
      </c>
      <c r="C2545" t="s">
        <v>19</v>
      </c>
      <c r="D2545" t="s">
        <v>329</v>
      </c>
      <c r="E2545">
        <v>1</v>
      </c>
      <c r="F2545">
        <v>2.9</v>
      </c>
      <c r="G2545">
        <v>2.9</v>
      </c>
    </row>
    <row r="2546" spans="1:7" x14ac:dyDescent="0.2">
      <c r="A2546" t="s">
        <v>170</v>
      </c>
      <c r="B2546" t="s">
        <v>235</v>
      </c>
      <c r="C2546" t="s">
        <v>20</v>
      </c>
      <c r="D2546" t="s">
        <v>330</v>
      </c>
      <c r="E2546">
        <v>1</v>
      </c>
      <c r="F2546">
        <v>2.9</v>
      </c>
      <c r="G2546">
        <v>2.9</v>
      </c>
    </row>
    <row r="2547" spans="1:7" x14ac:dyDescent="0.2">
      <c r="A2547" t="s">
        <v>170</v>
      </c>
      <c r="B2547" t="s">
        <v>235</v>
      </c>
      <c r="C2547" t="s">
        <v>22</v>
      </c>
      <c r="D2547" t="s">
        <v>331</v>
      </c>
      <c r="E2547">
        <v>2</v>
      </c>
      <c r="F2547">
        <v>2.5</v>
      </c>
      <c r="G2547">
        <v>5</v>
      </c>
    </row>
    <row r="2548" spans="1:7" x14ac:dyDescent="0.2">
      <c r="A2548" t="s">
        <v>170</v>
      </c>
      <c r="B2548" t="s">
        <v>235</v>
      </c>
      <c r="C2548" t="s">
        <v>29</v>
      </c>
      <c r="D2548" t="s">
        <v>292</v>
      </c>
      <c r="E2548">
        <v>0.35</v>
      </c>
      <c r="F2548">
        <v>27</v>
      </c>
      <c r="G2548">
        <v>9.4499999999999993</v>
      </c>
    </row>
    <row r="2549" spans="1:7" x14ac:dyDescent="0.2">
      <c r="A2549" t="s">
        <v>170</v>
      </c>
      <c r="B2549" t="s">
        <v>235</v>
      </c>
      <c r="C2549" t="s">
        <v>30</v>
      </c>
      <c r="D2549" t="s">
        <v>332</v>
      </c>
      <c r="E2549">
        <v>1</v>
      </c>
      <c r="F2549">
        <v>6</v>
      </c>
      <c r="G2549">
        <v>6</v>
      </c>
    </row>
    <row r="2550" spans="1:7" x14ac:dyDescent="0.2">
      <c r="A2550" t="s">
        <v>170</v>
      </c>
      <c r="B2550" t="s">
        <v>235</v>
      </c>
      <c r="C2550" t="s">
        <v>101</v>
      </c>
      <c r="D2550" t="s">
        <v>333</v>
      </c>
      <c r="E2550">
        <v>1.4999999999999999E-2</v>
      </c>
      <c r="F2550">
        <v>1200</v>
      </c>
      <c r="G2550">
        <v>18</v>
      </c>
    </row>
    <row r="2551" spans="1:7" x14ac:dyDescent="0.2">
      <c r="A2551" t="s">
        <v>170</v>
      </c>
      <c r="B2551" t="s">
        <v>235</v>
      </c>
      <c r="C2551" t="s">
        <v>121</v>
      </c>
      <c r="D2551" t="s">
        <v>301</v>
      </c>
      <c r="E2551">
        <v>1</v>
      </c>
      <c r="F2551">
        <v>0.95</v>
      </c>
      <c r="G2551">
        <v>0.95</v>
      </c>
    </row>
    <row r="2552" spans="1:7" x14ac:dyDescent="0.2">
      <c r="A2552" t="s">
        <v>170</v>
      </c>
      <c r="B2552" t="s">
        <v>235</v>
      </c>
      <c r="C2552" t="s">
        <v>122</v>
      </c>
      <c r="D2552" t="s">
        <v>302</v>
      </c>
      <c r="E2552">
        <v>1</v>
      </c>
      <c r="F2552">
        <v>4.2</v>
      </c>
      <c r="G2552">
        <v>4.2</v>
      </c>
    </row>
    <row r="2553" spans="1:7" x14ac:dyDescent="0.2">
      <c r="A2553" t="s">
        <v>170</v>
      </c>
      <c r="B2553" t="s">
        <v>235</v>
      </c>
      <c r="C2553" t="s">
        <v>4</v>
      </c>
      <c r="D2553" t="s">
        <v>304</v>
      </c>
      <c r="E2553">
        <v>2.2000000000000002</v>
      </c>
      <c r="F2553">
        <v>10.1</v>
      </c>
      <c r="G2553">
        <v>22.22</v>
      </c>
    </row>
    <row r="2554" spans="1:7" x14ac:dyDescent="0.2">
      <c r="A2554" t="s">
        <v>170</v>
      </c>
      <c r="B2554" t="s">
        <v>235</v>
      </c>
      <c r="C2554" t="s">
        <v>105</v>
      </c>
      <c r="D2554" t="s">
        <v>313</v>
      </c>
      <c r="E2554">
        <v>20</v>
      </c>
      <c r="F2554">
        <v>0.1</v>
      </c>
      <c r="G2554">
        <v>2</v>
      </c>
    </row>
    <row r="2555" spans="1:7" x14ac:dyDescent="0.2">
      <c r="A2555" t="s">
        <v>170</v>
      </c>
      <c r="B2555" t="s">
        <v>235</v>
      </c>
      <c r="C2555" t="s">
        <v>106</v>
      </c>
      <c r="D2555" t="s">
        <v>364</v>
      </c>
      <c r="E2555">
        <v>80</v>
      </c>
      <c r="F2555">
        <v>0.1</v>
      </c>
      <c r="G2555">
        <v>8</v>
      </c>
    </row>
    <row r="2556" spans="1:7" x14ac:dyDescent="0.2">
      <c r="A2556" t="s">
        <v>170</v>
      </c>
      <c r="B2556" t="s">
        <v>235</v>
      </c>
      <c r="C2556" t="s">
        <v>107</v>
      </c>
      <c r="D2556" t="s">
        <v>316</v>
      </c>
      <c r="E2556">
        <v>20</v>
      </c>
      <c r="F2556">
        <v>0.1</v>
      </c>
      <c r="G2556">
        <v>2</v>
      </c>
    </row>
    <row r="2557" spans="1:7" x14ac:dyDescent="0.2">
      <c r="A2557" t="s">
        <v>169</v>
      </c>
      <c r="B2557" t="s">
        <v>232</v>
      </c>
      <c r="C2557" t="s">
        <v>94</v>
      </c>
      <c r="D2557" t="s">
        <v>280</v>
      </c>
      <c r="E2557">
        <v>1</v>
      </c>
      <c r="F2557">
        <v>3.5</v>
      </c>
      <c r="G2557">
        <v>3.5</v>
      </c>
    </row>
    <row r="2558" spans="1:7" x14ac:dyDescent="0.2">
      <c r="A2558" t="s">
        <v>169</v>
      </c>
      <c r="B2558" t="s">
        <v>232</v>
      </c>
      <c r="C2558" t="s">
        <v>95</v>
      </c>
      <c r="D2558" t="s">
        <v>281</v>
      </c>
      <c r="E2558">
        <v>1</v>
      </c>
      <c r="F2558">
        <v>2</v>
      </c>
      <c r="G2558">
        <v>2</v>
      </c>
    </row>
    <row r="2559" spans="1:7" x14ac:dyDescent="0.2">
      <c r="A2559" t="s">
        <v>169</v>
      </c>
      <c r="B2559" t="s">
        <v>232</v>
      </c>
      <c r="C2559" t="s">
        <v>44</v>
      </c>
      <c r="D2559" t="s">
        <v>324</v>
      </c>
      <c r="E2559">
        <v>0.3</v>
      </c>
      <c r="F2559">
        <v>65</v>
      </c>
      <c r="G2559">
        <v>19.5</v>
      </c>
    </row>
    <row r="2560" spans="1:7" x14ac:dyDescent="0.2">
      <c r="A2560" t="s">
        <v>169</v>
      </c>
      <c r="B2560" t="s">
        <v>232</v>
      </c>
      <c r="C2560" t="s">
        <v>53</v>
      </c>
      <c r="D2560" t="s">
        <v>325</v>
      </c>
      <c r="E2560">
        <v>0.95</v>
      </c>
      <c r="F2560">
        <v>120</v>
      </c>
      <c r="G2560">
        <v>114</v>
      </c>
    </row>
    <row r="2561" spans="1:7" x14ac:dyDescent="0.2">
      <c r="A2561" t="s">
        <v>169</v>
      </c>
      <c r="B2561" t="s">
        <v>232</v>
      </c>
      <c r="C2561" t="s">
        <v>64</v>
      </c>
      <c r="D2561" t="s">
        <v>386</v>
      </c>
      <c r="E2561">
        <v>0.9</v>
      </c>
      <c r="F2561">
        <v>190</v>
      </c>
      <c r="G2561">
        <v>171</v>
      </c>
    </row>
    <row r="2562" spans="1:7" x14ac:dyDescent="0.2">
      <c r="A2562" t="s">
        <v>169</v>
      </c>
      <c r="B2562" t="s">
        <v>232</v>
      </c>
      <c r="C2562" t="s">
        <v>71</v>
      </c>
      <c r="D2562" t="s">
        <v>385</v>
      </c>
      <c r="E2562">
        <v>0.19</v>
      </c>
      <c r="F2562">
        <v>145</v>
      </c>
      <c r="G2562">
        <v>27.55</v>
      </c>
    </row>
    <row r="2563" spans="1:7" x14ac:dyDescent="0.2">
      <c r="A2563" t="s">
        <v>169</v>
      </c>
      <c r="B2563" t="s">
        <v>232</v>
      </c>
      <c r="C2563" t="s">
        <v>93</v>
      </c>
      <c r="D2563" t="s">
        <v>327</v>
      </c>
      <c r="E2563">
        <v>0.125</v>
      </c>
      <c r="F2563">
        <v>70</v>
      </c>
      <c r="G2563">
        <v>8.75</v>
      </c>
    </row>
    <row r="2564" spans="1:7" x14ac:dyDescent="0.2">
      <c r="A2564" t="s">
        <v>169</v>
      </c>
      <c r="B2564" t="s">
        <v>232</v>
      </c>
      <c r="C2564" t="s">
        <v>47</v>
      </c>
      <c r="D2564" t="s">
        <v>328</v>
      </c>
      <c r="E2564">
        <v>0.08</v>
      </c>
      <c r="F2564">
        <v>235</v>
      </c>
      <c r="G2564">
        <v>18.8</v>
      </c>
    </row>
    <row r="2565" spans="1:7" x14ac:dyDescent="0.2">
      <c r="A2565" t="s">
        <v>169</v>
      </c>
      <c r="B2565" t="s">
        <v>232</v>
      </c>
      <c r="C2565" t="s">
        <v>49</v>
      </c>
      <c r="D2565" t="s">
        <v>290</v>
      </c>
      <c r="E2565">
        <v>7.4999999999999997E-2</v>
      </c>
      <c r="F2565">
        <v>248</v>
      </c>
      <c r="G2565">
        <v>18.600000000000001</v>
      </c>
    </row>
    <row r="2566" spans="1:7" x14ac:dyDescent="0.2">
      <c r="A2566" t="s">
        <v>169</v>
      </c>
      <c r="B2566" t="s">
        <v>232</v>
      </c>
      <c r="C2566" t="s">
        <v>19</v>
      </c>
      <c r="D2566" t="s">
        <v>329</v>
      </c>
      <c r="E2566">
        <v>1</v>
      </c>
      <c r="F2566">
        <v>2.9</v>
      </c>
      <c r="G2566">
        <v>2.9</v>
      </c>
    </row>
    <row r="2567" spans="1:7" x14ac:dyDescent="0.2">
      <c r="A2567" t="s">
        <v>169</v>
      </c>
      <c r="B2567" t="s">
        <v>232</v>
      </c>
      <c r="C2567" t="s">
        <v>20</v>
      </c>
      <c r="D2567" t="s">
        <v>330</v>
      </c>
      <c r="E2567">
        <v>1</v>
      </c>
      <c r="F2567">
        <v>2.9</v>
      </c>
      <c r="G2567">
        <v>2.9</v>
      </c>
    </row>
    <row r="2568" spans="1:7" x14ac:dyDescent="0.2">
      <c r="A2568" t="s">
        <v>169</v>
      </c>
      <c r="B2568" t="s">
        <v>232</v>
      </c>
      <c r="C2568" t="s">
        <v>22</v>
      </c>
      <c r="D2568" t="s">
        <v>331</v>
      </c>
      <c r="E2568">
        <v>2</v>
      </c>
      <c r="F2568">
        <v>2.5</v>
      </c>
      <c r="G2568">
        <v>5</v>
      </c>
    </row>
    <row r="2569" spans="1:7" x14ac:dyDescent="0.2">
      <c r="A2569" t="s">
        <v>169</v>
      </c>
      <c r="B2569" t="s">
        <v>232</v>
      </c>
      <c r="C2569" t="s">
        <v>29</v>
      </c>
      <c r="D2569" t="s">
        <v>292</v>
      </c>
      <c r="E2569">
        <v>0.35</v>
      </c>
      <c r="F2569">
        <v>27</v>
      </c>
      <c r="G2569">
        <v>9.4499999999999993</v>
      </c>
    </row>
    <row r="2570" spans="1:7" x14ac:dyDescent="0.2">
      <c r="A2570" t="s">
        <v>169</v>
      </c>
      <c r="B2570" t="s">
        <v>232</v>
      </c>
      <c r="C2570" t="s">
        <v>30</v>
      </c>
      <c r="D2570" t="s">
        <v>332</v>
      </c>
      <c r="E2570">
        <v>1</v>
      </c>
      <c r="F2570">
        <v>6</v>
      </c>
      <c r="G2570">
        <v>6</v>
      </c>
    </row>
    <row r="2571" spans="1:7" x14ac:dyDescent="0.2">
      <c r="A2571" t="s">
        <v>169</v>
      </c>
      <c r="B2571" t="s">
        <v>232</v>
      </c>
      <c r="C2571" t="s">
        <v>101</v>
      </c>
      <c r="D2571" t="s">
        <v>333</v>
      </c>
      <c r="E2571">
        <v>1.4999999999999999E-2</v>
      </c>
      <c r="F2571">
        <v>1200</v>
      </c>
      <c r="G2571">
        <v>18</v>
      </c>
    </row>
    <row r="2572" spans="1:7" x14ac:dyDescent="0.2">
      <c r="A2572" t="s">
        <v>169</v>
      </c>
      <c r="B2572" t="s">
        <v>232</v>
      </c>
      <c r="C2572" t="s">
        <v>121</v>
      </c>
      <c r="D2572" t="s">
        <v>301</v>
      </c>
      <c r="E2572">
        <v>1</v>
      </c>
      <c r="F2572">
        <v>0.95</v>
      </c>
      <c r="G2572">
        <v>0.95</v>
      </c>
    </row>
    <row r="2573" spans="1:7" x14ac:dyDescent="0.2">
      <c r="A2573" t="s">
        <v>169</v>
      </c>
      <c r="B2573" t="s">
        <v>232</v>
      </c>
      <c r="C2573" t="s">
        <v>122</v>
      </c>
      <c r="D2573" t="s">
        <v>302</v>
      </c>
      <c r="E2573">
        <v>1</v>
      </c>
      <c r="F2573">
        <v>4.2</v>
      </c>
      <c r="G2573">
        <v>4.2</v>
      </c>
    </row>
    <row r="2574" spans="1:7" x14ac:dyDescent="0.2">
      <c r="A2574" t="s">
        <v>169</v>
      </c>
      <c r="B2574" t="s">
        <v>232</v>
      </c>
      <c r="C2574" t="s">
        <v>4</v>
      </c>
      <c r="D2574" t="s">
        <v>304</v>
      </c>
      <c r="E2574">
        <v>2.2000000000000002</v>
      </c>
      <c r="F2574">
        <v>10.1</v>
      </c>
      <c r="G2574">
        <v>22.22</v>
      </c>
    </row>
    <row r="2575" spans="1:7" x14ac:dyDescent="0.2">
      <c r="A2575" t="s">
        <v>169</v>
      </c>
      <c r="B2575" t="s">
        <v>232</v>
      </c>
      <c r="C2575" t="s">
        <v>106</v>
      </c>
      <c r="D2575" t="s">
        <v>364</v>
      </c>
      <c r="E2575">
        <v>80</v>
      </c>
      <c r="F2575">
        <v>0.1</v>
      </c>
      <c r="G2575">
        <v>8</v>
      </c>
    </row>
    <row r="2576" spans="1:7" x14ac:dyDescent="0.2">
      <c r="A2576" t="s">
        <v>169</v>
      </c>
      <c r="B2576" t="s">
        <v>232</v>
      </c>
      <c r="C2576" t="s">
        <v>107</v>
      </c>
      <c r="D2576" t="s">
        <v>316</v>
      </c>
      <c r="E2576">
        <v>20</v>
      </c>
      <c r="F2576">
        <v>0.1</v>
      </c>
      <c r="G2576">
        <v>2</v>
      </c>
    </row>
    <row r="2577" spans="1:7" x14ac:dyDescent="0.2">
      <c r="A2577" t="s">
        <v>169</v>
      </c>
      <c r="B2577" t="s">
        <v>232</v>
      </c>
      <c r="C2577" t="s">
        <v>116</v>
      </c>
      <c r="D2577" t="s">
        <v>373</v>
      </c>
      <c r="E2577">
        <v>20</v>
      </c>
      <c r="F2577">
        <v>0.1</v>
      </c>
      <c r="G2577">
        <v>2</v>
      </c>
    </row>
    <row r="2578" spans="1:7" x14ac:dyDescent="0.2">
      <c r="A2578" t="s">
        <v>172</v>
      </c>
      <c r="B2578" t="s">
        <v>233</v>
      </c>
      <c r="C2578" t="s">
        <v>94</v>
      </c>
      <c r="D2578" t="s">
        <v>280</v>
      </c>
      <c r="E2578">
        <v>1</v>
      </c>
      <c r="F2578">
        <v>3.5</v>
      </c>
      <c r="G2578">
        <v>3.5</v>
      </c>
    </row>
    <row r="2579" spans="1:7" x14ac:dyDescent="0.2">
      <c r="A2579" t="s">
        <v>172</v>
      </c>
      <c r="B2579" t="s">
        <v>233</v>
      </c>
      <c r="C2579" t="s">
        <v>95</v>
      </c>
      <c r="D2579" t="s">
        <v>281</v>
      </c>
      <c r="E2579">
        <v>1</v>
      </c>
      <c r="F2579">
        <v>2</v>
      </c>
      <c r="G2579">
        <v>2</v>
      </c>
    </row>
    <row r="2580" spans="1:7" x14ac:dyDescent="0.2">
      <c r="A2580" t="s">
        <v>172</v>
      </c>
      <c r="B2580" t="s">
        <v>233</v>
      </c>
      <c r="C2580" t="s">
        <v>44</v>
      </c>
      <c r="D2580" t="s">
        <v>324</v>
      </c>
      <c r="E2580">
        <v>0.3</v>
      </c>
      <c r="F2580">
        <v>65</v>
      </c>
      <c r="G2580">
        <v>19.5</v>
      </c>
    </row>
    <row r="2581" spans="1:7" x14ac:dyDescent="0.2">
      <c r="A2581" t="s">
        <v>172</v>
      </c>
      <c r="B2581" t="s">
        <v>233</v>
      </c>
      <c r="C2581" t="s">
        <v>53</v>
      </c>
      <c r="D2581" t="s">
        <v>325</v>
      </c>
      <c r="E2581">
        <v>0.95</v>
      </c>
      <c r="F2581">
        <v>120</v>
      </c>
      <c r="G2581">
        <v>114</v>
      </c>
    </row>
    <row r="2582" spans="1:7" x14ac:dyDescent="0.2">
      <c r="A2582" t="s">
        <v>172</v>
      </c>
      <c r="B2582" t="s">
        <v>233</v>
      </c>
      <c r="C2582" t="s">
        <v>62</v>
      </c>
      <c r="D2582" t="s">
        <v>363</v>
      </c>
      <c r="E2582">
        <v>0.9</v>
      </c>
      <c r="F2582">
        <v>190</v>
      </c>
      <c r="G2582">
        <v>171</v>
      </c>
    </row>
    <row r="2583" spans="1:7" x14ac:dyDescent="0.2">
      <c r="A2583" t="s">
        <v>172</v>
      </c>
      <c r="B2583" t="s">
        <v>233</v>
      </c>
      <c r="C2583" t="s">
        <v>72</v>
      </c>
      <c r="D2583" t="s">
        <v>387</v>
      </c>
      <c r="E2583">
        <v>0.19</v>
      </c>
      <c r="F2583">
        <v>145</v>
      </c>
      <c r="G2583">
        <v>27.55</v>
      </c>
    </row>
    <row r="2584" spans="1:7" x14ac:dyDescent="0.2">
      <c r="A2584" t="s">
        <v>172</v>
      </c>
      <c r="B2584" t="s">
        <v>233</v>
      </c>
      <c r="C2584" t="s">
        <v>93</v>
      </c>
      <c r="D2584" t="s">
        <v>327</v>
      </c>
      <c r="E2584">
        <v>0.125</v>
      </c>
      <c r="F2584">
        <v>70</v>
      </c>
      <c r="G2584">
        <v>8.75</v>
      </c>
    </row>
    <row r="2585" spans="1:7" x14ac:dyDescent="0.2">
      <c r="A2585" t="s">
        <v>172</v>
      </c>
      <c r="B2585" t="s">
        <v>233</v>
      </c>
      <c r="C2585" t="s">
        <v>47</v>
      </c>
      <c r="D2585" t="s">
        <v>328</v>
      </c>
      <c r="E2585">
        <v>0.08</v>
      </c>
      <c r="F2585">
        <v>235</v>
      </c>
      <c r="G2585">
        <v>18.8</v>
      </c>
    </row>
    <row r="2586" spans="1:7" x14ac:dyDescent="0.2">
      <c r="A2586" t="s">
        <v>172</v>
      </c>
      <c r="B2586" t="s">
        <v>233</v>
      </c>
      <c r="C2586" t="s">
        <v>49</v>
      </c>
      <c r="D2586" t="s">
        <v>290</v>
      </c>
      <c r="E2586">
        <v>7.4999999999999997E-2</v>
      </c>
      <c r="F2586">
        <v>248</v>
      </c>
      <c r="G2586">
        <v>18.600000000000001</v>
      </c>
    </row>
    <row r="2587" spans="1:7" x14ac:dyDescent="0.2">
      <c r="A2587" t="s">
        <v>172</v>
      </c>
      <c r="B2587" t="s">
        <v>233</v>
      </c>
      <c r="C2587" t="s">
        <v>19</v>
      </c>
      <c r="D2587" t="s">
        <v>329</v>
      </c>
      <c r="E2587">
        <v>1</v>
      </c>
      <c r="F2587">
        <v>2.9</v>
      </c>
      <c r="G2587">
        <v>2.9</v>
      </c>
    </row>
    <row r="2588" spans="1:7" x14ac:dyDescent="0.2">
      <c r="A2588" t="s">
        <v>172</v>
      </c>
      <c r="B2588" t="s">
        <v>233</v>
      </c>
      <c r="C2588" t="s">
        <v>20</v>
      </c>
      <c r="D2588" t="s">
        <v>330</v>
      </c>
      <c r="E2588">
        <v>1</v>
      </c>
      <c r="F2588">
        <v>2.9</v>
      </c>
      <c r="G2588">
        <v>2.9</v>
      </c>
    </row>
    <row r="2589" spans="1:7" x14ac:dyDescent="0.2">
      <c r="A2589" t="s">
        <v>172</v>
      </c>
      <c r="B2589" t="s">
        <v>233</v>
      </c>
      <c r="C2589" t="s">
        <v>22</v>
      </c>
      <c r="D2589" t="s">
        <v>331</v>
      </c>
      <c r="E2589">
        <v>2</v>
      </c>
      <c r="F2589">
        <v>2.5</v>
      </c>
      <c r="G2589">
        <v>5</v>
      </c>
    </row>
    <row r="2590" spans="1:7" x14ac:dyDescent="0.2">
      <c r="A2590" t="s">
        <v>172</v>
      </c>
      <c r="B2590" t="s">
        <v>233</v>
      </c>
      <c r="C2590" t="s">
        <v>29</v>
      </c>
      <c r="D2590" t="s">
        <v>292</v>
      </c>
      <c r="E2590">
        <v>0.35</v>
      </c>
      <c r="F2590">
        <v>27</v>
      </c>
      <c r="G2590">
        <v>9.4499999999999993</v>
      </c>
    </row>
    <row r="2591" spans="1:7" x14ac:dyDescent="0.2">
      <c r="A2591" t="s">
        <v>172</v>
      </c>
      <c r="B2591" t="s">
        <v>233</v>
      </c>
      <c r="C2591" t="s">
        <v>30</v>
      </c>
      <c r="D2591" t="s">
        <v>332</v>
      </c>
      <c r="E2591">
        <v>1</v>
      </c>
      <c r="F2591">
        <v>6</v>
      </c>
      <c r="G2591">
        <v>6</v>
      </c>
    </row>
    <row r="2592" spans="1:7" x14ac:dyDescent="0.2">
      <c r="A2592" t="s">
        <v>172</v>
      </c>
      <c r="B2592" t="s">
        <v>233</v>
      </c>
      <c r="C2592" t="s">
        <v>101</v>
      </c>
      <c r="D2592" t="s">
        <v>333</v>
      </c>
      <c r="E2592">
        <v>1.4999999999999999E-2</v>
      </c>
      <c r="F2592">
        <v>1200</v>
      </c>
      <c r="G2592">
        <v>18</v>
      </c>
    </row>
    <row r="2593" spans="1:7" x14ac:dyDescent="0.2">
      <c r="A2593" t="s">
        <v>172</v>
      </c>
      <c r="B2593" t="s">
        <v>233</v>
      </c>
      <c r="C2593" t="s">
        <v>121</v>
      </c>
      <c r="D2593" t="s">
        <v>301</v>
      </c>
      <c r="E2593">
        <v>1</v>
      </c>
      <c r="F2593">
        <v>0.95</v>
      </c>
      <c r="G2593">
        <v>0.95</v>
      </c>
    </row>
    <row r="2594" spans="1:7" x14ac:dyDescent="0.2">
      <c r="A2594" t="s">
        <v>172</v>
      </c>
      <c r="B2594" t="s">
        <v>233</v>
      </c>
      <c r="C2594" t="s">
        <v>122</v>
      </c>
      <c r="D2594" t="s">
        <v>302</v>
      </c>
      <c r="E2594">
        <v>1</v>
      </c>
      <c r="F2594">
        <v>4.2</v>
      </c>
      <c r="G2594">
        <v>4.2</v>
      </c>
    </row>
    <row r="2595" spans="1:7" x14ac:dyDescent="0.2">
      <c r="A2595" t="s">
        <v>172</v>
      </c>
      <c r="B2595" t="s">
        <v>233</v>
      </c>
      <c r="C2595" t="s">
        <v>4</v>
      </c>
      <c r="D2595" t="s">
        <v>304</v>
      </c>
      <c r="E2595">
        <v>2.2000000000000002</v>
      </c>
      <c r="F2595">
        <v>10.1</v>
      </c>
      <c r="G2595">
        <v>22.22</v>
      </c>
    </row>
    <row r="2596" spans="1:7" x14ac:dyDescent="0.2">
      <c r="A2596" t="s">
        <v>172</v>
      </c>
      <c r="B2596" t="s">
        <v>233</v>
      </c>
      <c r="C2596" t="s">
        <v>106</v>
      </c>
      <c r="D2596" t="s">
        <v>364</v>
      </c>
      <c r="E2596">
        <v>80</v>
      </c>
      <c r="F2596">
        <v>0.1</v>
      </c>
      <c r="G2596">
        <v>8</v>
      </c>
    </row>
    <row r="2597" spans="1:7" x14ac:dyDescent="0.2">
      <c r="A2597" t="s">
        <v>172</v>
      </c>
      <c r="B2597" t="s">
        <v>233</v>
      </c>
      <c r="C2597" t="s">
        <v>107</v>
      </c>
      <c r="D2597" t="s">
        <v>316</v>
      </c>
      <c r="E2597">
        <v>20</v>
      </c>
      <c r="F2597">
        <v>0.1</v>
      </c>
      <c r="G2597">
        <v>2</v>
      </c>
    </row>
    <row r="2598" spans="1:7" x14ac:dyDescent="0.2">
      <c r="A2598" t="s">
        <v>172</v>
      </c>
      <c r="B2598" t="s">
        <v>233</v>
      </c>
      <c r="C2598" t="s">
        <v>119</v>
      </c>
      <c r="D2598" t="s">
        <v>334</v>
      </c>
      <c r="E2598">
        <v>20</v>
      </c>
      <c r="F2598">
        <v>0.1</v>
      </c>
      <c r="G2598">
        <v>2</v>
      </c>
    </row>
    <row r="2599" spans="1:7" x14ac:dyDescent="0.2">
      <c r="A2599" t="s">
        <v>171</v>
      </c>
      <c r="B2599" t="s">
        <v>194</v>
      </c>
      <c r="C2599" t="s">
        <v>94</v>
      </c>
      <c r="D2599" t="s">
        <v>280</v>
      </c>
      <c r="E2599">
        <v>1</v>
      </c>
      <c r="F2599">
        <v>3.5</v>
      </c>
      <c r="G2599">
        <v>3.5</v>
      </c>
    </row>
    <row r="2600" spans="1:7" x14ac:dyDescent="0.2">
      <c r="A2600" t="s">
        <v>171</v>
      </c>
      <c r="B2600" t="s">
        <v>194</v>
      </c>
      <c r="C2600" t="s">
        <v>95</v>
      </c>
      <c r="D2600" t="s">
        <v>281</v>
      </c>
      <c r="E2600">
        <v>1</v>
      </c>
      <c r="F2600">
        <v>2</v>
      </c>
      <c r="G2600">
        <v>2</v>
      </c>
    </row>
    <row r="2601" spans="1:7" x14ac:dyDescent="0.2">
      <c r="A2601" t="s">
        <v>171</v>
      </c>
      <c r="B2601" t="s">
        <v>194</v>
      </c>
      <c r="C2601" t="s">
        <v>44</v>
      </c>
      <c r="D2601" t="s">
        <v>324</v>
      </c>
      <c r="E2601">
        <v>0.3</v>
      </c>
      <c r="F2601">
        <v>65</v>
      </c>
      <c r="G2601">
        <v>19.5</v>
      </c>
    </row>
    <row r="2602" spans="1:7" x14ac:dyDescent="0.2">
      <c r="A2602" t="s">
        <v>171</v>
      </c>
      <c r="B2602" t="s">
        <v>194</v>
      </c>
      <c r="C2602" t="s">
        <v>53</v>
      </c>
      <c r="D2602" t="s">
        <v>325</v>
      </c>
      <c r="E2602">
        <v>0.95</v>
      </c>
      <c r="F2602">
        <v>120</v>
      </c>
      <c r="G2602">
        <v>114</v>
      </c>
    </row>
    <row r="2603" spans="1:7" x14ac:dyDescent="0.2">
      <c r="A2603" t="s">
        <v>171</v>
      </c>
      <c r="B2603" t="s">
        <v>194</v>
      </c>
      <c r="C2603" t="s">
        <v>62</v>
      </c>
      <c r="D2603" t="s">
        <v>363</v>
      </c>
      <c r="E2603">
        <v>0.9</v>
      </c>
      <c r="F2603">
        <v>190</v>
      </c>
      <c r="G2603">
        <v>171</v>
      </c>
    </row>
    <row r="2604" spans="1:7" x14ac:dyDescent="0.2">
      <c r="A2604" t="s">
        <v>171</v>
      </c>
      <c r="B2604" t="s">
        <v>194</v>
      </c>
      <c r="C2604" t="s">
        <v>77</v>
      </c>
      <c r="D2604" t="s">
        <v>388</v>
      </c>
      <c r="E2604">
        <v>0.19</v>
      </c>
      <c r="F2604">
        <v>145</v>
      </c>
      <c r="G2604">
        <v>27.55</v>
      </c>
    </row>
    <row r="2605" spans="1:7" x14ac:dyDescent="0.2">
      <c r="A2605" t="s">
        <v>171</v>
      </c>
      <c r="B2605" t="s">
        <v>194</v>
      </c>
      <c r="C2605" t="s">
        <v>93</v>
      </c>
      <c r="D2605" t="s">
        <v>327</v>
      </c>
      <c r="E2605">
        <v>0.125</v>
      </c>
      <c r="F2605">
        <v>70</v>
      </c>
      <c r="G2605">
        <v>8.75</v>
      </c>
    </row>
    <row r="2606" spans="1:7" x14ac:dyDescent="0.2">
      <c r="A2606" t="s">
        <v>171</v>
      </c>
      <c r="B2606" t="s">
        <v>194</v>
      </c>
      <c r="C2606" t="s">
        <v>47</v>
      </c>
      <c r="D2606" t="s">
        <v>328</v>
      </c>
      <c r="E2606">
        <v>0.08</v>
      </c>
      <c r="F2606">
        <v>235</v>
      </c>
      <c r="G2606">
        <v>18.8</v>
      </c>
    </row>
    <row r="2607" spans="1:7" x14ac:dyDescent="0.2">
      <c r="A2607" t="s">
        <v>171</v>
      </c>
      <c r="B2607" t="s">
        <v>194</v>
      </c>
      <c r="C2607" t="s">
        <v>49</v>
      </c>
      <c r="D2607" t="s">
        <v>290</v>
      </c>
      <c r="E2607">
        <v>7.4999999999999997E-2</v>
      </c>
      <c r="F2607">
        <v>248</v>
      </c>
      <c r="G2607">
        <v>18.600000000000001</v>
      </c>
    </row>
    <row r="2608" spans="1:7" x14ac:dyDescent="0.2">
      <c r="A2608" t="s">
        <v>171</v>
      </c>
      <c r="B2608" t="s">
        <v>194</v>
      </c>
      <c r="C2608" t="s">
        <v>19</v>
      </c>
      <c r="D2608" t="s">
        <v>329</v>
      </c>
      <c r="E2608">
        <v>1</v>
      </c>
      <c r="F2608">
        <v>2.9</v>
      </c>
      <c r="G2608">
        <v>2.9</v>
      </c>
    </row>
    <row r="2609" spans="1:7" x14ac:dyDescent="0.2">
      <c r="A2609" t="s">
        <v>171</v>
      </c>
      <c r="B2609" t="s">
        <v>194</v>
      </c>
      <c r="C2609" t="s">
        <v>20</v>
      </c>
      <c r="D2609" t="s">
        <v>330</v>
      </c>
      <c r="E2609">
        <v>1</v>
      </c>
      <c r="F2609">
        <v>2.9</v>
      </c>
      <c r="G2609">
        <v>2.9</v>
      </c>
    </row>
    <row r="2610" spans="1:7" x14ac:dyDescent="0.2">
      <c r="A2610" t="s">
        <v>171</v>
      </c>
      <c r="B2610" t="s">
        <v>194</v>
      </c>
      <c r="C2610" t="s">
        <v>22</v>
      </c>
      <c r="D2610" t="s">
        <v>331</v>
      </c>
      <c r="E2610">
        <v>2</v>
      </c>
      <c r="F2610">
        <v>2.5</v>
      </c>
      <c r="G2610">
        <v>5</v>
      </c>
    </row>
    <row r="2611" spans="1:7" x14ac:dyDescent="0.2">
      <c r="A2611" t="s">
        <v>171</v>
      </c>
      <c r="B2611" t="s">
        <v>194</v>
      </c>
      <c r="C2611" t="s">
        <v>29</v>
      </c>
      <c r="D2611" t="s">
        <v>292</v>
      </c>
      <c r="E2611">
        <v>0.35</v>
      </c>
      <c r="F2611">
        <v>27</v>
      </c>
      <c r="G2611">
        <v>9.4499999999999993</v>
      </c>
    </row>
    <row r="2612" spans="1:7" x14ac:dyDescent="0.2">
      <c r="A2612" t="s">
        <v>171</v>
      </c>
      <c r="B2612" t="s">
        <v>194</v>
      </c>
      <c r="C2612" t="s">
        <v>30</v>
      </c>
      <c r="D2612" t="s">
        <v>332</v>
      </c>
      <c r="E2612">
        <v>1</v>
      </c>
      <c r="F2612">
        <v>6</v>
      </c>
      <c r="G2612">
        <v>6</v>
      </c>
    </row>
    <row r="2613" spans="1:7" x14ac:dyDescent="0.2">
      <c r="A2613" t="s">
        <v>171</v>
      </c>
      <c r="B2613" t="s">
        <v>194</v>
      </c>
      <c r="C2613" t="s">
        <v>101</v>
      </c>
      <c r="D2613" t="s">
        <v>333</v>
      </c>
      <c r="E2613">
        <v>1.4999999999999999E-2</v>
      </c>
      <c r="F2613">
        <v>1200</v>
      </c>
      <c r="G2613">
        <v>18</v>
      </c>
    </row>
    <row r="2614" spans="1:7" x14ac:dyDescent="0.2">
      <c r="A2614" t="s">
        <v>171</v>
      </c>
      <c r="B2614" t="s">
        <v>194</v>
      </c>
      <c r="C2614" t="s">
        <v>121</v>
      </c>
      <c r="D2614" t="s">
        <v>301</v>
      </c>
      <c r="E2614">
        <v>1</v>
      </c>
      <c r="F2614">
        <v>0.95</v>
      </c>
      <c r="G2614">
        <v>0.95</v>
      </c>
    </row>
    <row r="2615" spans="1:7" x14ac:dyDescent="0.2">
      <c r="A2615" t="s">
        <v>171</v>
      </c>
      <c r="B2615" t="s">
        <v>194</v>
      </c>
      <c r="C2615" t="s">
        <v>122</v>
      </c>
      <c r="D2615" t="s">
        <v>302</v>
      </c>
      <c r="E2615">
        <v>1</v>
      </c>
      <c r="F2615">
        <v>4.2</v>
      </c>
      <c r="G2615">
        <v>4.2</v>
      </c>
    </row>
    <row r="2616" spans="1:7" x14ac:dyDescent="0.2">
      <c r="A2616" t="s">
        <v>171</v>
      </c>
      <c r="B2616" t="s">
        <v>194</v>
      </c>
      <c r="C2616" t="s">
        <v>4</v>
      </c>
      <c r="D2616" t="s">
        <v>304</v>
      </c>
      <c r="E2616">
        <v>2.2000000000000002</v>
      </c>
      <c r="F2616">
        <v>10.1</v>
      </c>
      <c r="G2616">
        <v>22.22</v>
      </c>
    </row>
    <row r="2617" spans="1:7" x14ac:dyDescent="0.2">
      <c r="A2617" t="s">
        <v>171</v>
      </c>
      <c r="B2617" t="s">
        <v>194</v>
      </c>
      <c r="C2617" t="s">
        <v>106</v>
      </c>
      <c r="D2617" t="s">
        <v>364</v>
      </c>
      <c r="E2617">
        <v>80</v>
      </c>
      <c r="F2617">
        <v>0.1</v>
      </c>
      <c r="G2617">
        <v>8</v>
      </c>
    </row>
    <row r="2618" spans="1:7" x14ac:dyDescent="0.2">
      <c r="A2618" t="s">
        <v>171</v>
      </c>
      <c r="B2618" t="s">
        <v>194</v>
      </c>
      <c r="C2618" t="s">
        <v>107</v>
      </c>
      <c r="D2618" t="s">
        <v>316</v>
      </c>
      <c r="E2618">
        <v>20</v>
      </c>
      <c r="F2618">
        <v>0.1</v>
      </c>
      <c r="G2618">
        <v>2</v>
      </c>
    </row>
    <row r="2619" spans="1:7" x14ac:dyDescent="0.2">
      <c r="A2619" t="s">
        <v>171</v>
      </c>
      <c r="B2619" t="s">
        <v>194</v>
      </c>
      <c r="C2619" t="s">
        <v>116</v>
      </c>
      <c r="D2619" t="s">
        <v>373</v>
      </c>
      <c r="E2619">
        <v>20</v>
      </c>
      <c r="F2619">
        <v>0.1</v>
      </c>
      <c r="G2619">
        <v>2</v>
      </c>
    </row>
    <row r="2620" spans="1:7" x14ac:dyDescent="0.2">
      <c r="A2620" t="s">
        <v>167</v>
      </c>
      <c r="B2620" t="s">
        <v>231</v>
      </c>
      <c r="C2620" t="s">
        <v>94</v>
      </c>
      <c r="D2620" t="s">
        <v>280</v>
      </c>
      <c r="E2620">
        <v>1</v>
      </c>
      <c r="F2620">
        <v>3.5</v>
      </c>
      <c r="G2620">
        <v>3.5</v>
      </c>
    </row>
    <row r="2621" spans="1:7" x14ac:dyDescent="0.2">
      <c r="A2621" t="s">
        <v>167</v>
      </c>
      <c r="B2621" t="s">
        <v>231</v>
      </c>
      <c r="C2621" t="s">
        <v>95</v>
      </c>
      <c r="D2621" t="s">
        <v>281</v>
      </c>
      <c r="E2621">
        <v>1</v>
      </c>
      <c r="F2621">
        <v>2</v>
      </c>
      <c r="G2621">
        <v>2</v>
      </c>
    </row>
    <row r="2622" spans="1:7" x14ac:dyDescent="0.2">
      <c r="A2622" t="s">
        <v>167</v>
      </c>
      <c r="B2622" t="s">
        <v>231</v>
      </c>
      <c r="C2622" t="s">
        <v>44</v>
      </c>
      <c r="D2622" t="s">
        <v>324</v>
      </c>
      <c r="E2622">
        <v>0.3</v>
      </c>
      <c r="F2622">
        <v>65</v>
      </c>
      <c r="G2622">
        <v>19.5</v>
      </c>
    </row>
    <row r="2623" spans="1:7" x14ac:dyDescent="0.2">
      <c r="A2623" t="s">
        <v>167</v>
      </c>
      <c r="B2623" t="s">
        <v>231</v>
      </c>
      <c r="C2623" t="s">
        <v>53</v>
      </c>
      <c r="D2623" t="s">
        <v>325</v>
      </c>
      <c r="E2623">
        <v>0.95</v>
      </c>
      <c r="F2623">
        <v>120</v>
      </c>
      <c r="G2623">
        <v>114</v>
      </c>
    </row>
    <row r="2624" spans="1:7" x14ac:dyDescent="0.2">
      <c r="A2624" t="s">
        <v>167</v>
      </c>
      <c r="B2624" t="s">
        <v>231</v>
      </c>
      <c r="C2624" t="s">
        <v>61</v>
      </c>
      <c r="D2624" t="s">
        <v>341</v>
      </c>
      <c r="E2624">
        <v>0.9</v>
      </c>
      <c r="F2624">
        <v>190</v>
      </c>
      <c r="G2624">
        <v>171</v>
      </c>
    </row>
    <row r="2625" spans="1:7" x14ac:dyDescent="0.2">
      <c r="A2625" t="s">
        <v>167</v>
      </c>
      <c r="B2625" t="s">
        <v>231</v>
      </c>
      <c r="C2625" t="s">
        <v>78</v>
      </c>
      <c r="D2625" t="s">
        <v>389</v>
      </c>
      <c r="E2625">
        <v>0.19</v>
      </c>
      <c r="F2625">
        <v>145</v>
      </c>
      <c r="G2625">
        <v>27.55</v>
      </c>
    </row>
    <row r="2626" spans="1:7" x14ac:dyDescent="0.2">
      <c r="A2626" t="s">
        <v>167</v>
      </c>
      <c r="B2626" t="s">
        <v>231</v>
      </c>
      <c r="C2626" t="s">
        <v>93</v>
      </c>
      <c r="D2626" t="s">
        <v>327</v>
      </c>
      <c r="E2626">
        <v>0.125</v>
      </c>
      <c r="F2626">
        <v>70</v>
      </c>
      <c r="G2626">
        <v>8.75</v>
      </c>
    </row>
    <row r="2627" spans="1:7" x14ac:dyDescent="0.2">
      <c r="A2627" t="s">
        <v>167</v>
      </c>
      <c r="B2627" t="s">
        <v>231</v>
      </c>
      <c r="C2627" t="s">
        <v>47</v>
      </c>
      <c r="D2627" t="s">
        <v>328</v>
      </c>
      <c r="E2627">
        <v>0.08</v>
      </c>
      <c r="F2627">
        <v>235</v>
      </c>
      <c r="G2627">
        <v>18.8</v>
      </c>
    </row>
    <row r="2628" spans="1:7" x14ac:dyDescent="0.2">
      <c r="A2628" t="s">
        <v>167</v>
      </c>
      <c r="B2628" t="s">
        <v>231</v>
      </c>
      <c r="C2628" t="s">
        <v>49</v>
      </c>
      <c r="D2628" t="s">
        <v>290</v>
      </c>
      <c r="E2628">
        <v>7.4999999999999997E-2</v>
      </c>
      <c r="F2628">
        <v>248</v>
      </c>
      <c r="G2628">
        <v>18.600000000000001</v>
      </c>
    </row>
    <row r="2629" spans="1:7" x14ac:dyDescent="0.2">
      <c r="A2629" t="s">
        <v>167</v>
      </c>
      <c r="B2629" t="s">
        <v>231</v>
      </c>
      <c r="C2629" t="s">
        <v>19</v>
      </c>
      <c r="D2629" t="s">
        <v>329</v>
      </c>
      <c r="E2629">
        <v>1</v>
      </c>
      <c r="F2629">
        <v>2.9</v>
      </c>
      <c r="G2629">
        <v>2.9</v>
      </c>
    </row>
    <row r="2630" spans="1:7" x14ac:dyDescent="0.2">
      <c r="A2630" t="s">
        <v>167</v>
      </c>
      <c r="B2630" t="s">
        <v>231</v>
      </c>
      <c r="C2630" t="s">
        <v>20</v>
      </c>
      <c r="D2630" t="s">
        <v>330</v>
      </c>
      <c r="E2630">
        <v>1</v>
      </c>
      <c r="F2630">
        <v>2.9</v>
      </c>
      <c r="G2630">
        <v>2.9</v>
      </c>
    </row>
    <row r="2631" spans="1:7" x14ac:dyDescent="0.2">
      <c r="A2631" t="s">
        <v>167</v>
      </c>
      <c r="B2631" t="s">
        <v>231</v>
      </c>
      <c r="C2631" t="s">
        <v>22</v>
      </c>
      <c r="D2631" t="s">
        <v>331</v>
      </c>
      <c r="E2631">
        <v>2</v>
      </c>
      <c r="F2631">
        <v>2.5</v>
      </c>
      <c r="G2631">
        <v>5</v>
      </c>
    </row>
    <row r="2632" spans="1:7" x14ac:dyDescent="0.2">
      <c r="A2632" t="s">
        <v>167</v>
      </c>
      <c r="B2632" t="s">
        <v>231</v>
      </c>
      <c r="C2632" t="s">
        <v>29</v>
      </c>
      <c r="D2632" t="s">
        <v>292</v>
      </c>
      <c r="E2632">
        <v>0.35</v>
      </c>
      <c r="F2632">
        <v>27</v>
      </c>
      <c r="G2632">
        <v>9.4499999999999993</v>
      </c>
    </row>
    <row r="2633" spans="1:7" x14ac:dyDescent="0.2">
      <c r="A2633" t="s">
        <v>167</v>
      </c>
      <c r="B2633" t="s">
        <v>231</v>
      </c>
      <c r="C2633" t="s">
        <v>30</v>
      </c>
      <c r="D2633" t="s">
        <v>332</v>
      </c>
      <c r="E2633">
        <v>1</v>
      </c>
      <c r="F2633">
        <v>6</v>
      </c>
      <c r="G2633">
        <v>6</v>
      </c>
    </row>
    <row r="2634" spans="1:7" x14ac:dyDescent="0.2">
      <c r="A2634" t="s">
        <v>167</v>
      </c>
      <c r="B2634" t="s">
        <v>231</v>
      </c>
      <c r="C2634" t="s">
        <v>101</v>
      </c>
      <c r="D2634" t="s">
        <v>333</v>
      </c>
      <c r="E2634">
        <v>1.4999999999999999E-2</v>
      </c>
      <c r="F2634">
        <v>1200</v>
      </c>
      <c r="G2634">
        <v>18</v>
      </c>
    </row>
    <row r="2635" spans="1:7" x14ac:dyDescent="0.2">
      <c r="A2635" t="s">
        <v>167</v>
      </c>
      <c r="B2635" t="s">
        <v>231</v>
      </c>
      <c r="C2635" t="s">
        <v>121</v>
      </c>
      <c r="D2635" t="s">
        <v>301</v>
      </c>
      <c r="E2635">
        <v>1</v>
      </c>
      <c r="F2635">
        <v>0.95</v>
      </c>
      <c r="G2635">
        <v>0.95</v>
      </c>
    </row>
    <row r="2636" spans="1:7" x14ac:dyDescent="0.2">
      <c r="A2636" t="s">
        <v>167</v>
      </c>
      <c r="B2636" t="s">
        <v>231</v>
      </c>
      <c r="C2636" t="s">
        <v>122</v>
      </c>
      <c r="D2636" t="s">
        <v>302</v>
      </c>
      <c r="E2636">
        <v>1</v>
      </c>
      <c r="F2636">
        <v>4.2</v>
      </c>
      <c r="G2636">
        <v>4.2</v>
      </c>
    </row>
    <row r="2637" spans="1:7" x14ac:dyDescent="0.2">
      <c r="A2637" t="s">
        <v>167</v>
      </c>
      <c r="B2637" t="s">
        <v>231</v>
      </c>
      <c r="C2637" t="s">
        <v>4</v>
      </c>
      <c r="D2637" t="s">
        <v>304</v>
      </c>
      <c r="E2637">
        <v>2.2000000000000002</v>
      </c>
      <c r="F2637">
        <v>10.1</v>
      </c>
      <c r="G2637">
        <v>22.22</v>
      </c>
    </row>
    <row r="2638" spans="1:7" x14ac:dyDescent="0.2">
      <c r="A2638" t="s">
        <v>167</v>
      </c>
      <c r="B2638" t="s">
        <v>231</v>
      </c>
      <c r="C2638" t="s">
        <v>105</v>
      </c>
      <c r="D2638" t="s">
        <v>313</v>
      </c>
      <c r="E2638">
        <v>20</v>
      </c>
      <c r="F2638">
        <v>0.1</v>
      </c>
      <c r="G2638">
        <v>2</v>
      </c>
    </row>
    <row r="2639" spans="1:7" x14ac:dyDescent="0.2">
      <c r="A2639" t="s">
        <v>167</v>
      </c>
      <c r="B2639" t="s">
        <v>231</v>
      </c>
      <c r="C2639" t="s">
        <v>107</v>
      </c>
      <c r="D2639" t="s">
        <v>316</v>
      </c>
      <c r="E2639">
        <v>20</v>
      </c>
      <c r="F2639">
        <v>0.1</v>
      </c>
      <c r="G2639">
        <v>2</v>
      </c>
    </row>
    <row r="2640" spans="1:7" x14ac:dyDescent="0.2">
      <c r="A2640" t="s">
        <v>167</v>
      </c>
      <c r="B2640" t="s">
        <v>231</v>
      </c>
      <c r="C2640" t="s">
        <v>118</v>
      </c>
      <c r="D2640" t="s">
        <v>356</v>
      </c>
      <c r="E2640">
        <v>80</v>
      </c>
      <c r="F2640">
        <v>0.1</v>
      </c>
      <c r="G2640">
        <v>8</v>
      </c>
    </row>
    <row r="2641" spans="1:7" x14ac:dyDescent="0.2">
      <c r="A2641" t="s">
        <v>166</v>
      </c>
      <c r="B2641" t="s">
        <v>237</v>
      </c>
      <c r="C2641" t="s">
        <v>94</v>
      </c>
      <c r="D2641" t="s">
        <v>280</v>
      </c>
      <c r="E2641">
        <v>1</v>
      </c>
      <c r="F2641">
        <v>3.5</v>
      </c>
      <c r="G2641">
        <v>3.5</v>
      </c>
    </row>
    <row r="2642" spans="1:7" x14ac:dyDescent="0.2">
      <c r="A2642" t="s">
        <v>166</v>
      </c>
      <c r="B2642" t="s">
        <v>237</v>
      </c>
      <c r="C2642" t="s">
        <v>95</v>
      </c>
      <c r="D2642" t="s">
        <v>281</v>
      </c>
      <c r="E2642">
        <v>1</v>
      </c>
      <c r="F2642">
        <v>2</v>
      </c>
      <c r="G2642">
        <v>2</v>
      </c>
    </row>
    <row r="2643" spans="1:7" x14ac:dyDescent="0.2">
      <c r="A2643" t="s">
        <v>166</v>
      </c>
      <c r="B2643" t="s">
        <v>237</v>
      </c>
      <c r="C2643" t="s">
        <v>44</v>
      </c>
      <c r="D2643" t="s">
        <v>324</v>
      </c>
      <c r="E2643">
        <v>0.3</v>
      </c>
      <c r="F2643">
        <v>65</v>
      </c>
      <c r="G2643">
        <v>19.5</v>
      </c>
    </row>
    <row r="2644" spans="1:7" x14ac:dyDescent="0.2">
      <c r="A2644" t="s">
        <v>166</v>
      </c>
      <c r="B2644" t="s">
        <v>237</v>
      </c>
      <c r="C2644" t="s">
        <v>53</v>
      </c>
      <c r="D2644" t="s">
        <v>325</v>
      </c>
      <c r="E2644">
        <v>0.95</v>
      </c>
      <c r="F2644">
        <v>120</v>
      </c>
      <c r="G2644">
        <v>114</v>
      </c>
    </row>
    <row r="2645" spans="1:7" x14ac:dyDescent="0.2">
      <c r="A2645" t="s">
        <v>166</v>
      </c>
      <c r="B2645" t="s">
        <v>237</v>
      </c>
      <c r="C2645" t="s">
        <v>66</v>
      </c>
      <c r="D2645" t="s">
        <v>353</v>
      </c>
      <c r="E2645">
        <v>0.9</v>
      </c>
      <c r="F2645">
        <v>190</v>
      </c>
      <c r="G2645">
        <v>171</v>
      </c>
    </row>
    <row r="2646" spans="1:7" x14ac:dyDescent="0.2">
      <c r="A2646" t="s">
        <v>166</v>
      </c>
      <c r="B2646" t="s">
        <v>237</v>
      </c>
      <c r="C2646" t="s">
        <v>78</v>
      </c>
      <c r="D2646" t="s">
        <v>389</v>
      </c>
      <c r="E2646">
        <v>0.19</v>
      </c>
      <c r="F2646">
        <v>145</v>
      </c>
      <c r="G2646">
        <v>27.55</v>
      </c>
    </row>
    <row r="2647" spans="1:7" x14ac:dyDescent="0.2">
      <c r="A2647" t="s">
        <v>166</v>
      </c>
      <c r="B2647" t="s">
        <v>237</v>
      </c>
      <c r="C2647" t="s">
        <v>93</v>
      </c>
      <c r="D2647" t="s">
        <v>327</v>
      </c>
      <c r="E2647">
        <v>0.125</v>
      </c>
      <c r="F2647">
        <v>70</v>
      </c>
      <c r="G2647">
        <v>8.75</v>
      </c>
    </row>
    <row r="2648" spans="1:7" x14ac:dyDescent="0.2">
      <c r="A2648" t="s">
        <v>166</v>
      </c>
      <c r="B2648" t="s">
        <v>237</v>
      </c>
      <c r="C2648" t="s">
        <v>47</v>
      </c>
      <c r="D2648" t="s">
        <v>328</v>
      </c>
      <c r="E2648">
        <v>0.08</v>
      </c>
      <c r="F2648">
        <v>235</v>
      </c>
      <c r="G2648">
        <v>18.8</v>
      </c>
    </row>
    <row r="2649" spans="1:7" x14ac:dyDescent="0.2">
      <c r="A2649" t="s">
        <v>166</v>
      </c>
      <c r="B2649" t="s">
        <v>237</v>
      </c>
      <c r="C2649" t="s">
        <v>49</v>
      </c>
      <c r="D2649" t="s">
        <v>290</v>
      </c>
      <c r="E2649">
        <v>7.4999999999999997E-2</v>
      </c>
      <c r="F2649">
        <v>248</v>
      </c>
      <c r="G2649">
        <v>18.600000000000001</v>
      </c>
    </row>
    <row r="2650" spans="1:7" x14ac:dyDescent="0.2">
      <c r="A2650" t="s">
        <v>166</v>
      </c>
      <c r="B2650" t="s">
        <v>237</v>
      </c>
      <c r="C2650" t="s">
        <v>19</v>
      </c>
      <c r="D2650" t="s">
        <v>329</v>
      </c>
      <c r="E2650">
        <v>1</v>
      </c>
      <c r="F2650">
        <v>2.9</v>
      </c>
      <c r="G2650">
        <v>2.9</v>
      </c>
    </row>
    <row r="2651" spans="1:7" x14ac:dyDescent="0.2">
      <c r="A2651" t="s">
        <v>166</v>
      </c>
      <c r="B2651" t="s">
        <v>237</v>
      </c>
      <c r="C2651" t="s">
        <v>20</v>
      </c>
      <c r="D2651" t="s">
        <v>330</v>
      </c>
      <c r="E2651">
        <v>1</v>
      </c>
      <c r="F2651">
        <v>2.9</v>
      </c>
      <c r="G2651">
        <v>2.9</v>
      </c>
    </row>
    <row r="2652" spans="1:7" x14ac:dyDescent="0.2">
      <c r="A2652" t="s">
        <v>166</v>
      </c>
      <c r="B2652" t="s">
        <v>237</v>
      </c>
      <c r="C2652" t="s">
        <v>22</v>
      </c>
      <c r="D2652" t="s">
        <v>331</v>
      </c>
      <c r="E2652">
        <v>2</v>
      </c>
      <c r="F2652">
        <v>2.5</v>
      </c>
      <c r="G2652">
        <v>5</v>
      </c>
    </row>
    <row r="2653" spans="1:7" x14ac:dyDescent="0.2">
      <c r="A2653" t="s">
        <v>166</v>
      </c>
      <c r="B2653" t="s">
        <v>237</v>
      </c>
      <c r="C2653" t="s">
        <v>29</v>
      </c>
      <c r="D2653" t="s">
        <v>292</v>
      </c>
      <c r="E2653">
        <v>0.35</v>
      </c>
      <c r="F2653">
        <v>27</v>
      </c>
      <c r="G2653">
        <v>9.4499999999999993</v>
      </c>
    </row>
    <row r="2654" spans="1:7" x14ac:dyDescent="0.2">
      <c r="A2654" t="s">
        <v>166</v>
      </c>
      <c r="B2654" t="s">
        <v>237</v>
      </c>
      <c r="C2654" t="s">
        <v>30</v>
      </c>
      <c r="D2654" t="s">
        <v>332</v>
      </c>
      <c r="E2654">
        <v>1</v>
      </c>
      <c r="F2654">
        <v>6</v>
      </c>
      <c r="G2654">
        <v>6</v>
      </c>
    </row>
    <row r="2655" spans="1:7" x14ac:dyDescent="0.2">
      <c r="A2655" t="s">
        <v>166</v>
      </c>
      <c r="B2655" t="s">
        <v>237</v>
      </c>
      <c r="C2655" t="s">
        <v>101</v>
      </c>
      <c r="D2655" t="s">
        <v>333</v>
      </c>
      <c r="E2655">
        <v>1.4999999999999999E-2</v>
      </c>
      <c r="F2655">
        <v>1200</v>
      </c>
      <c r="G2655">
        <v>18</v>
      </c>
    </row>
    <row r="2656" spans="1:7" x14ac:dyDescent="0.2">
      <c r="A2656" t="s">
        <v>166</v>
      </c>
      <c r="B2656" t="s">
        <v>237</v>
      </c>
      <c r="C2656" t="s">
        <v>121</v>
      </c>
      <c r="D2656" t="s">
        <v>301</v>
      </c>
      <c r="E2656">
        <v>1</v>
      </c>
      <c r="F2656">
        <v>0.95</v>
      </c>
      <c r="G2656">
        <v>0.95</v>
      </c>
    </row>
    <row r="2657" spans="1:7" x14ac:dyDescent="0.2">
      <c r="A2657" t="s">
        <v>166</v>
      </c>
      <c r="B2657" t="s">
        <v>237</v>
      </c>
      <c r="C2657" t="s">
        <v>122</v>
      </c>
      <c r="D2657" t="s">
        <v>302</v>
      </c>
      <c r="E2657">
        <v>1</v>
      </c>
      <c r="F2657">
        <v>4.2</v>
      </c>
      <c r="G2657">
        <v>4.2</v>
      </c>
    </row>
    <row r="2658" spans="1:7" x14ac:dyDescent="0.2">
      <c r="A2658" t="s">
        <v>166</v>
      </c>
      <c r="B2658" t="s">
        <v>237</v>
      </c>
      <c r="C2658" t="s">
        <v>4</v>
      </c>
      <c r="D2658" t="s">
        <v>304</v>
      </c>
      <c r="E2658">
        <v>2.2000000000000002</v>
      </c>
      <c r="F2658">
        <v>10.1</v>
      </c>
      <c r="G2658">
        <v>22.22</v>
      </c>
    </row>
    <row r="2659" spans="1:7" x14ac:dyDescent="0.2">
      <c r="A2659" t="s">
        <v>166</v>
      </c>
      <c r="B2659" t="s">
        <v>237</v>
      </c>
      <c r="C2659" t="s">
        <v>106</v>
      </c>
      <c r="D2659" t="s">
        <v>364</v>
      </c>
      <c r="E2659">
        <v>20</v>
      </c>
      <c r="F2659">
        <v>0.1</v>
      </c>
      <c r="G2659">
        <v>2</v>
      </c>
    </row>
    <row r="2660" spans="1:7" x14ac:dyDescent="0.2">
      <c r="A2660" t="s">
        <v>166</v>
      </c>
      <c r="B2660" t="s">
        <v>237</v>
      </c>
      <c r="C2660" t="s">
        <v>107</v>
      </c>
      <c r="D2660" t="s">
        <v>316</v>
      </c>
      <c r="E2660">
        <v>20</v>
      </c>
      <c r="F2660">
        <v>0.1</v>
      </c>
      <c r="G2660">
        <v>2</v>
      </c>
    </row>
    <row r="2661" spans="1:7" x14ac:dyDescent="0.2">
      <c r="A2661" t="s">
        <v>166</v>
      </c>
      <c r="B2661" t="s">
        <v>237</v>
      </c>
      <c r="C2661" t="s">
        <v>118</v>
      </c>
      <c r="D2661" t="s">
        <v>356</v>
      </c>
      <c r="E2661">
        <v>80</v>
      </c>
      <c r="F2661">
        <v>0.1</v>
      </c>
      <c r="G2661">
        <v>8</v>
      </c>
    </row>
    <row r="2662" spans="1:7" x14ac:dyDescent="0.2">
      <c r="A2662" t="s">
        <v>165</v>
      </c>
      <c r="B2662" t="s">
        <v>236</v>
      </c>
      <c r="C2662" t="s">
        <v>94</v>
      </c>
      <c r="D2662" t="s">
        <v>280</v>
      </c>
      <c r="E2662">
        <v>1</v>
      </c>
      <c r="F2662">
        <v>3.5</v>
      </c>
      <c r="G2662">
        <v>3.5</v>
      </c>
    </row>
    <row r="2663" spans="1:7" x14ac:dyDescent="0.2">
      <c r="A2663" t="s">
        <v>165</v>
      </c>
      <c r="B2663" t="s">
        <v>236</v>
      </c>
      <c r="C2663" t="s">
        <v>95</v>
      </c>
      <c r="D2663" t="s">
        <v>281</v>
      </c>
      <c r="E2663">
        <v>1</v>
      </c>
      <c r="F2663">
        <v>2</v>
      </c>
      <c r="G2663">
        <v>2</v>
      </c>
    </row>
    <row r="2664" spans="1:7" x14ac:dyDescent="0.2">
      <c r="A2664" t="s">
        <v>165</v>
      </c>
      <c r="B2664" t="s">
        <v>236</v>
      </c>
      <c r="C2664" t="s">
        <v>44</v>
      </c>
      <c r="D2664" t="s">
        <v>324</v>
      </c>
      <c r="E2664">
        <v>0.3</v>
      </c>
      <c r="F2664">
        <v>65</v>
      </c>
      <c r="G2664">
        <v>19.5</v>
      </c>
    </row>
    <row r="2665" spans="1:7" x14ac:dyDescent="0.2">
      <c r="A2665" t="s">
        <v>165</v>
      </c>
      <c r="B2665" t="s">
        <v>236</v>
      </c>
      <c r="C2665" t="s">
        <v>53</v>
      </c>
      <c r="D2665" t="s">
        <v>325</v>
      </c>
      <c r="E2665">
        <v>0.95</v>
      </c>
      <c r="F2665">
        <v>120</v>
      </c>
      <c r="G2665">
        <v>114</v>
      </c>
    </row>
    <row r="2666" spans="1:7" x14ac:dyDescent="0.2">
      <c r="A2666" t="s">
        <v>165</v>
      </c>
      <c r="B2666" t="s">
        <v>236</v>
      </c>
      <c r="C2666" t="s">
        <v>62</v>
      </c>
      <c r="D2666" t="s">
        <v>363</v>
      </c>
      <c r="E2666">
        <v>0.9</v>
      </c>
      <c r="F2666">
        <v>190</v>
      </c>
      <c r="G2666">
        <v>171</v>
      </c>
    </row>
    <row r="2667" spans="1:7" x14ac:dyDescent="0.2">
      <c r="A2667" t="s">
        <v>165</v>
      </c>
      <c r="B2667" t="s">
        <v>236</v>
      </c>
      <c r="C2667" t="s">
        <v>78</v>
      </c>
      <c r="D2667" t="s">
        <v>389</v>
      </c>
      <c r="E2667">
        <v>0.19</v>
      </c>
      <c r="F2667">
        <v>145</v>
      </c>
      <c r="G2667">
        <v>27.55</v>
      </c>
    </row>
    <row r="2668" spans="1:7" x14ac:dyDescent="0.2">
      <c r="A2668" t="s">
        <v>165</v>
      </c>
      <c r="B2668" t="s">
        <v>236</v>
      </c>
      <c r="C2668" t="s">
        <v>93</v>
      </c>
      <c r="D2668" t="s">
        <v>327</v>
      </c>
      <c r="E2668">
        <v>0.125</v>
      </c>
      <c r="F2668">
        <v>70</v>
      </c>
      <c r="G2668">
        <v>8.75</v>
      </c>
    </row>
    <row r="2669" spans="1:7" x14ac:dyDescent="0.2">
      <c r="A2669" t="s">
        <v>165</v>
      </c>
      <c r="B2669" t="s">
        <v>236</v>
      </c>
      <c r="C2669" t="s">
        <v>47</v>
      </c>
      <c r="D2669" t="s">
        <v>328</v>
      </c>
      <c r="E2669">
        <v>0.08</v>
      </c>
      <c r="F2669">
        <v>235</v>
      </c>
      <c r="G2669">
        <v>18.8</v>
      </c>
    </row>
    <row r="2670" spans="1:7" x14ac:dyDescent="0.2">
      <c r="A2670" t="s">
        <v>165</v>
      </c>
      <c r="B2670" t="s">
        <v>236</v>
      </c>
      <c r="C2670" t="s">
        <v>49</v>
      </c>
      <c r="D2670" t="s">
        <v>290</v>
      </c>
      <c r="E2670">
        <v>7.4999999999999997E-2</v>
      </c>
      <c r="F2670">
        <v>248</v>
      </c>
      <c r="G2670">
        <v>18.600000000000001</v>
      </c>
    </row>
    <row r="2671" spans="1:7" x14ac:dyDescent="0.2">
      <c r="A2671" t="s">
        <v>165</v>
      </c>
      <c r="B2671" t="s">
        <v>236</v>
      </c>
      <c r="C2671" t="s">
        <v>19</v>
      </c>
      <c r="D2671" t="s">
        <v>329</v>
      </c>
      <c r="E2671">
        <v>1</v>
      </c>
      <c r="F2671">
        <v>2.9</v>
      </c>
      <c r="G2671">
        <v>2.9</v>
      </c>
    </row>
    <row r="2672" spans="1:7" x14ac:dyDescent="0.2">
      <c r="A2672" t="s">
        <v>165</v>
      </c>
      <c r="B2672" t="s">
        <v>236</v>
      </c>
      <c r="C2672" t="s">
        <v>20</v>
      </c>
      <c r="D2672" t="s">
        <v>330</v>
      </c>
      <c r="E2672">
        <v>1</v>
      </c>
      <c r="F2672">
        <v>2.9</v>
      </c>
      <c r="G2672">
        <v>2.9</v>
      </c>
    </row>
    <row r="2673" spans="1:7" x14ac:dyDescent="0.2">
      <c r="A2673" t="s">
        <v>165</v>
      </c>
      <c r="B2673" t="s">
        <v>236</v>
      </c>
      <c r="C2673" t="s">
        <v>22</v>
      </c>
      <c r="D2673" t="s">
        <v>331</v>
      </c>
      <c r="E2673">
        <v>2</v>
      </c>
      <c r="F2673">
        <v>2.5</v>
      </c>
      <c r="G2673">
        <v>5</v>
      </c>
    </row>
    <row r="2674" spans="1:7" x14ac:dyDescent="0.2">
      <c r="A2674" t="s">
        <v>165</v>
      </c>
      <c r="B2674" t="s">
        <v>236</v>
      </c>
      <c r="C2674" t="s">
        <v>29</v>
      </c>
      <c r="D2674" t="s">
        <v>292</v>
      </c>
      <c r="E2674">
        <v>0.35</v>
      </c>
      <c r="F2674">
        <v>27</v>
      </c>
      <c r="G2674">
        <v>9.4499999999999993</v>
      </c>
    </row>
    <row r="2675" spans="1:7" x14ac:dyDescent="0.2">
      <c r="A2675" t="s">
        <v>165</v>
      </c>
      <c r="B2675" t="s">
        <v>236</v>
      </c>
      <c r="C2675" t="s">
        <v>30</v>
      </c>
      <c r="D2675" t="s">
        <v>332</v>
      </c>
      <c r="E2675">
        <v>1</v>
      </c>
      <c r="F2675">
        <v>6</v>
      </c>
      <c r="G2675">
        <v>6</v>
      </c>
    </row>
    <row r="2676" spans="1:7" x14ac:dyDescent="0.2">
      <c r="A2676" t="s">
        <v>165</v>
      </c>
      <c r="B2676" t="s">
        <v>236</v>
      </c>
      <c r="C2676" t="s">
        <v>101</v>
      </c>
      <c r="D2676" t="s">
        <v>333</v>
      </c>
      <c r="E2676">
        <v>1.4999999999999999E-2</v>
      </c>
      <c r="F2676">
        <v>1200</v>
      </c>
      <c r="G2676">
        <v>18</v>
      </c>
    </row>
    <row r="2677" spans="1:7" x14ac:dyDescent="0.2">
      <c r="A2677" t="s">
        <v>165</v>
      </c>
      <c r="B2677" t="s">
        <v>236</v>
      </c>
      <c r="C2677" t="s">
        <v>121</v>
      </c>
      <c r="D2677" t="s">
        <v>301</v>
      </c>
      <c r="E2677">
        <v>1</v>
      </c>
      <c r="F2677">
        <v>0.95</v>
      </c>
      <c r="G2677">
        <v>0.95</v>
      </c>
    </row>
    <row r="2678" spans="1:7" x14ac:dyDescent="0.2">
      <c r="A2678" t="s">
        <v>165</v>
      </c>
      <c r="B2678" t="s">
        <v>236</v>
      </c>
      <c r="C2678" t="s">
        <v>122</v>
      </c>
      <c r="D2678" t="s">
        <v>302</v>
      </c>
      <c r="E2678">
        <v>1</v>
      </c>
      <c r="F2678">
        <v>4.2</v>
      </c>
      <c r="G2678">
        <v>4.2</v>
      </c>
    </row>
    <row r="2679" spans="1:7" x14ac:dyDescent="0.2">
      <c r="A2679" t="s">
        <v>165</v>
      </c>
      <c r="B2679" t="s">
        <v>236</v>
      </c>
      <c r="C2679" t="s">
        <v>4</v>
      </c>
      <c r="D2679" t="s">
        <v>304</v>
      </c>
      <c r="E2679">
        <v>2.2000000000000002</v>
      </c>
      <c r="F2679">
        <v>10.1</v>
      </c>
      <c r="G2679">
        <v>22.22</v>
      </c>
    </row>
    <row r="2680" spans="1:7" x14ac:dyDescent="0.2">
      <c r="A2680" t="s">
        <v>165</v>
      </c>
      <c r="B2680" t="s">
        <v>236</v>
      </c>
      <c r="C2680" t="s">
        <v>106</v>
      </c>
      <c r="D2680" t="s">
        <v>364</v>
      </c>
      <c r="E2680">
        <v>20</v>
      </c>
      <c r="F2680">
        <v>0.1</v>
      </c>
      <c r="G2680">
        <v>2</v>
      </c>
    </row>
    <row r="2681" spans="1:7" x14ac:dyDescent="0.2">
      <c r="A2681" t="s">
        <v>165</v>
      </c>
      <c r="B2681" t="s">
        <v>236</v>
      </c>
      <c r="C2681" t="s">
        <v>107</v>
      </c>
      <c r="D2681" t="s">
        <v>316</v>
      </c>
      <c r="E2681">
        <v>20</v>
      </c>
      <c r="F2681">
        <v>0.1</v>
      </c>
      <c r="G2681">
        <v>2</v>
      </c>
    </row>
    <row r="2682" spans="1:7" x14ac:dyDescent="0.2">
      <c r="A2682" t="s">
        <v>165</v>
      </c>
      <c r="B2682" t="s">
        <v>236</v>
      </c>
      <c r="C2682" t="s">
        <v>118</v>
      </c>
      <c r="D2682" t="s">
        <v>356</v>
      </c>
      <c r="E2682">
        <v>80</v>
      </c>
      <c r="F2682">
        <v>0.1</v>
      </c>
      <c r="G2682">
        <v>8</v>
      </c>
    </row>
    <row r="2683" spans="1:7" x14ac:dyDescent="0.2">
      <c r="A2683" t="s">
        <v>168</v>
      </c>
      <c r="B2683" t="s">
        <v>264</v>
      </c>
      <c r="C2683" t="s">
        <v>94</v>
      </c>
      <c r="D2683" t="s">
        <v>280</v>
      </c>
      <c r="E2683">
        <v>1</v>
      </c>
      <c r="F2683">
        <v>3.5</v>
      </c>
      <c r="G2683">
        <v>3.5</v>
      </c>
    </row>
    <row r="2684" spans="1:7" x14ac:dyDescent="0.2">
      <c r="A2684" t="s">
        <v>168</v>
      </c>
      <c r="B2684" t="s">
        <v>264</v>
      </c>
      <c r="C2684" t="s">
        <v>95</v>
      </c>
      <c r="D2684" t="s">
        <v>281</v>
      </c>
      <c r="E2684">
        <v>1</v>
      </c>
      <c r="F2684">
        <v>2</v>
      </c>
      <c r="G2684">
        <v>2</v>
      </c>
    </row>
    <row r="2685" spans="1:7" x14ac:dyDescent="0.2">
      <c r="A2685" t="s">
        <v>168</v>
      </c>
      <c r="B2685" t="s">
        <v>264</v>
      </c>
      <c r="C2685" t="s">
        <v>44</v>
      </c>
      <c r="D2685" t="s">
        <v>324</v>
      </c>
      <c r="E2685">
        <v>0.3</v>
      </c>
      <c r="F2685">
        <v>65</v>
      </c>
      <c r="G2685">
        <v>19.5</v>
      </c>
    </row>
    <row r="2686" spans="1:7" x14ac:dyDescent="0.2">
      <c r="A2686" t="s">
        <v>168</v>
      </c>
      <c r="B2686" t="s">
        <v>264</v>
      </c>
      <c r="C2686" t="s">
        <v>53</v>
      </c>
      <c r="D2686" t="s">
        <v>325</v>
      </c>
      <c r="E2686">
        <v>0.95</v>
      </c>
      <c r="F2686">
        <v>120</v>
      </c>
      <c r="G2686">
        <v>114</v>
      </c>
    </row>
    <row r="2687" spans="1:7" x14ac:dyDescent="0.2">
      <c r="A2687" t="s">
        <v>168</v>
      </c>
      <c r="B2687" t="s">
        <v>264</v>
      </c>
      <c r="C2687" t="s">
        <v>64</v>
      </c>
      <c r="D2687" t="s">
        <v>386</v>
      </c>
      <c r="E2687">
        <v>0.9</v>
      </c>
      <c r="F2687">
        <v>190</v>
      </c>
      <c r="G2687">
        <v>171</v>
      </c>
    </row>
    <row r="2688" spans="1:7" x14ac:dyDescent="0.2">
      <c r="A2688" t="s">
        <v>168</v>
      </c>
      <c r="B2688" t="s">
        <v>264</v>
      </c>
      <c r="C2688" t="s">
        <v>78</v>
      </c>
      <c r="D2688" t="s">
        <v>389</v>
      </c>
      <c r="E2688">
        <v>0.19</v>
      </c>
      <c r="F2688">
        <v>145</v>
      </c>
      <c r="G2688">
        <v>27.55</v>
      </c>
    </row>
    <row r="2689" spans="1:7" x14ac:dyDescent="0.2">
      <c r="A2689" t="s">
        <v>168</v>
      </c>
      <c r="B2689" t="s">
        <v>264</v>
      </c>
      <c r="C2689" t="s">
        <v>93</v>
      </c>
      <c r="D2689" t="s">
        <v>327</v>
      </c>
      <c r="E2689">
        <v>0.125</v>
      </c>
      <c r="F2689">
        <v>70</v>
      </c>
      <c r="G2689">
        <v>8.75</v>
      </c>
    </row>
    <row r="2690" spans="1:7" x14ac:dyDescent="0.2">
      <c r="A2690" t="s">
        <v>168</v>
      </c>
      <c r="B2690" t="s">
        <v>264</v>
      </c>
      <c r="C2690" t="s">
        <v>47</v>
      </c>
      <c r="D2690" t="s">
        <v>328</v>
      </c>
      <c r="E2690">
        <v>0.08</v>
      </c>
      <c r="F2690">
        <v>235</v>
      </c>
      <c r="G2690">
        <v>18.8</v>
      </c>
    </row>
    <row r="2691" spans="1:7" x14ac:dyDescent="0.2">
      <c r="A2691" t="s">
        <v>168</v>
      </c>
      <c r="B2691" t="s">
        <v>264</v>
      </c>
      <c r="C2691" t="s">
        <v>49</v>
      </c>
      <c r="D2691" t="s">
        <v>290</v>
      </c>
      <c r="E2691">
        <v>7.4999999999999997E-2</v>
      </c>
      <c r="F2691">
        <v>248</v>
      </c>
      <c r="G2691">
        <v>18.600000000000001</v>
      </c>
    </row>
    <row r="2692" spans="1:7" x14ac:dyDescent="0.2">
      <c r="A2692" t="s">
        <v>168</v>
      </c>
      <c r="B2692" t="s">
        <v>264</v>
      </c>
      <c r="C2692" t="s">
        <v>19</v>
      </c>
      <c r="D2692" t="s">
        <v>329</v>
      </c>
      <c r="E2692">
        <v>1</v>
      </c>
      <c r="F2692">
        <v>2.9</v>
      </c>
      <c r="G2692">
        <v>2.9</v>
      </c>
    </row>
    <row r="2693" spans="1:7" x14ac:dyDescent="0.2">
      <c r="A2693" t="s">
        <v>168</v>
      </c>
      <c r="B2693" t="s">
        <v>264</v>
      </c>
      <c r="C2693" t="s">
        <v>20</v>
      </c>
      <c r="D2693" t="s">
        <v>330</v>
      </c>
      <c r="E2693">
        <v>1</v>
      </c>
      <c r="F2693">
        <v>2.9</v>
      </c>
      <c r="G2693">
        <v>2.9</v>
      </c>
    </row>
    <row r="2694" spans="1:7" x14ac:dyDescent="0.2">
      <c r="A2694" t="s">
        <v>168</v>
      </c>
      <c r="B2694" t="s">
        <v>264</v>
      </c>
      <c r="C2694" t="s">
        <v>22</v>
      </c>
      <c r="D2694" t="s">
        <v>331</v>
      </c>
      <c r="E2694">
        <v>2</v>
      </c>
      <c r="F2694">
        <v>2.5</v>
      </c>
      <c r="G2694">
        <v>5</v>
      </c>
    </row>
    <row r="2695" spans="1:7" x14ac:dyDescent="0.2">
      <c r="A2695" t="s">
        <v>168</v>
      </c>
      <c r="B2695" t="s">
        <v>264</v>
      </c>
      <c r="C2695" t="s">
        <v>29</v>
      </c>
      <c r="D2695" t="s">
        <v>292</v>
      </c>
      <c r="E2695">
        <v>0.35</v>
      </c>
      <c r="F2695">
        <v>27</v>
      </c>
      <c r="G2695">
        <v>9.4499999999999993</v>
      </c>
    </row>
    <row r="2696" spans="1:7" x14ac:dyDescent="0.2">
      <c r="A2696" t="s">
        <v>168</v>
      </c>
      <c r="B2696" t="s">
        <v>264</v>
      </c>
      <c r="C2696" t="s">
        <v>30</v>
      </c>
      <c r="D2696" t="s">
        <v>332</v>
      </c>
      <c r="E2696">
        <v>1</v>
      </c>
      <c r="F2696">
        <v>6</v>
      </c>
      <c r="G2696">
        <v>6</v>
      </c>
    </row>
    <row r="2697" spans="1:7" x14ac:dyDescent="0.2">
      <c r="A2697" t="s">
        <v>168</v>
      </c>
      <c r="B2697" t="s">
        <v>264</v>
      </c>
      <c r="C2697" t="s">
        <v>101</v>
      </c>
      <c r="D2697" t="s">
        <v>333</v>
      </c>
      <c r="E2697">
        <v>1.4999999999999999E-2</v>
      </c>
      <c r="F2697">
        <v>1200</v>
      </c>
      <c r="G2697">
        <v>18</v>
      </c>
    </row>
    <row r="2698" spans="1:7" x14ac:dyDescent="0.2">
      <c r="A2698" t="s">
        <v>168</v>
      </c>
      <c r="B2698" t="s">
        <v>264</v>
      </c>
      <c r="C2698" t="s">
        <v>121</v>
      </c>
      <c r="D2698" t="s">
        <v>301</v>
      </c>
      <c r="E2698">
        <v>1</v>
      </c>
      <c r="F2698">
        <v>0.95</v>
      </c>
      <c r="G2698">
        <v>0.95</v>
      </c>
    </row>
    <row r="2699" spans="1:7" x14ac:dyDescent="0.2">
      <c r="A2699" t="s">
        <v>168</v>
      </c>
      <c r="B2699" t="s">
        <v>264</v>
      </c>
      <c r="C2699" t="s">
        <v>122</v>
      </c>
      <c r="D2699" t="s">
        <v>302</v>
      </c>
      <c r="E2699">
        <v>1</v>
      </c>
      <c r="F2699">
        <v>4.2</v>
      </c>
      <c r="G2699">
        <v>4.2</v>
      </c>
    </row>
    <row r="2700" spans="1:7" x14ac:dyDescent="0.2">
      <c r="A2700" t="s">
        <v>168</v>
      </c>
      <c r="B2700" t="s">
        <v>264</v>
      </c>
      <c r="C2700" t="s">
        <v>4</v>
      </c>
      <c r="D2700" t="s">
        <v>304</v>
      </c>
      <c r="E2700">
        <v>2.2000000000000002</v>
      </c>
      <c r="F2700">
        <v>10.1</v>
      </c>
      <c r="G2700">
        <v>22.22</v>
      </c>
    </row>
    <row r="2701" spans="1:7" x14ac:dyDescent="0.2">
      <c r="A2701" t="s">
        <v>168</v>
      </c>
      <c r="B2701" t="s">
        <v>264</v>
      </c>
      <c r="C2701" t="s">
        <v>107</v>
      </c>
      <c r="D2701" t="s">
        <v>316</v>
      </c>
      <c r="E2701">
        <v>20</v>
      </c>
      <c r="F2701">
        <v>0.1</v>
      </c>
      <c r="G2701">
        <v>2</v>
      </c>
    </row>
    <row r="2702" spans="1:7" x14ac:dyDescent="0.2">
      <c r="A2702" t="s">
        <v>168</v>
      </c>
      <c r="B2702" t="s">
        <v>264</v>
      </c>
      <c r="C2702" t="s">
        <v>116</v>
      </c>
      <c r="D2702" t="s">
        <v>373</v>
      </c>
      <c r="E2702">
        <v>20</v>
      </c>
      <c r="F2702">
        <v>0.1</v>
      </c>
      <c r="G2702">
        <v>2</v>
      </c>
    </row>
    <row r="2703" spans="1:7" x14ac:dyDescent="0.2">
      <c r="A2703" t="s">
        <v>168</v>
      </c>
      <c r="B2703" t="s">
        <v>264</v>
      </c>
      <c r="C2703" t="s">
        <v>118</v>
      </c>
      <c r="D2703" t="s">
        <v>356</v>
      </c>
      <c r="E2703">
        <v>80</v>
      </c>
      <c r="F2703">
        <v>0.1</v>
      </c>
      <c r="G2703">
        <v>8</v>
      </c>
    </row>
    <row r="2704" spans="1:7" x14ac:dyDescent="0.2">
      <c r="A2704" t="s">
        <v>173</v>
      </c>
      <c r="B2704" t="s">
        <v>193</v>
      </c>
      <c r="C2704" t="s">
        <v>94</v>
      </c>
      <c r="D2704" t="s">
        <v>280</v>
      </c>
      <c r="E2704">
        <v>1</v>
      </c>
      <c r="F2704">
        <v>3.5</v>
      </c>
      <c r="G2704">
        <v>3.5</v>
      </c>
    </row>
    <row r="2705" spans="1:7" x14ac:dyDescent="0.2">
      <c r="A2705" t="s">
        <v>173</v>
      </c>
      <c r="B2705" t="s">
        <v>193</v>
      </c>
      <c r="C2705" t="s">
        <v>95</v>
      </c>
      <c r="D2705" t="s">
        <v>281</v>
      </c>
      <c r="E2705">
        <v>1</v>
      </c>
      <c r="F2705">
        <v>2</v>
      </c>
      <c r="G2705">
        <v>2</v>
      </c>
    </row>
    <row r="2706" spans="1:7" x14ac:dyDescent="0.2">
      <c r="A2706" t="s">
        <v>173</v>
      </c>
      <c r="B2706" t="s">
        <v>193</v>
      </c>
      <c r="C2706" t="s">
        <v>44</v>
      </c>
      <c r="D2706" t="s">
        <v>324</v>
      </c>
      <c r="E2706">
        <v>0.3</v>
      </c>
      <c r="F2706">
        <v>65</v>
      </c>
      <c r="G2706">
        <v>19.5</v>
      </c>
    </row>
    <row r="2707" spans="1:7" x14ac:dyDescent="0.2">
      <c r="A2707" t="s">
        <v>173</v>
      </c>
      <c r="B2707" t="s">
        <v>193</v>
      </c>
      <c r="C2707" t="s">
        <v>53</v>
      </c>
      <c r="D2707" t="s">
        <v>325</v>
      </c>
      <c r="E2707">
        <v>0.95</v>
      </c>
      <c r="F2707">
        <v>120</v>
      </c>
      <c r="G2707">
        <v>114</v>
      </c>
    </row>
    <row r="2708" spans="1:7" x14ac:dyDescent="0.2">
      <c r="A2708" t="s">
        <v>173</v>
      </c>
      <c r="B2708" t="s">
        <v>193</v>
      </c>
      <c r="C2708" t="s">
        <v>61</v>
      </c>
      <c r="D2708" t="s">
        <v>341</v>
      </c>
      <c r="E2708">
        <v>0.9</v>
      </c>
      <c r="F2708">
        <v>190</v>
      </c>
      <c r="G2708">
        <v>171</v>
      </c>
    </row>
    <row r="2709" spans="1:7" x14ac:dyDescent="0.2">
      <c r="A2709" t="s">
        <v>173</v>
      </c>
      <c r="B2709" t="s">
        <v>193</v>
      </c>
      <c r="C2709" t="s">
        <v>73</v>
      </c>
      <c r="D2709" t="s">
        <v>390</v>
      </c>
      <c r="E2709">
        <v>0.19</v>
      </c>
      <c r="F2709">
        <v>145</v>
      </c>
      <c r="G2709">
        <v>27.55</v>
      </c>
    </row>
    <row r="2710" spans="1:7" x14ac:dyDescent="0.2">
      <c r="A2710" t="s">
        <v>173</v>
      </c>
      <c r="B2710" t="s">
        <v>193</v>
      </c>
      <c r="C2710" t="s">
        <v>93</v>
      </c>
      <c r="D2710" t="s">
        <v>327</v>
      </c>
      <c r="E2710">
        <v>0.125</v>
      </c>
      <c r="F2710">
        <v>70</v>
      </c>
      <c r="G2710">
        <v>8.75</v>
      </c>
    </row>
    <row r="2711" spans="1:7" x14ac:dyDescent="0.2">
      <c r="A2711" t="s">
        <v>173</v>
      </c>
      <c r="B2711" t="s">
        <v>193</v>
      </c>
      <c r="C2711" t="s">
        <v>47</v>
      </c>
      <c r="D2711" t="s">
        <v>328</v>
      </c>
      <c r="E2711">
        <v>0.08</v>
      </c>
      <c r="F2711">
        <v>235</v>
      </c>
      <c r="G2711">
        <v>18.8</v>
      </c>
    </row>
    <row r="2712" spans="1:7" x14ac:dyDescent="0.2">
      <c r="A2712" t="s">
        <v>173</v>
      </c>
      <c r="B2712" t="s">
        <v>193</v>
      </c>
      <c r="C2712" t="s">
        <v>49</v>
      </c>
      <c r="D2712" t="s">
        <v>290</v>
      </c>
      <c r="E2712">
        <v>7.4999999999999997E-2</v>
      </c>
      <c r="F2712">
        <v>248</v>
      </c>
      <c r="G2712">
        <v>18.600000000000001</v>
      </c>
    </row>
    <row r="2713" spans="1:7" x14ac:dyDescent="0.2">
      <c r="A2713" t="s">
        <v>173</v>
      </c>
      <c r="B2713" t="s">
        <v>193</v>
      </c>
      <c r="C2713" t="s">
        <v>19</v>
      </c>
      <c r="D2713" t="s">
        <v>329</v>
      </c>
      <c r="E2713">
        <v>1</v>
      </c>
      <c r="F2713">
        <v>2.9</v>
      </c>
      <c r="G2713">
        <v>2.9</v>
      </c>
    </row>
    <row r="2714" spans="1:7" x14ac:dyDescent="0.2">
      <c r="A2714" t="s">
        <v>173</v>
      </c>
      <c r="B2714" t="s">
        <v>193</v>
      </c>
      <c r="C2714" t="s">
        <v>20</v>
      </c>
      <c r="D2714" t="s">
        <v>330</v>
      </c>
      <c r="E2714">
        <v>1</v>
      </c>
      <c r="F2714">
        <v>2.9</v>
      </c>
      <c r="G2714">
        <v>2.9</v>
      </c>
    </row>
    <row r="2715" spans="1:7" x14ac:dyDescent="0.2">
      <c r="A2715" t="s">
        <v>173</v>
      </c>
      <c r="B2715" t="s">
        <v>193</v>
      </c>
      <c r="C2715" t="s">
        <v>22</v>
      </c>
      <c r="D2715" t="s">
        <v>331</v>
      </c>
      <c r="E2715">
        <v>2</v>
      </c>
      <c r="F2715">
        <v>2.5</v>
      </c>
      <c r="G2715">
        <v>5</v>
      </c>
    </row>
    <row r="2716" spans="1:7" x14ac:dyDescent="0.2">
      <c r="A2716" t="s">
        <v>173</v>
      </c>
      <c r="B2716" t="s">
        <v>193</v>
      </c>
      <c r="C2716" t="s">
        <v>29</v>
      </c>
      <c r="D2716" t="s">
        <v>292</v>
      </c>
      <c r="E2716">
        <v>0.35</v>
      </c>
      <c r="F2716">
        <v>27</v>
      </c>
      <c r="G2716">
        <v>9.4499999999999993</v>
      </c>
    </row>
    <row r="2717" spans="1:7" x14ac:dyDescent="0.2">
      <c r="A2717" t="s">
        <v>173</v>
      </c>
      <c r="B2717" t="s">
        <v>193</v>
      </c>
      <c r="C2717" t="s">
        <v>30</v>
      </c>
      <c r="D2717" t="s">
        <v>332</v>
      </c>
      <c r="E2717">
        <v>1</v>
      </c>
      <c r="F2717">
        <v>6</v>
      </c>
      <c r="G2717">
        <v>6</v>
      </c>
    </row>
    <row r="2718" spans="1:7" x14ac:dyDescent="0.2">
      <c r="A2718" t="s">
        <v>173</v>
      </c>
      <c r="B2718" t="s">
        <v>193</v>
      </c>
      <c r="C2718" t="s">
        <v>101</v>
      </c>
      <c r="D2718" t="s">
        <v>333</v>
      </c>
      <c r="E2718">
        <v>1.4999999999999999E-2</v>
      </c>
      <c r="F2718">
        <v>1200</v>
      </c>
      <c r="G2718">
        <v>18</v>
      </c>
    </row>
    <row r="2719" spans="1:7" x14ac:dyDescent="0.2">
      <c r="A2719" t="s">
        <v>173</v>
      </c>
      <c r="B2719" t="s">
        <v>193</v>
      </c>
      <c r="C2719" t="s">
        <v>121</v>
      </c>
      <c r="D2719" t="s">
        <v>301</v>
      </c>
      <c r="E2719">
        <v>1</v>
      </c>
      <c r="F2719">
        <v>0.95</v>
      </c>
      <c r="G2719">
        <v>0.95</v>
      </c>
    </row>
    <row r="2720" spans="1:7" x14ac:dyDescent="0.2">
      <c r="A2720" t="s">
        <v>173</v>
      </c>
      <c r="B2720" t="s">
        <v>193</v>
      </c>
      <c r="C2720" t="s">
        <v>122</v>
      </c>
      <c r="D2720" t="s">
        <v>302</v>
      </c>
      <c r="E2720">
        <v>1</v>
      </c>
      <c r="F2720">
        <v>4.2</v>
      </c>
      <c r="G2720">
        <v>4.2</v>
      </c>
    </row>
    <row r="2721" spans="1:7" x14ac:dyDescent="0.2">
      <c r="A2721" t="s">
        <v>173</v>
      </c>
      <c r="B2721" t="s">
        <v>193</v>
      </c>
      <c r="C2721" t="s">
        <v>4</v>
      </c>
      <c r="D2721" t="s">
        <v>304</v>
      </c>
      <c r="E2721">
        <v>2.2000000000000002</v>
      </c>
      <c r="F2721">
        <v>10.1</v>
      </c>
      <c r="G2721">
        <v>22.22</v>
      </c>
    </row>
    <row r="2722" spans="1:7" x14ac:dyDescent="0.2">
      <c r="A2722" t="s">
        <v>173</v>
      </c>
      <c r="B2722" t="s">
        <v>193</v>
      </c>
      <c r="C2722" t="s">
        <v>105</v>
      </c>
      <c r="D2722" t="s">
        <v>313</v>
      </c>
      <c r="E2722">
        <v>80</v>
      </c>
      <c r="F2722">
        <v>0.1</v>
      </c>
      <c r="G2722">
        <v>8</v>
      </c>
    </row>
    <row r="2723" spans="1:7" x14ac:dyDescent="0.2">
      <c r="A2723" t="s">
        <v>173</v>
      </c>
      <c r="B2723" t="s">
        <v>193</v>
      </c>
      <c r="C2723" t="s">
        <v>107</v>
      </c>
      <c r="D2723" t="s">
        <v>316</v>
      </c>
      <c r="E2723">
        <v>20</v>
      </c>
      <c r="F2723">
        <v>0.1</v>
      </c>
      <c r="G2723">
        <v>2</v>
      </c>
    </row>
    <row r="2724" spans="1:7" x14ac:dyDescent="0.2">
      <c r="A2724" t="s">
        <v>173</v>
      </c>
      <c r="B2724" t="s">
        <v>193</v>
      </c>
      <c r="C2724" t="s">
        <v>108</v>
      </c>
      <c r="D2724" t="s">
        <v>323</v>
      </c>
      <c r="E2724">
        <v>20</v>
      </c>
      <c r="F2724">
        <v>0.1</v>
      </c>
      <c r="G2724">
        <v>2</v>
      </c>
    </row>
    <row r="2725" spans="1:7" x14ac:dyDescent="0.2">
      <c r="A2725" t="s">
        <v>185</v>
      </c>
      <c r="B2725" t="s">
        <v>1028</v>
      </c>
      <c r="C2725" t="s">
        <v>94</v>
      </c>
      <c r="D2725" t="s">
        <v>280</v>
      </c>
      <c r="E2725">
        <v>1</v>
      </c>
      <c r="F2725">
        <v>3.5</v>
      </c>
      <c r="G2725">
        <v>3.5</v>
      </c>
    </row>
    <row r="2726" spans="1:7" x14ac:dyDescent="0.2">
      <c r="A2726" t="s">
        <v>185</v>
      </c>
      <c r="B2726" t="s">
        <v>1028</v>
      </c>
      <c r="C2726" t="s">
        <v>95</v>
      </c>
      <c r="D2726" t="s">
        <v>281</v>
      </c>
      <c r="E2726">
        <v>1</v>
      </c>
      <c r="F2726">
        <v>2</v>
      </c>
      <c r="G2726">
        <v>2</v>
      </c>
    </row>
    <row r="2727" spans="1:7" x14ac:dyDescent="0.2">
      <c r="A2727" t="s">
        <v>185</v>
      </c>
      <c r="B2727" t="s">
        <v>1028</v>
      </c>
      <c r="C2727" t="s">
        <v>44</v>
      </c>
      <c r="D2727" t="s">
        <v>324</v>
      </c>
      <c r="E2727">
        <v>1.25</v>
      </c>
      <c r="F2727">
        <v>65</v>
      </c>
      <c r="G2727">
        <v>81.25</v>
      </c>
    </row>
    <row r="2728" spans="1:7" x14ac:dyDescent="0.2">
      <c r="A2728" t="s">
        <v>185</v>
      </c>
      <c r="B2728" t="s">
        <v>1028</v>
      </c>
      <c r="C2728" t="s">
        <v>52</v>
      </c>
      <c r="D2728" t="s">
        <v>321</v>
      </c>
      <c r="E2728">
        <v>0.6</v>
      </c>
      <c r="F2728">
        <v>120</v>
      </c>
      <c r="G2728">
        <v>72</v>
      </c>
    </row>
    <row r="2729" spans="1:7" x14ac:dyDescent="0.2">
      <c r="A2729" t="s">
        <v>185</v>
      </c>
      <c r="B2729" t="s">
        <v>1028</v>
      </c>
      <c r="C2729" t="s">
        <v>69</v>
      </c>
      <c r="D2729" t="s">
        <v>288</v>
      </c>
      <c r="E2729">
        <v>0.19</v>
      </c>
      <c r="F2729">
        <v>190</v>
      </c>
      <c r="G2729">
        <v>36.1</v>
      </c>
    </row>
    <row r="2730" spans="1:7" x14ac:dyDescent="0.2">
      <c r="A2730" t="s">
        <v>185</v>
      </c>
      <c r="B2730" t="s">
        <v>1028</v>
      </c>
      <c r="C2730" t="s">
        <v>79</v>
      </c>
      <c r="D2730" t="s">
        <v>289</v>
      </c>
      <c r="E2730">
        <v>1</v>
      </c>
      <c r="F2730">
        <v>380</v>
      </c>
      <c r="G2730">
        <v>380</v>
      </c>
    </row>
    <row r="2731" spans="1:7" x14ac:dyDescent="0.2">
      <c r="A2731" t="s">
        <v>185</v>
      </c>
      <c r="B2731" t="s">
        <v>1028</v>
      </c>
      <c r="C2731" t="s">
        <v>93</v>
      </c>
      <c r="D2731" t="s">
        <v>327</v>
      </c>
      <c r="E2731">
        <v>0.125</v>
      </c>
      <c r="F2731">
        <v>70</v>
      </c>
      <c r="G2731">
        <v>8.75</v>
      </c>
    </row>
    <row r="2732" spans="1:7" x14ac:dyDescent="0.2">
      <c r="A2732" t="s">
        <v>185</v>
      </c>
      <c r="B2732" t="s">
        <v>1028</v>
      </c>
      <c r="C2732" t="s">
        <v>47</v>
      </c>
      <c r="D2732" t="s">
        <v>328</v>
      </c>
      <c r="E2732">
        <v>0.08</v>
      </c>
      <c r="F2732">
        <v>235</v>
      </c>
      <c r="G2732">
        <v>18.8</v>
      </c>
    </row>
    <row r="2733" spans="1:7" x14ac:dyDescent="0.2">
      <c r="A2733" t="s">
        <v>185</v>
      </c>
      <c r="B2733" t="s">
        <v>1028</v>
      </c>
      <c r="C2733" t="s">
        <v>49</v>
      </c>
      <c r="D2733" t="s">
        <v>290</v>
      </c>
      <c r="E2733">
        <v>7.4999999999999997E-2</v>
      </c>
      <c r="F2733">
        <v>248</v>
      </c>
      <c r="G2733">
        <v>18.600000000000001</v>
      </c>
    </row>
    <row r="2734" spans="1:7" x14ac:dyDescent="0.2">
      <c r="A2734" t="s">
        <v>185</v>
      </c>
      <c r="B2734" t="s">
        <v>1028</v>
      </c>
      <c r="C2734" t="s">
        <v>23</v>
      </c>
      <c r="D2734" t="s">
        <v>367</v>
      </c>
      <c r="E2734">
        <v>2</v>
      </c>
      <c r="F2734">
        <v>2.5</v>
      </c>
      <c r="G2734">
        <v>5</v>
      </c>
    </row>
    <row r="2735" spans="1:7" x14ac:dyDescent="0.2">
      <c r="A2735" t="s">
        <v>185</v>
      </c>
      <c r="B2735" t="s">
        <v>1028</v>
      </c>
      <c r="C2735" t="s">
        <v>29</v>
      </c>
      <c r="D2735" t="s">
        <v>292</v>
      </c>
      <c r="E2735">
        <v>0.35</v>
      </c>
      <c r="F2735">
        <v>27</v>
      </c>
      <c r="G2735">
        <v>9.4499999999999993</v>
      </c>
    </row>
    <row r="2736" spans="1:7" x14ac:dyDescent="0.2">
      <c r="A2736" t="s">
        <v>185</v>
      </c>
      <c r="B2736" t="s">
        <v>1028</v>
      </c>
      <c r="C2736" t="s">
        <v>30</v>
      </c>
      <c r="D2736" t="s">
        <v>332</v>
      </c>
      <c r="E2736">
        <v>1</v>
      </c>
      <c r="F2736">
        <v>6</v>
      </c>
      <c r="G2736">
        <v>6</v>
      </c>
    </row>
    <row r="2737" spans="1:7" x14ac:dyDescent="0.2">
      <c r="A2737" t="s">
        <v>185</v>
      </c>
      <c r="B2737" t="s">
        <v>1028</v>
      </c>
      <c r="C2737" t="s">
        <v>38</v>
      </c>
      <c r="D2737" t="s">
        <v>391</v>
      </c>
      <c r="E2737">
        <v>1</v>
      </c>
      <c r="F2737">
        <v>18</v>
      </c>
      <c r="G2737">
        <v>18</v>
      </c>
    </row>
    <row r="2738" spans="1:7" x14ac:dyDescent="0.2">
      <c r="A2738" t="s">
        <v>185</v>
      </c>
      <c r="B2738" t="s">
        <v>1028</v>
      </c>
      <c r="C2738" t="s">
        <v>40</v>
      </c>
      <c r="D2738" t="s">
        <v>392</v>
      </c>
      <c r="E2738">
        <v>1</v>
      </c>
      <c r="F2738">
        <v>15</v>
      </c>
      <c r="G2738">
        <v>15</v>
      </c>
    </row>
    <row r="2739" spans="1:7" x14ac:dyDescent="0.2">
      <c r="A2739" t="s">
        <v>185</v>
      </c>
      <c r="B2739" t="s">
        <v>1028</v>
      </c>
      <c r="C2739" t="s">
        <v>104</v>
      </c>
      <c r="D2739" t="s">
        <v>343</v>
      </c>
      <c r="E2739">
        <v>1.4999999999999999E-2</v>
      </c>
      <c r="F2739">
        <v>890</v>
      </c>
      <c r="G2739">
        <v>13.35</v>
      </c>
    </row>
    <row r="2740" spans="1:7" x14ac:dyDescent="0.2">
      <c r="A2740" t="s">
        <v>185</v>
      </c>
      <c r="B2740" t="s">
        <v>1028</v>
      </c>
      <c r="C2740" t="s">
        <v>121</v>
      </c>
      <c r="D2740" t="s">
        <v>301</v>
      </c>
      <c r="E2740">
        <v>1</v>
      </c>
      <c r="F2740">
        <v>0.95</v>
      </c>
      <c r="G2740">
        <v>0.95</v>
      </c>
    </row>
    <row r="2741" spans="1:7" x14ac:dyDescent="0.2">
      <c r="A2741" t="s">
        <v>185</v>
      </c>
      <c r="B2741" t="s">
        <v>1028</v>
      </c>
      <c r="C2741" t="s">
        <v>122</v>
      </c>
      <c r="D2741" t="s">
        <v>302</v>
      </c>
      <c r="E2741">
        <v>1</v>
      </c>
      <c r="F2741">
        <v>4.2</v>
      </c>
      <c r="G2741">
        <v>4.2</v>
      </c>
    </row>
    <row r="2742" spans="1:7" x14ac:dyDescent="0.2">
      <c r="A2742" t="s">
        <v>185</v>
      </c>
      <c r="B2742" t="s">
        <v>1028</v>
      </c>
      <c r="C2742" t="s">
        <v>4</v>
      </c>
      <c r="D2742" t="s">
        <v>304</v>
      </c>
      <c r="E2742">
        <v>1.4</v>
      </c>
      <c r="F2742">
        <v>10.1</v>
      </c>
      <c r="G2742">
        <v>14.14</v>
      </c>
    </row>
    <row r="2743" spans="1:7" x14ac:dyDescent="0.2">
      <c r="A2743" t="s">
        <v>185</v>
      </c>
      <c r="B2743" t="s">
        <v>1028</v>
      </c>
      <c r="C2743" t="s">
        <v>5</v>
      </c>
      <c r="D2743" t="s">
        <v>305</v>
      </c>
      <c r="E2743">
        <v>2.7</v>
      </c>
      <c r="F2743">
        <v>11.5</v>
      </c>
      <c r="G2743">
        <v>31.05</v>
      </c>
    </row>
    <row r="2744" spans="1:7" x14ac:dyDescent="0.2">
      <c r="A2744" t="s">
        <v>185</v>
      </c>
      <c r="B2744" t="s">
        <v>1028</v>
      </c>
      <c r="C2744" t="s">
        <v>7</v>
      </c>
      <c r="D2744" t="s">
        <v>307</v>
      </c>
      <c r="E2744">
        <v>1.5</v>
      </c>
      <c r="F2744">
        <v>6.7</v>
      </c>
      <c r="G2744">
        <v>10.050000000000001</v>
      </c>
    </row>
    <row r="2745" spans="1:7" x14ac:dyDescent="0.2">
      <c r="A2745" t="s">
        <v>185</v>
      </c>
      <c r="B2745" t="s">
        <v>1028</v>
      </c>
      <c r="C2745" t="s">
        <v>105</v>
      </c>
      <c r="D2745" t="s">
        <v>313</v>
      </c>
      <c r="E2745">
        <v>100</v>
      </c>
      <c r="F2745">
        <v>0.1</v>
      </c>
      <c r="G2745">
        <v>10</v>
      </c>
    </row>
    <row r="2746" spans="1:7" x14ac:dyDescent="0.2">
      <c r="A2746" t="s">
        <v>185</v>
      </c>
      <c r="B2746" t="s">
        <v>1028</v>
      </c>
      <c r="C2746" t="s">
        <v>108</v>
      </c>
      <c r="D2746" t="s">
        <v>323</v>
      </c>
      <c r="E2746">
        <v>20</v>
      </c>
      <c r="F2746">
        <v>0.1</v>
      </c>
      <c r="G2746">
        <v>2</v>
      </c>
    </row>
    <row r="2747" spans="1:7" x14ac:dyDescent="0.2">
      <c r="A2747" t="s">
        <v>187</v>
      </c>
      <c r="B2747" t="s">
        <v>1030</v>
      </c>
      <c r="C2747" t="s">
        <v>94</v>
      </c>
      <c r="D2747" t="s">
        <v>280</v>
      </c>
      <c r="E2747">
        <v>1</v>
      </c>
      <c r="F2747">
        <v>3.5</v>
      </c>
      <c r="G2747">
        <v>3.5</v>
      </c>
    </row>
    <row r="2748" spans="1:7" x14ac:dyDescent="0.2">
      <c r="A2748" t="s">
        <v>187</v>
      </c>
      <c r="B2748" t="s">
        <v>1030</v>
      </c>
      <c r="C2748" t="s">
        <v>95</v>
      </c>
      <c r="D2748" t="s">
        <v>281</v>
      </c>
      <c r="E2748">
        <v>1</v>
      </c>
      <c r="F2748">
        <v>2</v>
      </c>
      <c r="G2748">
        <v>2</v>
      </c>
    </row>
    <row r="2749" spans="1:7" x14ac:dyDescent="0.2">
      <c r="A2749" t="s">
        <v>187</v>
      </c>
      <c r="B2749" t="s">
        <v>1030</v>
      </c>
      <c r="C2749" t="s">
        <v>44</v>
      </c>
      <c r="D2749" t="s">
        <v>324</v>
      </c>
      <c r="E2749">
        <v>0.3</v>
      </c>
      <c r="F2749">
        <v>65</v>
      </c>
      <c r="G2749">
        <v>19.5</v>
      </c>
    </row>
    <row r="2750" spans="1:7" x14ac:dyDescent="0.2">
      <c r="A2750" t="s">
        <v>187</v>
      </c>
      <c r="B2750" t="s">
        <v>1030</v>
      </c>
      <c r="C2750" t="s">
        <v>56</v>
      </c>
      <c r="D2750" t="s">
        <v>287</v>
      </c>
      <c r="E2750">
        <v>0.6</v>
      </c>
      <c r="F2750">
        <v>90</v>
      </c>
      <c r="G2750">
        <v>54</v>
      </c>
    </row>
    <row r="2751" spans="1:7" x14ac:dyDescent="0.2">
      <c r="A2751" t="s">
        <v>187</v>
      </c>
      <c r="B2751" t="s">
        <v>1030</v>
      </c>
      <c r="C2751" t="s">
        <v>69</v>
      </c>
      <c r="D2751" t="s">
        <v>288</v>
      </c>
      <c r="E2751">
        <v>0.19</v>
      </c>
      <c r="F2751">
        <v>190</v>
      </c>
      <c r="G2751">
        <v>36.1</v>
      </c>
    </row>
    <row r="2752" spans="1:7" x14ac:dyDescent="0.2">
      <c r="A2752" t="s">
        <v>187</v>
      </c>
      <c r="B2752" t="s">
        <v>1030</v>
      </c>
      <c r="C2752" t="s">
        <v>79</v>
      </c>
      <c r="D2752" t="s">
        <v>289</v>
      </c>
      <c r="E2752">
        <v>0.14000000000000001</v>
      </c>
      <c r="F2752">
        <v>380</v>
      </c>
      <c r="G2752">
        <v>53.2</v>
      </c>
    </row>
    <row r="2753" spans="1:7" x14ac:dyDescent="0.2">
      <c r="A2753" t="s">
        <v>187</v>
      </c>
      <c r="B2753" t="s">
        <v>1030</v>
      </c>
      <c r="C2753" t="s">
        <v>80</v>
      </c>
      <c r="D2753" t="s">
        <v>317</v>
      </c>
      <c r="E2753">
        <v>0.75</v>
      </c>
      <c r="F2753">
        <v>380</v>
      </c>
      <c r="G2753">
        <v>285</v>
      </c>
    </row>
    <row r="2754" spans="1:7" x14ac:dyDescent="0.2">
      <c r="A2754" t="s">
        <v>187</v>
      </c>
      <c r="B2754" t="s">
        <v>1030</v>
      </c>
      <c r="C2754" t="s">
        <v>93</v>
      </c>
      <c r="D2754" t="s">
        <v>327</v>
      </c>
      <c r="E2754">
        <v>0.125</v>
      </c>
      <c r="F2754">
        <v>70</v>
      </c>
      <c r="G2754">
        <v>8.75</v>
      </c>
    </row>
    <row r="2755" spans="1:7" x14ac:dyDescent="0.2">
      <c r="A2755" t="s">
        <v>187</v>
      </c>
      <c r="B2755" t="s">
        <v>1030</v>
      </c>
      <c r="C2755" t="s">
        <v>47</v>
      </c>
      <c r="D2755" t="s">
        <v>328</v>
      </c>
      <c r="E2755">
        <v>0.08</v>
      </c>
      <c r="F2755">
        <v>235</v>
      </c>
      <c r="G2755">
        <v>18.8</v>
      </c>
    </row>
    <row r="2756" spans="1:7" x14ac:dyDescent="0.2">
      <c r="A2756" t="s">
        <v>187</v>
      </c>
      <c r="B2756" t="s">
        <v>1030</v>
      </c>
      <c r="C2756" t="s">
        <v>49</v>
      </c>
      <c r="D2756" t="s">
        <v>290</v>
      </c>
      <c r="E2756">
        <v>7.4999999999999997E-2</v>
      </c>
      <c r="F2756">
        <v>248</v>
      </c>
      <c r="G2756">
        <v>18.600000000000001</v>
      </c>
    </row>
    <row r="2757" spans="1:7" x14ac:dyDescent="0.2">
      <c r="A2757" t="s">
        <v>187</v>
      </c>
      <c r="B2757" t="s">
        <v>1030</v>
      </c>
      <c r="C2757" t="s">
        <v>23</v>
      </c>
      <c r="D2757" t="s">
        <v>367</v>
      </c>
      <c r="E2757">
        <v>2</v>
      </c>
      <c r="F2757">
        <v>2.5</v>
      </c>
      <c r="G2757">
        <v>5</v>
      </c>
    </row>
    <row r="2758" spans="1:7" x14ac:dyDescent="0.2">
      <c r="A2758" t="s">
        <v>187</v>
      </c>
      <c r="B2758" t="s">
        <v>1030</v>
      </c>
      <c r="C2758" t="s">
        <v>29</v>
      </c>
      <c r="D2758" t="s">
        <v>292</v>
      </c>
      <c r="E2758">
        <v>0.35</v>
      </c>
      <c r="F2758">
        <v>27</v>
      </c>
      <c r="G2758">
        <v>9.4499999999999993</v>
      </c>
    </row>
    <row r="2759" spans="1:7" x14ac:dyDescent="0.2">
      <c r="A2759" t="s">
        <v>187</v>
      </c>
      <c r="B2759" t="s">
        <v>1030</v>
      </c>
      <c r="C2759" t="s">
        <v>30</v>
      </c>
      <c r="D2759" t="s">
        <v>332</v>
      </c>
      <c r="E2759">
        <v>1</v>
      </c>
      <c r="F2759">
        <v>6</v>
      </c>
      <c r="G2759">
        <v>6</v>
      </c>
    </row>
    <row r="2760" spans="1:7" x14ac:dyDescent="0.2">
      <c r="A2760" t="s">
        <v>187</v>
      </c>
      <c r="B2760" t="s">
        <v>1030</v>
      </c>
      <c r="C2760" t="s">
        <v>38</v>
      </c>
      <c r="D2760" t="s">
        <v>391</v>
      </c>
      <c r="E2760">
        <v>1</v>
      </c>
      <c r="F2760">
        <v>18</v>
      </c>
      <c r="G2760">
        <v>18</v>
      </c>
    </row>
    <row r="2761" spans="1:7" x14ac:dyDescent="0.2">
      <c r="A2761" t="s">
        <v>187</v>
      </c>
      <c r="B2761" t="s">
        <v>1030</v>
      </c>
      <c r="C2761" t="s">
        <v>40</v>
      </c>
      <c r="D2761" t="s">
        <v>392</v>
      </c>
      <c r="E2761">
        <v>1</v>
      </c>
      <c r="F2761">
        <v>15</v>
      </c>
      <c r="G2761">
        <v>15</v>
      </c>
    </row>
    <row r="2762" spans="1:7" x14ac:dyDescent="0.2">
      <c r="A2762" t="s">
        <v>187</v>
      </c>
      <c r="B2762" t="s">
        <v>1030</v>
      </c>
      <c r="C2762" t="s">
        <v>104</v>
      </c>
      <c r="D2762" t="s">
        <v>343</v>
      </c>
      <c r="E2762">
        <v>1.4999999999999999E-2</v>
      </c>
      <c r="F2762">
        <v>890</v>
      </c>
      <c r="G2762">
        <v>13.35</v>
      </c>
    </row>
    <row r="2763" spans="1:7" x14ac:dyDescent="0.2">
      <c r="A2763" t="s">
        <v>187</v>
      </c>
      <c r="B2763" t="s">
        <v>1030</v>
      </c>
      <c r="C2763" t="s">
        <v>121</v>
      </c>
      <c r="D2763" t="s">
        <v>301</v>
      </c>
      <c r="E2763">
        <v>1</v>
      </c>
      <c r="F2763">
        <v>0.95</v>
      </c>
      <c r="G2763">
        <v>0.95</v>
      </c>
    </row>
    <row r="2764" spans="1:7" x14ac:dyDescent="0.2">
      <c r="A2764" t="s">
        <v>187</v>
      </c>
      <c r="B2764" t="s">
        <v>1030</v>
      </c>
      <c r="C2764" t="s">
        <v>122</v>
      </c>
      <c r="D2764" t="s">
        <v>302</v>
      </c>
      <c r="E2764">
        <v>1</v>
      </c>
      <c r="F2764">
        <v>4.2</v>
      </c>
      <c r="G2764">
        <v>4.2</v>
      </c>
    </row>
    <row r="2765" spans="1:7" x14ac:dyDescent="0.2">
      <c r="A2765" t="s">
        <v>187</v>
      </c>
      <c r="B2765" t="s">
        <v>1030</v>
      </c>
      <c r="C2765" t="s">
        <v>4</v>
      </c>
      <c r="D2765" t="s">
        <v>304</v>
      </c>
      <c r="E2765">
        <v>1.4</v>
      </c>
      <c r="F2765">
        <v>10.1</v>
      </c>
      <c r="G2765">
        <v>14.14</v>
      </c>
    </row>
    <row r="2766" spans="1:7" x14ac:dyDescent="0.2">
      <c r="A2766" t="s">
        <v>187</v>
      </c>
      <c r="B2766" t="s">
        <v>1030</v>
      </c>
      <c r="C2766" t="s">
        <v>5</v>
      </c>
      <c r="D2766" t="s">
        <v>305</v>
      </c>
      <c r="E2766">
        <v>2.7</v>
      </c>
      <c r="F2766">
        <v>11.5</v>
      </c>
      <c r="G2766">
        <v>31.05</v>
      </c>
    </row>
    <row r="2767" spans="1:7" x14ac:dyDescent="0.2">
      <c r="A2767" t="s">
        <v>187</v>
      </c>
      <c r="B2767" t="s">
        <v>1030</v>
      </c>
      <c r="C2767" t="s">
        <v>7</v>
      </c>
      <c r="D2767" t="s">
        <v>307</v>
      </c>
      <c r="E2767">
        <v>1.5</v>
      </c>
      <c r="F2767">
        <v>6.7</v>
      </c>
      <c r="G2767">
        <v>10.050000000000001</v>
      </c>
    </row>
    <row r="2768" spans="1:7" x14ac:dyDescent="0.2">
      <c r="A2768" t="s">
        <v>187</v>
      </c>
      <c r="B2768" t="s">
        <v>1030</v>
      </c>
      <c r="C2768" t="s">
        <v>105</v>
      </c>
      <c r="D2768" t="s">
        <v>313</v>
      </c>
      <c r="E2768">
        <v>100</v>
      </c>
      <c r="F2768">
        <v>0.1</v>
      </c>
      <c r="G2768">
        <v>10</v>
      </c>
    </row>
    <row r="2769" spans="1:7" x14ac:dyDescent="0.2">
      <c r="A2769" t="s">
        <v>187</v>
      </c>
      <c r="B2769" t="s">
        <v>1030</v>
      </c>
      <c r="C2769" t="s">
        <v>110</v>
      </c>
      <c r="D2769" t="s">
        <v>314</v>
      </c>
      <c r="E2769">
        <v>20</v>
      </c>
      <c r="F2769">
        <v>0.1</v>
      </c>
      <c r="G2769">
        <v>2</v>
      </c>
    </row>
    <row r="2770" spans="1:7" x14ac:dyDescent="0.2">
      <c r="A2770" t="s">
        <v>187</v>
      </c>
      <c r="B2770" t="s">
        <v>1030</v>
      </c>
      <c r="C2770" t="s">
        <v>113</v>
      </c>
      <c r="D2770" t="s">
        <v>318</v>
      </c>
      <c r="E2770">
        <v>20</v>
      </c>
      <c r="F2770">
        <v>0.1</v>
      </c>
      <c r="G2770">
        <v>2</v>
      </c>
    </row>
    <row r="2771" spans="1:7" x14ac:dyDescent="0.2">
      <c r="A2771" t="s">
        <v>186</v>
      </c>
      <c r="B2771" t="s">
        <v>1029</v>
      </c>
      <c r="C2771" t="s">
        <v>94</v>
      </c>
      <c r="D2771" t="s">
        <v>280</v>
      </c>
      <c r="E2771">
        <v>1</v>
      </c>
      <c r="F2771">
        <v>3.5</v>
      </c>
      <c r="G2771">
        <v>3.5</v>
      </c>
    </row>
    <row r="2772" spans="1:7" x14ac:dyDescent="0.2">
      <c r="A2772" t="s">
        <v>186</v>
      </c>
      <c r="B2772" t="s">
        <v>1029</v>
      </c>
      <c r="C2772" t="s">
        <v>95</v>
      </c>
      <c r="D2772" t="s">
        <v>281</v>
      </c>
      <c r="E2772">
        <v>1</v>
      </c>
      <c r="F2772">
        <v>2</v>
      </c>
      <c r="G2772">
        <v>2</v>
      </c>
    </row>
    <row r="2773" spans="1:7" x14ac:dyDescent="0.2">
      <c r="A2773" t="s">
        <v>186</v>
      </c>
      <c r="B2773" t="s">
        <v>1029</v>
      </c>
      <c r="C2773" t="s">
        <v>45</v>
      </c>
      <c r="D2773" t="s">
        <v>374</v>
      </c>
      <c r="E2773">
        <v>0.3</v>
      </c>
      <c r="F2773">
        <v>65</v>
      </c>
      <c r="G2773">
        <v>19.5</v>
      </c>
    </row>
    <row r="2774" spans="1:7" x14ac:dyDescent="0.2">
      <c r="A2774" t="s">
        <v>186</v>
      </c>
      <c r="B2774" t="s">
        <v>1029</v>
      </c>
      <c r="C2774" t="s">
        <v>52</v>
      </c>
      <c r="D2774" t="s">
        <v>321</v>
      </c>
      <c r="E2774">
        <v>0.6</v>
      </c>
      <c r="F2774">
        <v>120</v>
      </c>
      <c r="G2774">
        <v>72</v>
      </c>
    </row>
    <row r="2775" spans="1:7" x14ac:dyDescent="0.2">
      <c r="A2775" t="s">
        <v>186</v>
      </c>
      <c r="B2775" t="s">
        <v>1029</v>
      </c>
      <c r="C2775" t="s">
        <v>69</v>
      </c>
      <c r="D2775" t="s">
        <v>288</v>
      </c>
      <c r="E2775">
        <v>0.19</v>
      </c>
      <c r="F2775">
        <v>190</v>
      </c>
      <c r="G2775">
        <v>36.1</v>
      </c>
    </row>
    <row r="2776" spans="1:7" x14ac:dyDescent="0.2">
      <c r="A2776" t="s">
        <v>186</v>
      </c>
      <c r="B2776" t="s">
        <v>1029</v>
      </c>
      <c r="C2776" t="s">
        <v>79</v>
      </c>
      <c r="D2776" t="s">
        <v>289</v>
      </c>
      <c r="E2776">
        <v>0.14000000000000001</v>
      </c>
      <c r="F2776">
        <v>380</v>
      </c>
      <c r="G2776">
        <v>53.2</v>
      </c>
    </row>
    <row r="2777" spans="1:7" x14ac:dyDescent="0.2">
      <c r="A2777" t="s">
        <v>186</v>
      </c>
      <c r="B2777" t="s">
        <v>1029</v>
      </c>
      <c r="C2777" t="s">
        <v>81</v>
      </c>
      <c r="D2777" t="s">
        <v>322</v>
      </c>
      <c r="E2777">
        <v>0.75</v>
      </c>
      <c r="F2777">
        <v>380</v>
      </c>
      <c r="G2777">
        <v>285</v>
      </c>
    </row>
    <row r="2778" spans="1:7" x14ac:dyDescent="0.2">
      <c r="A2778" t="s">
        <v>186</v>
      </c>
      <c r="B2778" t="s">
        <v>1029</v>
      </c>
      <c r="C2778" t="s">
        <v>93</v>
      </c>
      <c r="D2778" t="s">
        <v>327</v>
      </c>
      <c r="E2778">
        <v>0.125</v>
      </c>
      <c r="F2778">
        <v>70</v>
      </c>
      <c r="G2778">
        <v>8.75</v>
      </c>
    </row>
    <row r="2779" spans="1:7" x14ac:dyDescent="0.2">
      <c r="A2779" t="s">
        <v>186</v>
      </c>
      <c r="B2779" t="s">
        <v>1029</v>
      </c>
      <c r="C2779" t="s">
        <v>47</v>
      </c>
      <c r="D2779" t="s">
        <v>328</v>
      </c>
      <c r="E2779">
        <v>0.08</v>
      </c>
      <c r="F2779">
        <v>235</v>
      </c>
      <c r="G2779">
        <v>18.8</v>
      </c>
    </row>
    <row r="2780" spans="1:7" x14ac:dyDescent="0.2">
      <c r="A2780" t="s">
        <v>186</v>
      </c>
      <c r="B2780" t="s">
        <v>1029</v>
      </c>
      <c r="C2780" t="s">
        <v>49</v>
      </c>
      <c r="D2780" t="s">
        <v>290</v>
      </c>
      <c r="E2780">
        <v>7.4999999999999997E-2</v>
      </c>
      <c r="F2780">
        <v>248</v>
      </c>
      <c r="G2780">
        <v>18.600000000000001</v>
      </c>
    </row>
    <row r="2781" spans="1:7" x14ac:dyDescent="0.2">
      <c r="A2781" t="s">
        <v>186</v>
      </c>
      <c r="B2781" t="s">
        <v>1029</v>
      </c>
      <c r="C2781" t="s">
        <v>23</v>
      </c>
      <c r="D2781" t="s">
        <v>367</v>
      </c>
      <c r="E2781">
        <v>2</v>
      </c>
      <c r="F2781">
        <v>2.5</v>
      </c>
      <c r="G2781">
        <v>5</v>
      </c>
    </row>
    <row r="2782" spans="1:7" x14ac:dyDescent="0.2">
      <c r="A2782" t="s">
        <v>186</v>
      </c>
      <c r="B2782" t="s">
        <v>1029</v>
      </c>
      <c r="C2782" t="s">
        <v>29</v>
      </c>
      <c r="D2782" t="s">
        <v>292</v>
      </c>
      <c r="E2782">
        <v>0.35</v>
      </c>
      <c r="F2782">
        <v>27</v>
      </c>
      <c r="G2782">
        <v>9.4499999999999993</v>
      </c>
    </row>
    <row r="2783" spans="1:7" x14ac:dyDescent="0.2">
      <c r="A2783" t="s">
        <v>186</v>
      </c>
      <c r="B2783" t="s">
        <v>1029</v>
      </c>
      <c r="C2783" t="s">
        <v>30</v>
      </c>
      <c r="D2783" t="s">
        <v>332</v>
      </c>
      <c r="E2783">
        <v>1</v>
      </c>
      <c r="F2783">
        <v>6</v>
      </c>
      <c r="G2783">
        <v>6</v>
      </c>
    </row>
    <row r="2784" spans="1:7" x14ac:dyDescent="0.2">
      <c r="A2784" t="s">
        <v>186</v>
      </c>
      <c r="B2784" t="s">
        <v>1029</v>
      </c>
      <c r="C2784" t="s">
        <v>38</v>
      </c>
      <c r="D2784" t="s">
        <v>391</v>
      </c>
      <c r="E2784">
        <v>1</v>
      </c>
      <c r="F2784">
        <v>18</v>
      </c>
      <c r="G2784">
        <v>18</v>
      </c>
    </row>
    <row r="2785" spans="1:7" x14ac:dyDescent="0.2">
      <c r="A2785" t="s">
        <v>186</v>
      </c>
      <c r="B2785" t="s">
        <v>1029</v>
      </c>
      <c r="C2785" t="s">
        <v>40</v>
      </c>
      <c r="D2785" t="s">
        <v>392</v>
      </c>
      <c r="E2785">
        <v>1</v>
      </c>
      <c r="F2785">
        <v>15</v>
      </c>
      <c r="G2785">
        <v>15</v>
      </c>
    </row>
    <row r="2786" spans="1:7" x14ac:dyDescent="0.2">
      <c r="A2786" t="s">
        <v>186</v>
      </c>
      <c r="B2786" t="s">
        <v>1029</v>
      </c>
      <c r="C2786" t="s">
        <v>104</v>
      </c>
      <c r="D2786" t="s">
        <v>343</v>
      </c>
      <c r="E2786">
        <v>1.4999999999999999E-2</v>
      </c>
      <c r="F2786">
        <v>890</v>
      </c>
      <c r="G2786">
        <v>13.35</v>
      </c>
    </row>
    <row r="2787" spans="1:7" x14ac:dyDescent="0.2">
      <c r="A2787" t="s">
        <v>186</v>
      </c>
      <c r="B2787" t="s">
        <v>1029</v>
      </c>
      <c r="C2787" t="s">
        <v>121</v>
      </c>
      <c r="D2787" t="s">
        <v>301</v>
      </c>
      <c r="E2787">
        <v>1</v>
      </c>
      <c r="F2787">
        <v>0.95</v>
      </c>
      <c r="G2787">
        <v>0.95</v>
      </c>
    </row>
    <row r="2788" spans="1:7" x14ac:dyDescent="0.2">
      <c r="A2788" t="s">
        <v>186</v>
      </c>
      <c r="B2788" t="s">
        <v>1029</v>
      </c>
      <c r="C2788" t="s">
        <v>122</v>
      </c>
      <c r="D2788" t="s">
        <v>302</v>
      </c>
      <c r="E2788">
        <v>1</v>
      </c>
      <c r="F2788">
        <v>4.2</v>
      </c>
      <c r="G2788">
        <v>4.2</v>
      </c>
    </row>
    <row r="2789" spans="1:7" x14ac:dyDescent="0.2">
      <c r="A2789" t="s">
        <v>186</v>
      </c>
      <c r="B2789" t="s">
        <v>1029</v>
      </c>
      <c r="C2789" t="s">
        <v>4</v>
      </c>
      <c r="D2789" t="s">
        <v>304</v>
      </c>
      <c r="E2789">
        <v>1.4</v>
      </c>
      <c r="F2789">
        <v>10.1</v>
      </c>
      <c r="G2789">
        <v>14.14</v>
      </c>
    </row>
    <row r="2790" spans="1:7" x14ac:dyDescent="0.2">
      <c r="A2790" t="s">
        <v>186</v>
      </c>
      <c r="B2790" t="s">
        <v>1029</v>
      </c>
      <c r="C2790" t="s">
        <v>5</v>
      </c>
      <c r="D2790" t="s">
        <v>305</v>
      </c>
      <c r="E2790">
        <v>2.7</v>
      </c>
      <c r="F2790">
        <v>11.5</v>
      </c>
      <c r="G2790">
        <v>31.05</v>
      </c>
    </row>
    <row r="2791" spans="1:7" x14ac:dyDescent="0.2">
      <c r="A2791" t="s">
        <v>186</v>
      </c>
      <c r="B2791" t="s">
        <v>1029</v>
      </c>
      <c r="C2791" t="s">
        <v>7</v>
      </c>
      <c r="D2791" t="s">
        <v>307</v>
      </c>
      <c r="E2791">
        <v>1.5</v>
      </c>
      <c r="F2791">
        <v>6.7</v>
      </c>
      <c r="G2791">
        <v>10.050000000000001</v>
      </c>
    </row>
    <row r="2792" spans="1:7" x14ac:dyDescent="0.2">
      <c r="A2792" t="s">
        <v>186</v>
      </c>
      <c r="B2792" t="s">
        <v>1029</v>
      </c>
      <c r="C2792" t="s">
        <v>105</v>
      </c>
      <c r="D2792" t="s">
        <v>313</v>
      </c>
      <c r="E2792">
        <v>100</v>
      </c>
      <c r="F2792">
        <v>0.1</v>
      </c>
      <c r="G2792">
        <v>10</v>
      </c>
    </row>
    <row r="2793" spans="1:7" x14ac:dyDescent="0.2">
      <c r="A2793" t="s">
        <v>186</v>
      </c>
      <c r="B2793" t="s">
        <v>1029</v>
      </c>
      <c r="C2793" t="s">
        <v>108</v>
      </c>
      <c r="D2793" t="s">
        <v>323</v>
      </c>
      <c r="E2793">
        <v>20</v>
      </c>
      <c r="F2793">
        <v>0.1</v>
      </c>
      <c r="G2793">
        <v>2</v>
      </c>
    </row>
    <row r="2794" spans="1:7" x14ac:dyDescent="0.2">
      <c r="A2794" t="s">
        <v>922</v>
      </c>
      <c r="B2794" t="s">
        <v>923</v>
      </c>
      <c r="C2794" t="s">
        <v>94</v>
      </c>
      <c r="D2794" t="s">
        <v>280</v>
      </c>
      <c r="E2794">
        <v>1</v>
      </c>
      <c r="F2794">
        <v>3.5</v>
      </c>
      <c r="G2794">
        <v>3.5</v>
      </c>
    </row>
    <row r="2795" spans="1:7" x14ac:dyDescent="0.2">
      <c r="A2795" t="s">
        <v>922</v>
      </c>
      <c r="B2795" t="s">
        <v>923</v>
      </c>
      <c r="C2795" t="s">
        <v>55</v>
      </c>
      <c r="D2795" t="s">
        <v>371</v>
      </c>
      <c r="E2795">
        <v>0.9</v>
      </c>
      <c r="F2795">
        <v>120</v>
      </c>
      <c r="G2795">
        <v>108</v>
      </c>
    </row>
    <row r="2796" spans="1:7" x14ac:dyDescent="0.2">
      <c r="A2796" t="s">
        <v>922</v>
      </c>
      <c r="B2796" t="s">
        <v>923</v>
      </c>
      <c r="C2796" t="s">
        <v>60</v>
      </c>
      <c r="D2796" t="s">
        <v>337</v>
      </c>
      <c r="E2796">
        <v>0</v>
      </c>
      <c r="F2796">
        <v>130</v>
      </c>
      <c r="G2796">
        <v>0</v>
      </c>
    </row>
    <row r="2797" spans="1:7" x14ac:dyDescent="0.2">
      <c r="A2797" t="s">
        <v>922</v>
      </c>
      <c r="B2797" t="s">
        <v>923</v>
      </c>
      <c r="C2797" t="s">
        <v>69</v>
      </c>
      <c r="D2797" t="s">
        <v>288</v>
      </c>
      <c r="E2797">
        <v>0.19</v>
      </c>
      <c r="F2797">
        <v>190</v>
      </c>
      <c r="G2797">
        <v>36.1</v>
      </c>
    </row>
    <row r="2798" spans="1:7" x14ac:dyDescent="0.2">
      <c r="A2798" t="s">
        <v>922</v>
      </c>
      <c r="B2798" t="s">
        <v>923</v>
      </c>
      <c r="C2798" t="s">
        <v>29</v>
      </c>
      <c r="D2798" t="s">
        <v>292</v>
      </c>
      <c r="E2798">
        <v>0.8</v>
      </c>
      <c r="F2798">
        <v>27</v>
      </c>
      <c r="G2798">
        <v>21.6</v>
      </c>
    </row>
    <row r="2799" spans="1:7" x14ac:dyDescent="0.2">
      <c r="A2799" t="s">
        <v>922</v>
      </c>
      <c r="B2799" t="s">
        <v>923</v>
      </c>
      <c r="C2799" t="s">
        <v>30</v>
      </c>
      <c r="D2799" t="s">
        <v>332</v>
      </c>
      <c r="E2799">
        <v>1</v>
      </c>
      <c r="F2799">
        <v>6</v>
      </c>
      <c r="G2799">
        <v>6</v>
      </c>
    </row>
    <row r="2800" spans="1:7" x14ac:dyDescent="0.2">
      <c r="A2800" t="s">
        <v>922</v>
      </c>
      <c r="B2800" t="s">
        <v>923</v>
      </c>
      <c r="C2800" t="s">
        <v>121</v>
      </c>
      <c r="D2800" t="s">
        <v>301</v>
      </c>
      <c r="E2800">
        <v>1</v>
      </c>
      <c r="F2800">
        <v>0.95</v>
      </c>
      <c r="G2800">
        <v>0.95</v>
      </c>
    </row>
    <row r="2801" spans="1:7" x14ac:dyDescent="0.2">
      <c r="A2801" t="s">
        <v>922</v>
      </c>
      <c r="B2801" t="s">
        <v>923</v>
      </c>
      <c r="C2801" t="s">
        <v>122</v>
      </c>
      <c r="D2801" t="s">
        <v>302</v>
      </c>
      <c r="E2801">
        <v>1</v>
      </c>
      <c r="F2801">
        <v>4.2</v>
      </c>
      <c r="G2801">
        <v>4.2</v>
      </c>
    </row>
    <row r="2802" spans="1:7" x14ac:dyDescent="0.2">
      <c r="A2802" t="s">
        <v>922</v>
      </c>
      <c r="B2802" t="s">
        <v>923</v>
      </c>
      <c r="C2802" t="s">
        <v>722</v>
      </c>
      <c r="D2802" t="s">
        <v>723</v>
      </c>
      <c r="E2802">
        <v>1</v>
      </c>
      <c r="F2802">
        <v>16.8</v>
      </c>
      <c r="G2802">
        <v>16.8</v>
      </c>
    </row>
    <row r="2803" spans="1:7" x14ac:dyDescent="0.2">
      <c r="A2803" t="s">
        <v>922</v>
      </c>
      <c r="B2803" t="s">
        <v>923</v>
      </c>
      <c r="C2803" t="s">
        <v>724</v>
      </c>
      <c r="D2803" t="s">
        <v>725</v>
      </c>
      <c r="E2803">
        <v>1.3</v>
      </c>
      <c r="F2803">
        <v>2.1</v>
      </c>
      <c r="G2803">
        <v>2.73</v>
      </c>
    </row>
    <row r="2804" spans="1:7" x14ac:dyDescent="0.2">
      <c r="A2804" t="s">
        <v>922</v>
      </c>
      <c r="B2804" t="s">
        <v>923</v>
      </c>
      <c r="C2804" t="s">
        <v>726</v>
      </c>
      <c r="D2804" t="s">
        <v>727</v>
      </c>
      <c r="E2804">
        <v>1</v>
      </c>
      <c r="F2804">
        <v>0</v>
      </c>
      <c r="G2804">
        <v>0</v>
      </c>
    </row>
    <row r="2805" spans="1:7" x14ac:dyDescent="0.2">
      <c r="A2805" t="s">
        <v>922</v>
      </c>
      <c r="B2805" t="s">
        <v>923</v>
      </c>
      <c r="C2805" t="s">
        <v>728</v>
      </c>
      <c r="D2805" t="s">
        <v>729</v>
      </c>
      <c r="E2805">
        <v>1</v>
      </c>
      <c r="F2805">
        <v>0.26</v>
      </c>
      <c r="G2805">
        <v>0.26</v>
      </c>
    </row>
    <row r="2806" spans="1:7" x14ac:dyDescent="0.2">
      <c r="A2806" t="s">
        <v>922</v>
      </c>
      <c r="B2806" t="s">
        <v>923</v>
      </c>
      <c r="C2806" t="s">
        <v>5</v>
      </c>
      <c r="D2806" t="s">
        <v>305</v>
      </c>
      <c r="E2806">
        <v>1.35</v>
      </c>
      <c r="F2806">
        <v>11.5</v>
      </c>
      <c r="G2806">
        <v>15.525</v>
      </c>
    </row>
    <row r="2807" spans="1:7" x14ac:dyDescent="0.2">
      <c r="A2807" t="s">
        <v>922</v>
      </c>
      <c r="B2807" t="s">
        <v>923</v>
      </c>
      <c r="C2807" t="s">
        <v>7</v>
      </c>
      <c r="D2807" t="s">
        <v>307</v>
      </c>
      <c r="E2807">
        <v>0.75</v>
      </c>
      <c r="F2807">
        <v>6.7</v>
      </c>
      <c r="G2807">
        <v>5.0250000000000004</v>
      </c>
    </row>
    <row r="2808" spans="1:7" x14ac:dyDescent="0.2">
      <c r="A2808" t="s">
        <v>922</v>
      </c>
      <c r="B2808" t="s">
        <v>923</v>
      </c>
      <c r="C2808" t="s">
        <v>782</v>
      </c>
      <c r="D2808" t="s">
        <v>783</v>
      </c>
      <c r="E2808">
        <v>0.15</v>
      </c>
      <c r="F2808">
        <v>4.5</v>
      </c>
      <c r="G2808">
        <v>0.67500000000000004</v>
      </c>
    </row>
    <row r="2809" spans="1:7" x14ac:dyDescent="0.2">
      <c r="A2809" t="s">
        <v>922</v>
      </c>
      <c r="B2809" t="s">
        <v>923</v>
      </c>
      <c r="C2809" t="s">
        <v>12</v>
      </c>
      <c r="D2809" t="s">
        <v>308</v>
      </c>
      <c r="E2809">
        <v>0</v>
      </c>
      <c r="F2809">
        <v>7</v>
      </c>
      <c r="G2809">
        <v>0</v>
      </c>
    </row>
    <row r="2810" spans="1:7" x14ac:dyDescent="0.2">
      <c r="A2810" t="s">
        <v>922</v>
      </c>
      <c r="B2810" t="s">
        <v>923</v>
      </c>
      <c r="C2810" t="s">
        <v>105</v>
      </c>
      <c r="D2810" t="s">
        <v>313</v>
      </c>
      <c r="E2810">
        <v>100</v>
      </c>
      <c r="F2810">
        <v>0.1</v>
      </c>
      <c r="G2810">
        <v>10</v>
      </c>
    </row>
    <row r="2811" spans="1:7" x14ac:dyDescent="0.2">
      <c r="A2811" t="s">
        <v>922</v>
      </c>
      <c r="B2811" t="s">
        <v>923</v>
      </c>
      <c r="C2811" t="s">
        <v>111</v>
      </c>
      <c r="D2811" t="s">
        <v>320</v>
      </c>
      <c r="E2811">
        <v>20</v>
      </c>
      <c r="F2811">
        <v>0.1</v>
      </c>
      <c r="G2811">
        <v>2</v>
      </c>
    </row>
    <row r="2812" spans="1:7" x14ac:dyDescent="0.2">
      <c r="A2812" t="s">
        <v>922</v>
      </c>
      <c r="B2812" t="s">
        <v>923</v>
      </c>
      <c r="C2812" t="s">
        <v>114</v>
      </c>
      <c r="D2812" t="s">
        <v>350</v>
      </c>
      <c r="E2812">
        <v>0</v>
      </c>
      <c r="F2812">
        <v>0.1</v>
      </c>
      <c r="G2812">
        <v>0</v>
      </c>
    </row>
    <row r="2813" spans="1:7" x14ac:dyDescent="0.2">
      <c r="A2813" t="s">
        <v>924</v>
      </c>
      <c r="B2813" t="s">
        <v>925</v>
      </c>
      <c r="C2813" t="s">
        <v>94</v>
      </c>
      <c r="D2813" t="s">
        <v>280</v>
      </c>
      <c r="E2813">
        <v>1</v>
      </c>
      <c r="F2813">
        <v>3.5</v>
      </c>
      <c r="G2813">
        <v>3.5</v>
      </c>
    </row>
    <row r="2814" spans="1:7" x14ac:dyDescent="0.2">
      <c r="A2814" t="s">
        <v>924</v>
      </c>
      <c r="B2814" t="s">
        <v>925</v>
      </c>
      <c r="C2814" t="s">
        <v>55</v>
      </c>
      <c r="D2814" t="s">
        <v>371</v>
      </c>
      <c r="E2814">
        <v>0.9</v>
      </c>
      <c r="F2814">
        <v>120</v>
      </c>
      <c r="G2814">
        <v>108</v>
      </c>
    </row>
    <row r="2815" spans="1:7" x14ac:dyDescent="0.2">
      <c r="A2815" t="s">
        <v>924</v>
      </c>
      <c r="B2815" t="s">
        <v>925</v>
      </c>
      <c r="C2815" t="s">
        <v>60</v>
      </c>
      <c r="D2815" t="s">
        <v>337</v>
      </c>
      <c r="E2815">
        <v>0</v>
      </c>
      <c r="F2815">
        <v>130</v>
      </c>
      <c r="G2815">
        <v>0</v>
      </c>
    </row>
    <row r="2816" spans="1:7" x14ac:dyDescent="0.2">
      <c r="A2816" t="s">
        <v>924</v>
      </c>
      <c r="B2816" t="s">
        <v>925</v>
      </c>
      <c r="C2816" t="s">
        <v>69</v>
      </c>
      <c r="D2816" t="s">
        <v>288</v>
      </c>
      <c r="E2816">
        <v>0.19</v>
      </c>
      <c r="F2816">
        <v>190</v>
      </c>
      <c r="G2816">
        <v>36.1</v>
      </c>
    </row>
    <row r="2817" spans="1:7" x14ac:dyDescent="0.2">
      <c r="A2817" t="s">
        <v>924</v>
      </c>
      <c r="B2817" t="s">
        <v>925</v>
      </c>
      <c r="C2817" t="s">
        <v>29</v>
      </c>
      <c r="D2817" t="s">
        <v>292</v>
      </c>
      <c r="E2817">
        <v>0.8</v>
      </c>
      <c r="F2817">
        <v>27</v>
      </c>
      <c r="G2817">
        <v>21.6</v>
      </c>
    </row>
    <row r="2818" spans="1:7" x14ac:dyDescent="0.2">
      <c r="A2818" t="s">
        <v>924</v>
      </c>
      <c r="B2818" t="s">
        <v>925</v>
      </c>
      <c r="C2818" t="s">
        <v>30</v>
      </c>
      <c r="D2818" t="s">
        <v>332</v>
      </c>
      <c r="E2818">
        <v>1</v>
      </c>
      <c r="F2818">
        <v>6</v>
      </c>
      <c r="G2818">
        <v>6</v>
      </c>
    </row>
    <row r="2819" spans="1:7" x14ac:dyDescent="0.2">
      <c r="A2819" t="s">
        <v>924</v>
      </c>
      <c r="B2819" t="s">
        <v>925</v>
      </c>
      <c r="C2819" t="s">
        <v>121</v>
      </c>
      <c r="D2819" t="s">
        <v>301</v>
      </c>
      <c r="E2819">
        <v>1</v>
      </c>
      <c r="F2819">
        <v>0.95</v>
      </c>
      <c r="G2819">
        <v>0.95</v>
      </c>
    </row>
    <row r="2820" spans="1:7" x14ac:dyDescent="0.2">
      <c r="A2820" t="s">
        <v>924</v>
      </c>
      <c r="B2820" t="s">
        <v>925</v>
      </c>
      <c r="C2820" t="s">
        <v>122</v>
      </c>
      <c r="D2820" t="s">
        <v>302</v>
      </c>
      <c r="E2820">
        <v>1</v>
      </c>
      <c r="F2820">
        <v>4.2</v>
      </c>
      <c r="G2820">
        <v>4.2</v>
      </c>
    </row>
    <row r="2821" spans="1:7" x14ac:dyDescent="0.2">
      <c r="A2821" t="s">
        <v>924</v>
      </c>
      <c r="B2821" t="s">
        <v>925</v>
      </c>
      <c r="C2821" t="s">
        <v>722</v>
      </c>
      <c r="D2821" t="s">
        <v>723</v>
      </c>
      <c r="E2821">
        <v>1</v>
      </c>
      <c r="F2821">
        <v>16.8</v>
      </c>
      <c r="G2821">
        <v>16.8</v>
      </c>
    </row>
    <row r="2822" spans="1:7" x14ac:dyDescent="0.2">
      <c r="A2822" t="s">
        <v>924</v>
      </c>
      <c r="B2822" t="s">
        <v>925</v>
      </c>
      <c r="C2822" t="s">
        <v>724</v>
      </c>
      <c r="D2822" t="s">
        <v>725</v>
      </c>
      <c r="E2822">
        <v>1.3</v>
      </c>
      <c r="F2822">
        <v>2.1</v>
      </c>
      <c r="G2822">
        <v>2.73</v>
      </c>
    </row>
    <row r="2823" spans="1:7" x14ac:dyDescent="0.2">
      <c r="A2823" t="s">
        <v>924</v>
      </c>
      <c r="B2823" t="s">
        <v>925</v>
      </c>
      <c r="C2823" t="s">
        <v>726</v>
      </c>
      <c r="D2823" t="s">
        <v>727</v>
      </c>
      <c r="E2823">
        <v>1</v>
      </c>
      <c r="F2823">
        <v>0</v>
      </c>
      <c r="G2823">
        <v>0</v>
      </c>
    </row>
    <row r="2824" spans="1:7" x14ac:dyDescent="0.2">
      <c r="A2824" t="s">
        <v>924</v>
      </c>
      <c r="B2824" t="s">
        <v>925</v>
      </c>
      <c r="C2824" t="s">
        <v>728</v>
      </c>
      <c r="D2824" t="s">
        <v>729</v>
      </c>
      <c r="E2824">
        <v>1</v>
      </c>
      <c r="F2824">
        <v>0.26</v>
      </c>
      <c r="G2824">
        <v>0.26</v>
      </c>
    </row>
    <row r="2825" spans="1:7" x14ac:dyDescent="0.2">
      <c r="A2825" t="s">
        <v>924</v>
      </c>
      <c r="B2825" t="s">
        <v>925</v>
      </c>
      <c r="C2825" t="s">
        <v>5</v>
      </c>
      <c r="D2825" t="s">
        <v>305</v>
      </c>
      <c r="E2825">
        <v>1.35</v>
      </c>
      <c r="F2825">
        <v>11.5</v>
      </c>
      <c r="G2825">
        <v>15.525</v>
      </c>
    </row>
    <row r="2826" spans="1:7" x14ac:dyDescent="0.2">
      <c r="A2826" t="s">
        <v>924</v>
      </c>
      <c r="B2826" t="s">
        <v>925</v>
      </c>
      <c r="C2826" t="s">
        <v>7</v>
      </c>
      <c r="D2826" t="s">
        <v>307</v>
      </c>
      <c r="E2826">
        <v>0.75</v>
      </c>
      <c r="F2826">
        <v>6.7</v>
      </c>
      <c r="G2826">
        <v>5.0250000000000004</v>
      </c>
    </row>
    <row r="2827" spans="1:7" x14ac:dyDescent="0.2">
      <c r="A2827" t="s">
        <v>924</v>
      </c>
      <c r="B2827" t="s">
        <v>925</v>
      </c>
      <c r="C2827" t="s">
        <v>782</v>
      </c>
      <c r="D2827" t="s">
        <v>783</v>
      </c>
      <c r="E2827">
        <v>0.15</v>
      </c>
      <c r="F2827">
        <v>4.5</v>
      </c>
      <c r="G2827">
        <v>0.67500000000000004</v>
      </c>
    </row>
    <row r="2828" spans="1:7" x14ac:dyDescent="0.2">
      <c r="A2828" t="s">
        <v>924</v>
      </c>
      <c r="B2828" t="s">
        <v>925</v>
      </c>
      <c r="C2828" t="s">
        <v>12</v>
      </c>
      <c r="D2828" t="s">
        <v>308</v>
      </c>
      <c r="E2828">
        <v>0</v>
      </c>
      <c r="F2828">
        <v>7</v>
      </c>
      <c r="G2828">
        <v>0</v>
      </c>
    </row>
    <row r="2829" spans="1:7" x14ac:dyDescent="0.2">
      <c r="A2829" t="s">
        <v>924</v>
      </c>
      <c r="B2829" t="s">
        <v>925</v>
      </c>
      <c r="C2829" t="s">
        <v>105</v>
      </c>
      <c r="D2829" t="s">
        <v>313</v>
      </c>
      <c r="E2829">
        <v>100</v>
      </c>
      <c r="F2829">
        <v>0.1</v>
      </c>
      <c r="G2829">
        <v>10</v>
      </c>
    </row>
    <row r="2830" spans="1:7" x14ac:dyDescent="0.2">
      <c r="A2830" t="s">
        <v>924</v>
      </c>
      <c r="B2830" t="s">
        <v>925</v>
      </c>
      <c r="C2830" t="s">
        <v>111</v>
      </c>
      <c r="D2830" t="s">
        <v>320</v>
      </c>
      <c r="E2830">
        <v>20</v>
      </c>
      <c r="F2830">
        <v>0.1</v>
      </c>
      <c r="G2830">
        <v>2</v>
      </c>
    </row>
    <row r="2831" spans="1:7" x14ac:dyDescent="0.2">
      <c r="A2831" t="s">
        <v>924</v>
      </c>
      <c r="B2831" t="s">
        <v>925</v>
      </c>
      <c r="C2831" t="s">
        <v>114</v>
      </c>
      <c r="D2831" t="s">
        <v>350</v>
      </c>
      <c r="E2831">
        <v>0</v>
      </c>
      <c r="F2831">
        <v>0.1</v>
      </c>
      <c r="G2831">
        <v>0</v>
      </c>
    </row>
    <row r="2832" spans="1:7" x14ac:dyDescent="0.2">
      <c r="A2832" t="s">
        <v>918</v>
      </c>
      <c r="B2832" t="s">
        <v>919</v>
      </c>
      <c r="C2832" t="s">
        <v>94</v>
      </c>
      <c r="D2832" t="s">
        <v>280</v>
      </c>
      <c r="E2832">
        <v>1</v>
      </c>
      <c r="F2832">
        <v>3.5</v>
      </c>
      <c r="G2832">
        <v>3.5</v>
      </c>
    </row>
    <row r="2833" spans="1:7" x14ac:dyDescent="0.2">
      <c r="A2833" t="s">
        <v>918</v>
      </c>
      <c r="B2833" t="s">
        <v>919</v>
      </c>
      <c r="C2833" t="s">
        <v>55</v>
      </c>
      <c r="D2833" t="s">
        <v>371</v>
      </c>
      <c r="E2833">
        <v>0.9</v>
      </c>
      <c r="F2833">
        <v>120</v>
      </c>
      <c r="G2833">
        <v>108</v>
      </c>
    </row>
    <row r="2834" spans="1:7" x14ac:dyDescent="0.2">
      <c r="A2834" t="s">
        <v>918</v>
      </c>
      <c r="B2834" t="s">
        <v>919</v>
      </c>
      <c r="C2834" t="s">
        <v>60</v>
      </c>
      <c r="D2834" t="s">
        <v>337</v>
      </c>
      <c r="E2834">
        <v>0</v>
      </c>
      <c r="F2834">
        <v>130</v>
      </c>
      <c r="G2834">
        <v>0</v>
      </c>
    </row>
    <row r="2835" spans="1:7" x14ac:dyDescent="0.2">
      <c r="A2835" t="s">
        <v>918</v>
      </c>
      <c r="B2835" t="s">
        <v>919</v>
      </c>
      <c r="C2835" t="s">
        <v>69</v>
      </c>
      <c r="D2835" t="s">
        <v>288</v>
      </c>
      <c r="E2835">
        <v>0.19</v>
      </c>
      <c r="F2835">
        <v>190</v>
      </c>
      <c r="G2835">
        <v>36.1</v>
      </c>
    </row>
    <row r="2836" spans="1:7" x14ac:dyDescent="0.2">
      <c r="A2836" t="s">
        <v>918</v>
      </c>
      <c r="B2836" t="s">
        <v>919</v>
      </c>
      <c r="C2836" t="s">
        <v>29</v>
      </c>
      <c r="D2836" t="s">
        <v>292</v>
      </c>
      <c r="E2836">
        <v>0.8</v>
      </c>
      <c r="F2836">
        <v>27</v>
      </c>
      <c r="G2836">
        <v>21.6</v>
      </c>
    </row>
    <row r="2837" spans="1:7" x14ac:dyDescent="0.2">
      <c r="A2837" t="s">
        <v>918</v>
      </c>
      <c r="B2837" t="s">
        <v>919</v>
      </c>
      <c r="C2837" t="s">
        <v>30</v>
      </c>
      <c r="D2837" t="s">
        <v>332</v>
      </c>
      <c r="E2837">
        <v>1</v>
      </c>
      <c r="F2837">
        <v>6</v>
      </c>
      <c r="G2837">
        <v>6</v>
      </c>
    </row>
    <row r="2838" spans="1:7" x14ac:dyDescent="0.2">
      <c r="A2838" t="s">
        <v>918</v>
      </c>
      <c r="B2838" t="s">
        <v>919</v>
      </c>
      <c r="C2838" t="s">
        <v>121</v>
      </c>
      <c r="D2838" t="s">
        <v>301</v>
      </c>
      <c r="E2838">
        <v>1</v>
      </c>
      <c r="F2838">
        <v>0.95</v>
      </c>
      <c r="G2838">
        <v>0.95</v>
      </c>
    </row>
    <row r="2839" spans="1:7" x14ac:dyDescent="0.2">
      <c r="A2839" t="s">
        <v>918</v>
      </c>
      <c r="B2839" t="s">
        <v>919</v>
      </c>
      <c r="C2839" t="s">
        <v>122</v>
      </c>
      <c r="D2839" t="s">
        <v>302</v>
      </c>
      <c r="E2839">
        <v>1</v>
      </c>
      <c r="F2839">
        <v>4.2</v>
      </c>
      <c r="G2839">
        <v>4.2</v>
      </c>
    </row>
    <row r="2840" spans="1:7" x14ac:dyDescent="0.2">
      <c r="A2840" t="s">
        <v>918</v>
      </c>
      <c r="B2840" t="s">
        <v>919</v>
      </c>
      <c r="C2840" t="s">
        <v>722</v>
      </c>
      <c r="D2840" t="s">
        <v>723</v>
      </c>
      <c r="E2840">
        <v>1</v>
      </c>
      <c r="F2840">
        <v>16.8</v>
      </c>
      <c r="G2840">
        <v>16.8</v>
      </c>
    </row>
    <row r="2841" spans="1:7" x14ac:dyDescent="0.2">
      <c r="A2841" t="s">
        <v>918</v>
      </c>
      <c r="B2841" t="s">
        <v>919</v>
      </c>
      <c r="C2841" t="s">
        <v>724</v>
      </c>
      <c r="D2841" t="s">
        <v>725</v>
      </c>
      <c r="E2841">
        <v>1.3</v>
      </c>
      <c r="F2841">
        <v>2.1</v>
      </c>
      <c r="G2841">
        <v>2.73</v>
      </c>
    </row>
    <row r="2842" spans="1:7" x14ac:dyDescent="0.2">
      <c r="A2842" t="s">
        <v>918</v>
      </c>
      <c r="B2842" t="s">
        <v>919</v>
      </c>
      <c r="C2842" t="s">
        <v>726</v>
      </c>
      <c r="D2842" t="s">
        <v>727</v>
      </c>
      <c r="E2842">
        <v>1</v>
      </c>
      <c r="F2842">
        <v>0</v>
      </c>
      <c r="G2842">
        <v>0</v>
      </c>
    </row>
    <row r="2843" spans="1:7" x14ac:dyDescent="0.2">
      <c r="A2843" t="s">
        <v>918</v>
      </c>
      <c r="B2843" t="s">
        <v>919</v>
      </c>
      <c r="C2843" t="s">
        <v>728</v>
      </c>
      <c r="D2843" t="s">
        <v>729</v>
      </c>
      <c r="E2843">
        <v>1</v>
      </c>
      <c r="F2843">
        <v>0.26</v>
      </c>
      <c r="G2843">
        <v>0.26</v>
      </c>
    </row>
    <row r="2844" spans="1:7" x14ac:dyDescent="0.2">
      <c r="A2844" t="s">
        <v>918</v>
      </c>
      <c r="B2844" t="s">
        <v>919</v>
      </c>
      <c r="C2844" t="s">
        <v>5</v>
      </c>
      <c r="D2844" t="s">
        <v>305</v>
      </c>
      <c r="E2844">
        <v>1.35</v>
      </c>
      <c r="F2844">
        <v>11.5</v>
      </c>
      <c r="G2844">
        <v>15.525</v>
      </c>
    </row>
    <row r="2845" spans="1:7" x14ac:dyDescent="0.2">
      <c r="A2845" t="s">
        <v>918</v>
      </c>
      <c r="B2845" t="s">
        <v>919</v>
      </c>
      <c r="C2845" t="s">
        <v>7</v>
      </c>
      <c r="D2845" t="s">
        <v>307</v>
      </c>
      <c r="E2845">
        <v>0.75</v>
      </c>
      <c r="F2845">
        <v>6.7</v>
      </c>
      <c r="G2845">
        <v>5.0250000000000004</v>
      </c>
    </row>
    <row r="2846" spans="1:7" x14ac:dyDescent="0.2">
      <c r="A2846" t="s">
        <v>918</v>
      </c>
      <c r="B2846" t="s">
        <v>919</v>
      </c>
      <c r="C2846" t="s">
        <v>782</v>
      </c>
      <c r="D2846" t="s">
        <v>783</v>
      </c>
      <c r="E2846">
        <v>0.15</v>
      </c>
      <c r="F2846">
        <v>4.5</v>
      </c>
      <c r="G2846">
        <v>0.67500000000000004</v>
      </c>
    </row>
    <row r="2847" spans="1:7" x14ac:dyDescent="0.2">
      <c r="A2847" t="s">
        <v>918</v>
      </c>
      <c r="B2847" t="s">
        <v>919</v>
      </c>
      <c r="C2847" t="s">
        <v>12</v>
      </c>
      <c r="D2847" t="s">
        <v>308</v>
      </c>
      <c r="E2847">
        <v>0</v>
      </c>
      <c r="F2847">
        <v>7</v>
      </c>
      <c r="G2847">
        <v>0</v>
      </c>
    </row>
    <row r="2848" spans="1:7" x14ac:dyDescent="0.2">
      <c r="A2848" t="s">
        <v>918</v>
      </c>
      <c r="B2848" t="s">
        <v>919</v>
      </c>
      <c r="C2848" t="s">
        <v>105</v>
      </c>
      <c r="D2848" t="s">
        <v>313</v>
      </c>
      <c r="E2848">
        <v>100</v>
      </c>
      <c r="F2848">
        <v>0.1</v>
      </c>
      <c r="G2848">
        <v>10</v>
      </c>
    </row>
    <row r="2849" spans="1:7" x14ac:dyDescent="0.2">
      <c r="A2849" t="s">
        <v>918</v>
      </c>
      <c r="B2849" t="s">
        <v>919</v>
      </c>
      <c r="C2849" t="s">
        <v>111</v>
      </c>
      <c r="D2849" t="s">
        <v>320</v>
      </c>
      <c r="E2849">
        <v>20</v>
      </c>
      <c r="F2849">
        <v>0.1</v>
      </c>
      <c r="G2849">
        <v>2</v>
      </c>
    </row>
    <row r="2850" spans="1:7" x14ac:dyDescent="0.2">
      <c r="A2850" t="s">
        <v>918</v>
      </c>
      <c r="B2850" t="s">
        <v>919</v>
      </c>
      <c r="C2850" t="s">
        <v>114</v>
      </c>
      <c r="D2850" t="s">
        <v>350</v>
      </c>
      <c r="E2850">
        <v>0</v>
      </c>
      <c r="F2850">
        <v>0.1</v>
      </c>
      <c r="G2850">
        <v>0</v>
      </c>
    </row>
    <row r="2851" spans="1:7" x14ac:dyDescent="0.2">
      <c r="A2851" t="s">
        <v>926</v>
      </c>
      <c r="B2851" t="s">
        <v>927</v>
      </c>
      <c r="C2851" t="s">
        <v>94</v>
      </c>
      <c r="D2851" t="s">
        <v>280</v>
      </c>
      <c r="E2851">
        <v>1</v>
      </c>
      <c r="F2851">
        <v>3.5</v>
      </c>
      <c r="G2851">
        <v>3.5</v>
      </c>
    </row>
    <row r="2852" spans="1:7" x14ac:dyDescent="0.2">
      <c r="A2852" t="s">
        <v>926</v>
      </c>
      <c r="B2852" t="s">
        <v>927</v>
      </c>
      <c r="C2852" t="s">
        <v>55</v>
      </c>
      <c r="D2852" t="s">
        <v>371</v>
      </c>
      <c r="E2852">
        <v>0.9</v>
      </c>
      <c r="F2852">
        <v>120</v>
      </c>
      <c r="G2852">
        <v>108</v>
      </c>
    </row>
    <row r="2853" spans="1:7" x14ac:dyDescent="0.2">
      <c r="A2853" t="s">
        <v>926</v>
      </c>
      <c r="B2853" t="s">
        <v>927</v>
      </c>
      <c r="C2853" t="s">
        <v>60</v>
      </c>
      <c r="D2853" t="s">
        <v>337</v>
      </c>
      <c r="E2853">
        <v>0</v>
      </c>
      <c r="F2853">
        <v>130</v>
      </c>
      <c r="G2853">
        <v>0</v>
      </c>
    </row>
    <row r="2854" spans="1:7" x14ac:dyDescent="0.2">
      <c r="A2854" t="s">
        <v>926</v>
      </c>
      <c r="B2854" t="s">
        <v>927</v>
      </c>
      <c r="C2854" t="s">
        <v>69</v>
      </c>
      <c r="D2854" t="s">
        <v>288</v>
      </c>
      <c r="E2854">
        <v>0.19</v>
      </c>
      <c r="F2854">
        <v>190</v>
      </c>
      <c r="G2854">
        <v>36.1</v>
      </c>
    </row>
    <row r="2855" spans="1:7" x14ac:dyDescent="0.2">
      <c r="A2855" t="s">
        <v>926</v>
      </c>
      <c r="B2855" t="s">
        <v>927</v>
      </c>
      <c r="C2855" t="s">
        <v>29</v>
      </c>
      <c r="D2855" t="s">
        <v>292</v>
      </c>
      <c r="E2855">
        <v>0.8</v>
      </c>
      <c r="F2855">
        <v>27</v>
      </c>
      <c r="G2855">
        <v>21.6</v>
      </c>
    </row>
    <row r="2856" spans="1:7" x14ac:dyDescent="0.2">
      <c r="A2856" t="s">
        <v>926</v>
      </c>
      <c r="B2856" t="s">
        <v>927</v>
      </c>
      <c r="C2856" t="s">
        <v>30</v>
      </c>
      <c r="D2856" t="s">
        <v>332</v>
      </c>
      <c r="E2856">
        <v>1</v>
      </c>
      <c r="F2856">
        <v>6</v>
      </c>
      <c r="G2856">
        <v>6</v>
      </c>
    </row>
    <row r="2857" spans="1:7" x14ac:dyDescent="0.2">
      <c r="A2857" t="s">
        <v>926</v>
      </c>
      <c r="B2857" t="s">
        <v>927</v>
      </c>
      <c r="C2857" t="s">
        <v>121</v>
      </c>
      <c r="D2857" t="s">
        <v>301</v>
      </c>
      <c r="E2857">
        <v>1</v>
      </c>
      <c r="F2857">
        <v>0.95</v>
      </c>
      <c r="G2857">
        <v>0.95</v>
      </c>
    </row>
    <row r="2858" spans="1:7" x14ac:dyDescent="0.2">
      <c r="A2858" t="s">
        <v>926</v>
      </c>
      <c r="B2858" t="s">
        <v>927</v>
      </c>
      <c r="C2858" t="s">
        <v>122</v>
      </c>
      <c r="D2858" t="s">
        <v>302</v>
      </c>
      <c r="E2858">
        <v>1</v>
      </c>
      <c r="F2858">
        <v>4.2</v>
      </c>
      <c r="G2858">
        <v>4.2</v>
      </c>
    </row>
    <row r="2859" spans="1:7" x14ac:dyDescent="0.2">
      <c r="A2859" t="s">
        <v>926</v>
      </c>
      <c r="B2859" t="s">
        <v>927</v>
      </c>
      <c r="C2859" t="s">
        <v>722</v>
      </c>
      <c r="D2859" t="s">
        <v>723</v>
      </c>
      <c r="E2859">
        <v>1</v>
      </c>
      <c r="F2859">
        <v>16.8</v>
      </c>
      <c r="G2859">
        <v>16.8</v>
      </c>
    </row>
    <row r="2860" spans="1:7" x14ac:dyDescent="0.2">
      <c r="A2860" t="s">
        <v>926</v>
      </c>
      <c r="B2860" t="s">
        <v>927</v>
      </c>
      <c r="C2860" t="s">
        <v>724</v>
      </c>
      <c r="D2860" t="s">
        <v>725</v>
      </c>
      <c r="E2860">
        <v>1.3</v>
      </c>
      <c r="F2860">
        <v>2.1</v>
      </c>
      <c r="G2860">
        <v>2.73</v>
      </c>
    </row>
    <row r="2861" spans="1:7" x14ac:dyDescent="0.2">
      <c r="A2861" t="s">
        <v>926</v>
      </c>
      <c r="B2861" t="s">
        <v>927</v>
      </c>
      <c r="C2861" t="s">
        <v>726</v>
      </c>
      <c r="D2861" t="s">
        <v>727</v>
      </c>
      <c r="E2861">
        <v>1</v>
      </c>
      <c r="F2861">
        <v>0</v>
      </c>
      <c r="G2861">
        <v>0</v>
      </c>
    </row>
    <row r="2862" spans="1:7" x14ac:dyDescent="0.2">
      <c r="A2862" t="s">
        <v>926</v>
      </c>
      <c r="B2862" t="s">
        <v>927</v>
      </c>
      <c r="C2862" t="s">
        <v>728</v>
      </c>
      <c r="D2862" t="s">
        <v>729</v>
      </c>
      <c r="E2862">
        <v>1</v>
      </c>
      <c r="F2862">
        <v>0.26</v>
      </c>
      <c r="G2862">
        <v>0.26</v>
      </c>
    </row>
    <row r="2863" spans="1:7" x14ac:dyDescent="0.2">
      <c r="A2863" t="s">
        <v>926</v>
      </c>
      <c r="B2863" t="s">
        <v>927</v>
      </c>
      <c r="C2863" t="s">
        <v>5</v>
      </c>
      <c r="D2863" t="s">
        <v>305</v>
      </c>
      <c r="E2863">
        <v>1.35</v>
      </c>
      <c r="F2863">
        <v>11.5</v>
      </c>
      <c r="G2863">
        <v>15.525</v>
      </c>
    </row>
    <row r="2864" spans="1:7" x14ac:dyDescent="0.2">
      <c r="A2864" t="s">
        <v>926</v>
      </c>
      <c r="B2864" t="s">
        <v>927</v>
      </c>
      <c r="C2864" t="s">
        <v>7</v>
      </c>
      <c r="D2864" t="s">
        <v>307</v>
      </c>
      <c r="E2864">
        <v>0.75</v>
      </c>
      <c r="F2864">
        <v>6.7</v>
      </c>
      <c r="G2864">
        <v>5.0250000000000004</v>
      </c>
    </row>
    <row r="2865" spans="1:7" x14ac:dyDescent="0.2">
      <c r="A2865" t="s">
        <v>926</v>
      </c>
      <c r="B2865" t="s">
        <v>927</v>
      </c>
      <c r="C2865" t="s">
        <v>782</v>
      </c>
      <c r="D2865" t="s">
        <v>783</v>
      </c>
      <c r="E2865">
        <v>0.15</v>
      </c>
      <c r="F2865">
        <v>4.5</v>
      </c>
      <c r="G2865">
        <v>0.67500000000000004</v>
      </c>
    </row>
    <row r="2866" spans="1:7" x14ac:dyDescent="0.2">
      <c r="A2866" t="s">
        <v>926</v>
      </c>
      <c r="B2866" t="s">
        <v>927</v>
      </c>
      <c r="C2866" t="s">
        <v>12</v>
      </c>
      <c r="D2866" t="s">
        <v>308</v>
      </c>
      <c r="E2866">
        <v>0</v>
      </c>
      <c r="F2866">
        <v>7</v>
      </c>
      <c r="G2866">
        <v>0</v>
      </c>
    </row>
    <row r="2867" spans="1:7" x14ac:dyDescent="0.2">
      <c r="A2867" t="s">
        <v>926</v>
      </c>
      <c r="B2867" t="s">
        <v>927</v>
      </c>
      <c r="C2867" t="s">
        <v>105</v>
      </c>
      <c r="D2867" t="s">
        <v>313</v>
      </c>
      <c r="E2867">
        <v>100</v>
      </c>
      <c r="F2867">
        <v>0.1</v>
      </c>
      <c r="G2867">
        <v>10</v>
      </c>
    </row>
    <row r="2868" spans="1:7" x14ac:dyDescent="0.2">
      <c r="A2868" t="s">
        <v>926</v>
      </c>
      <c r="B2868" t="s">
        <v>927</v>
      </c>
      <c r="C2868" t="s">
        <v>111</v>
      </c>
      <c r="D2868" t="s">
        <v>320</v>
      </c>
      <c r="E2868">
        <v>20</v>
      </c>
      <c r="F2868">
        <v>0.1</v>
      </c>
      <c r="G2868">
        <v>2</v>
      </c>
    </row>
    <row r="2869" spans="1:7" x14ac:dyDescent="0.2">
      <c r="A2869" t="s">
        <v>926</v>
      </c>
      <c r="B2869" t="s">
        <v>927</v>
      </c>
      <c r="C2869" t="s">
        <v>114</v>
      </c>
      <c r="D2869" t="s">
        <v>350</v>
      </c>
      <c r="E2869">
        <v>0</v>
      </c>
      <c r="F2869">
        <v>0.1</v>
      </c>
      <c r="G2869">
        <v>0</v>
      </c>
    </row>
    <row r="2870" spans="1:7" x14ac:dyDescent="0.2">
      <c r="A2870" t="s">
        <v>930</v>
      </c>
      <c r="B2870" t="s">
        <v>931</v>
      </c>
      <c r="C2870" t="s">
        <v>94</v>
      </c>
      <c r="D2870" t="s">
        <v>280</v>
      </c>
      <c r="E2870">
        <v>1</v>
      </c>
      <c r="F2870">
        <v>3.5</v>
      </c>
      <c r="G2870">
        <v>3.5</v>
      </c>
    </row>
    <row r="2871" spans="1:7" x14ac:dyDescent="0.2">
      <c r="A2871" t="s">
        <v>930</v>
      </c>
      <c r="B2871" t="s">
        <v>931</v>
      </c>
      <c r="C2871" t="s">
        <v>55</v>
      </c>
      <c r="D2871" t="s">
        <v>371</v>
      </c>
      <c r="E2871">
        <v>0.9</v>
      </c>
      <c r="F2871">
        <v>120</v>
      </c>
      <c r="G2871">
        <v>108</v>
      </c>
    </row>
    <row r="2872" spans="1:7" x14ac:dyDescent="0.2">
      <c r="A2872" t="s">
        <v>930</v>
      </c>
      <c r="B2872" t="s">
        <v>931</v>
      </c>
      <c r="C2872" t="s">
        <v>60</v>
      </c>
      <c r="D2872" t="s">
        <v>337</v>
      </c>
      <c r="E2872">
        <v>0</v>
      </c>
      <c r="F2872">
        <v>130</v>
      </c>
      <c r="G2872">
        <v>0</v>
      </c>
    </row>
    <row r="2873" spans="1:7" x14ac:dyDescent="0.2">
      <c r="A2873" t="s">
        <v>930</v>
      </c>
      <c r="B2873" t="s">
        <v>931</v>
      </c>
      <c r="C2873" t="s">
        <v>69</v>
      </c>
      <c r="D2873" t="s">
        <v>288</v>
      </c>
      <c r="E2873">
        <v>0.19</v>
      </c>
      <c r="F2873">
        <v>190</v>
      </c>
      <c r="G2873">
        <v>36.1</v>
      </c>
    </row>
    <row r="2874" spans="1:7" x14ac:dyDescent="0.2">
      <c r="A2874" t="s">
        <v>930</v>
      </c>
      <c r="B2874" t="s">
        <v>931</v>
      </c>
      <c r="C2874" t="s">
        <v>29</v>
      </c>
      <c r="D2874" t="s">
        <v>292</v>
      </c>
      <c r="E2874">
        <v>0.8</v>
      </c>
      <c r="F2874">
        <v>27</v>
      </c>
      <c r="G2874">
        <v>21.6</v>
      </c>
    </row>
    <row r="2875" spans="1:7" x14ac:dyDescent="0.2">
      <c r="A2875" t="s">
        <v>930</v>
      </c>
      <c r="B2875" t="s">
        <v>931</v>
      </c>
      <c r="C2875" t="s">
        <v>30</v>
      </c>
      <c r="D2875" t="s">
        <v>332</v>
      </c>
      <c r="E2875">
        <v>1</v>
      </c>
      <c r="F2875">
        <v>6</v>
      </c>
      <c r="G2875">
        <v>6</v>
      </c>
    </row>
    <row r="2876" spans="1:7" x14ac:dyDescent="0.2">
      <c r="A2876" t="s">
        <v>930</v>
      </c>
      <c r="B2876" t="s">
        <v>931</v>
      </c>
      <c r="C2876" t="s">
        <v>121</v>
      </c>
      <c r="D2876" t="s">
        <v>301</v>
      </c>
      <c r="E2876">
        <v>1</v>
      </c>
      <c r="F2876">
        <v>0.95</v>
      </c>
      <c r="G2876">
        <v>0.95</v>
      </c>
    </row>
    <row r="2877" spans="1:7" x14ac:dyDescent="0.2">
      <c r="A2877" t="s">
        <v>930</v>
      </c>
      <c r="B2877" t="s">
        <v>931</v>
      </c>
      <c r="C2877" t="s">
        <v>122</v>
      </c>
      <c r="D2877" t="s">
        <v>302</v>
      </c>
      <c r="E2877">
        <v>1</v>
      </c>
      <c r="F2877">
        <v>4.2</v>
      </c>
      <c r="G2877">
        <v>4.2</v>
      </c>
    </row>
    <row r="2878" spans="1:7" x14ac:dyDescent="0.2">
      <c r="A2878" t="s">
        <v>930</v>
      </c>
      <c r="B2878" t="s">
        <v>931</v>
      </c>
      <c r="C2878" t="s">
        <v>722</v>
      </c>
      <c r="D2878" t="s">
        <v>723</v>
      </c>
      <c r="E2878">
        <v>1</v>
      </c>
      <c r="F2878">
        <v>16.8</v>
      </c>
      <c r="G2878">
        <v>16.8</v>
      </c>
    </row>
    <row r="2879" spans="1:7" x14ac:dyDescent="0.2">
      <c r="A2879" t="s">
        <v>930</v>
      </c>
      <c r="B2879" t="s">
        <v>931</v>
      </c>
      <c r="C2879" t="s">
        <v>724</v>
      </c>
      <c r="D2879" t="s">
        <v>725</v>
      </c>
      <c r="E2879">
        <v>1.3</v>
      </c>
      <c r="F2879">
        <v>2.1</v>
      </c>
      <c r="G2879">
        <v>2.73</v>
      </c>
    </row>
    <row r="2880" spans="1:7" x14ac:dyDescent="0.2">
      <c r="A2880" t="s">
        <v>930</v>
      </c>
      <c r="B2880" t="s">
        <v>931</v>
      </c>
      <c r="C2880" t="s">
        <v>726</v>
      </c>
      <c r="D2880" t="s">
        <v>727</v>
      </c>
      <c r="E2880">
        <v>1</v>
      </c>
      <c r="F2880">
        <v>0</v>
      </c>
      <c r="G2880">
        <v>0</v>
      </c>
    </row>
    <row r="2881" spans="1:7" x14ac:dyDescent="0.2">
      <c r="A2881" t="s">
        <v>930</v>
      </c>
      <c r="B2881" t="s">
        <v>931</v>
      </c>
      <c r="C2881" t="s">
        <v>728</v>
      </c>
      <c r="D2881" t="s">
        <v>729</v>
      </c>
      <c r="E2881">
        <v>1</v>
      </c>
      <c r="F2881">
        <v>0.26</v>
      </c>
      <c r="G2881">
        <v>0.26</v>
      </c>
    </row>
    <row r="2882" spans="1:7" x14ac:dyDescent="0.2">
      <c r="A2882" t="s">
        <v>930</v>
      </c>
      <c r="B2882" t="s">
        <v>931</v>
      </c>
      <c r="C2882" t="s">
        <v>5</v>
      </c>
      <c r="D2882" t="s">
        <v>305</v>
      </c>
      <c r="E2882">
        <v>1.35</v>
      </c>
      <c r="F2882">
        <v>11.5</v>
      </c>
      <c r="G2882">
        <v>15.525</v>
      </c>
    </row>
    <row r="2883" spans="1:7" x14ac:dyDescent="0.2">
      <c r="A2883" t="s">
        <v>930</v>
      </c>
      <c r="B2883" t="s">
        <v>931</v>
      </c>
      <c r="C2883" t="s">
        <v>7</v>
      </c>
      <c r="D2883" t="s">
        <v>307</v>
      </c>
      <c r="E2883">
        <v>0.75</v>
      </c>
      <c r="F2883">
        <v>6.7</v>
      </c>
      <c r="G2883">
        <v>5.0250000000000004</v>
      </c>
    </row>
    <row r="2884" spans="1:7" x14ac:dyDescent="0.2">
      <c r="A2884" t="s">
        <v>930</v>
      </c>
      <c r="B2884" t="s">
        <v>931</v>
      </c>
      <c r="C2884" t="s">
        <v>782</v>
      </c>
      <c r="D2884" t="s">
        <v>783</v>
      </c>
      <c r="E2884">
        <v>0.15</v>
      </c>
      <c r="F2884">
        <v>4.5</v>
      </c>
      <c r="G2884">
        <v>0.67500000000000004</v>
      </c>
    </row>
    <row r="2885" spans="1:7" x14ac:dyDescent="0.2">
      <c r="A2885" t="s">
        <v>930</v>
      </c>
      <c r="B2885" t="s">
        <v>931</v>
      </c>
      <c r="C2885" t="s">
        <v>12</v>
      </c>
      <c r="D2885" t="s">
        <v>308</v>
      </c>
      <c r="E2885">
        <v>0</v>
      </c>
      <c r="F2885">
        <v>7</v>
      </c>
      <c r="G2885">
        <v>0</v>
      </c>
    </row>
    <row r="2886" spans="1:7" x14ac:dyDescent="0.2">
      <c r="A2886" t="s">
        <v>930</v>
      </c>
      <c r="B2886" t="s">
        <v>931</v>
      </c>
      <c r="C2886" t="s">
        <v>105</v>
      </c>
      <c r="D2886" t="s">
        <v>313</v>
      </c>
      <c r="E2886">
        <v>100</v>
      </c>
      <c r="F2886">
        <v>0.1</v>
      </c>
      <c r="G2886">
        <v>10</v>
      </c>
    </row>
    <row r="2887" spans="1:7" x14ac:dyDescent="0.2">
      <c r="A2887" t="s">
        <v>930</v>
      </c>
      <c r="B2887" t="s">
        <v>931</v>
      </c>
      <c r="C2887" t="s">
        <v>111</v>
      </c>
      <c r="D2887" t="s">
        <v>320</v>
      </c>
      <c r="E2887">
        <v>20</v>
      </c>
      <c r="F2887">
        <v>0.1</v>
      </c>
      <c r="G2887">
        <v>2</v>
      </c>
    </row>
    <row r="2888" spans="1:7" x14ac:dyDescent="0.2">
      <c r="A2888" t="s">
        <v>930</v>
      </c>
      <c r="B2888" t="s">
        <v>931</v>
      </c>
      <c r="C2888" t="s">
        <v>114</v>
      </c>
      <c r="D2888" t="s">
        <v>350</v>
      </c>
      <c r="E2888">
        <v>0</v>
      </c>
      <c r="F2888">
        <v>0.1</v>
      </c>
      <c r="G2888">
        <v>0</v>
      </c>
    </row>
    <row r="2889" spans="1:7" x14ac:dyDescent="0.2">
      <c r="A2889" t="s">
        <v>928</v>
      </c>
      <c r="B2889" t="s">
        <v>929</v>
      </c>
      <c r="C2889" t="s">
        <v>94</v>
      </c>
      <c r="D2889" t="s">
        <v>280</v>
      </c>
      <c r="E2889">
        <v>1</v>
      </c>
      <c r="F2889">
        <v>3.5</v>
      </c>
      <c r="G2889">
        <v>3.5</v>
      </c>
    </row>
    <row r="2890" spans="1:7" x14ac:dyDescent="0.2">
      <c r="A2890" t="s">
        <v>928</v>
      </c>
      <c r="B2890" t="s">
        <v>929</v>
      </c>
      <c r="C2890" t="s">
        <v>55</v>
      </c>
      <c r="D2890" t="s">
        <v>371</v>
      </c>
      <c r="E2890">
        <v>0.9</v>
      </c>
      <c r="F2890">
        <v>120</v>
      </c>
      <c r="G2890">
        <v>108</v>
      </c>
    </row>
    <row r="2891" spans="1:7" x14ac:dyDescent="0.2">
      <c r="A2891" t="s">
        <v>928</v>
      </c>
      <c r="B2891" t="s">
        <v>929</v>
      </c>
      <c r="C2891" t="s">
        <v>60</v>
      </c>
      <c r="D2891" t="s">
        <v>337</v>
      </c>
      <c r="E2891">
        <v>0</v>
      </c>
      <c r="F2891">
        <v>130</v>
      </c>
      <c r="G2891">
        <v>0</v>
      </c>
    </row>
    <row r="2892" spans="1:7" x14ac:dyDescent="0.2">
      <c r="A2892" t="s">
        <v>928</v>
      </c>
      <c r="B2892" t="s">
        <v>929</v>
      </c>
      <c r="C2892" t="s">
        <v>69</v>
      </c>
      <c r="D2892" t="s">
        <v>288</v>
      </c>
      <c r="E2892">
        <v>0.19</v>
      </c>
      <c r="F2892">
        <v>190</v>
      </c>
      <c r="G2892">
        <v>36.1</v>
      </c>
    </row>
    <row r="2893" spans="1:7" x14ac:dyDescent="0.2">
      <c r="A2893" t="s">
        <v>928</v>
      </c>
      <c r="B2893" t="s">
        <v>929</v>
      </c>
      <c r="C2893" t="s">
        <v>29</v>
      </c>
      <c r="D2893" t="s">
        <v>292</v>
      </c>
      <c r="E2893">
        <v>0.8</v>
      </c>
      <c r="F2893">
        <v>27</v>
      </c>
      <c r="G2893">
        <v>21.6</v>
      </c>
    </row>
    <row r="2894" spans="1:7" x14ac:dyDescent="0.2">
      <c r="A2894" t="s">
        <v>928</v>
      </c>
      <c r="B2894" t="s">
        <v>929</v>
      </c>
      <c r="C2894" t="s">
        <v>30</v>
      </c>
      <c r="D2894" t="s">
        <v>332</v>
      </c>
      <c r="E2894">
        <v>1</v>
      </c>
      <c r="F2894">
        <v>6</v>
      </c>
      <c r="G2894">
        <v>6</v>
      </c>
    </row>
    <row r="2895" spans="1:7" x14ac:dyDescent="0.2">
      <c r="A2895" t="s">
        <v>928</v>
      </c>
      <c r="B2895" t="s">
        <v>929</v>
      </c>
      <c r="C2895" t="s">
        <v>121</v>
      </c>
      <c r="D2895" t="s">
        <v>301</v>
      </c>
      <c r="E2895">
        <v>1</v>
      </c>
      <c r="F2895">
        <v>0.95</v>
      </c>
      <c r="G2895">
        <v>0.95</v>
      </c>
    </row>
    <row r="2896" spans="1:7" x14ac:dyDescent="0.2">
      <c r="A2896" t="s">
        <v>928</v>
      </c>
      <c r="B2896" t="s">
        <v>929</v>
      </c>
      <c r="C2896" t="s">
        <v>122</v>
      </c>
      <c r="D2896" t="s">
        <v>302</v>
      </c>
      <c r="E2896">
        <v>1</v>
      </c>
      <c r="F2896">
        <v>4.2</v>
      </c>
      <c r="G2896">
        <v>4.2</v>
      </c>
    </row>
    <row r="2897" spans="1:7" x14ac:dyDescent="0.2">
      <c r="A2897" t="s">
        <v>928</v>
      </c>
      <c r="B2897" t="s">
        <v>929</v>
      </c>
      <c r="C2897" t="s">
        <v>722</v>
      </c>
      <c r="D2897" t="s">
        <v>723</v>
      </c>
      <c r="E2897">
        <v>1</v>
      </c>
      <c r="F2897">
        <v>16.8</v>
      </c>
      <c r="G2897">
        <v>16.8</v>
      </c>
    </row>
    <row r="2898" spans="1:7" x14ac:dyDescent="0.2">
      <c r="A2898" t="s">
        <v>928</v>
      </c>
      <c r="B2898" t="s">
        <v>929</v>
      </c>
      <c r="C2898" t="s">
        <v>724</v>
      </c>
      <c r="D2898" t="s">
        <v>725</v>
      </c>
      <c r="E2898">
        <v>1.3</v>
      </c>
      <c r="F2898">
        <v>2.1</v>
      </c>
      <c r="G2898">
        <v>2.73</v>
      </c>
    </row>
    <row r="2899" spans="1:7" x14ac:dyDescent="0.2">
      <c r="A2899" t="s">
        <v>928</v>
      </c>
      <c r="B2899" t="s">
        <v>929</v>
      </c>
      <c r="C2899" t="s">
        <v>726</v>
      </c>
      <c r="D2899" t="s">
        <v>727</v>
      </c>
      <c r="E2899">
        <v>1</v>
      </c>
      <c r="F2899">
        <v>0</v>
      </c>
      <c r="G2899">
        <v>0</v>
      </c>
    </row>
    <row r="2900" spans="1:7" x14ac:dyDescent="0.2">
      <c r="A2900" t="s">
        <v>928</v>
      </c>
      <c r="B2900" t="s">
        <v>929</v>
      </c>
      <c r="C2900" t="s">
        <v>728</v>
      </c>
      <c r="D2900" t="s">
        <v>729</v>
      </c>
      <c r="E2900">
        <v>1</v>
      </c>
      <c r="F2900">
        <v>0.26</v>
      </c>
      <c r="G2900">
        <v>0.26</v>
      </c>
    </row>
    <row r="2901" spans="1:7" x14ac:dyDescent="0.2">
      <c r="A2901" t="s">
        <v>928</v>
      </c>
      <c r="B2901" t="s">
        <v>929</v>
      </c>
      <c r="C2901" t="s">
        <v>5</v>
      </c>
      <c r="D2901" t="s">
        <v>305</v>
      </c>
      <c r="E2901">
        <v>1.35</v>
      </c>
      <c r="F2901">
        <v>11.5</v>
      </c>
      <c r="G2901">
        <v>15.525</v>
      </c>
    </row>
    <row r="2902" spans="1:7" x14ac:dyDescent="0.2">
      <c r="A2902" t="s">
        <v>928</v>
      </c>
      <c r="B2902" t="s">
        <v>929</v>
      </c>
      <c r="C2902" t="s">
        <v>7</v>
      </c>
      <c r="D2902" t="s">
        <v>307</v>
      </c>
      <c r="E2902">
        <v>0.75</v>
      </c>
      <c r="F2902">
        <v>6.7</v>
      </c>
      <c r="G2902">
        <v>5.0250000000000004</v>
      </c>
    </row>
    <row r="2903" spans="1:7" x14ac:dyDescent="0.2">
      <c r="A2903" t="s">
        <v>928</v>
      </c>
      <c r="B2903" t="s">
        <v>929</v>
      </c>
      <c r="C2903" t="s">
        <v>782</v>
      </c>
      <c r="D2903" t="s">
        <v>783</v>
      </c>
      <c r="E2903">
        <v>0.15</v>
      </c>
      <c r="F2903">
        <v>4.5</v>
      </c>
      <c r="G2903">
        <v>0.67500000000000004</v>
      </c>
    </row>
    <row r="2904" spans="1:7" x14ac:dyDescent="0.2">
      <c r="A2904" t="s">
        <v>928</v>
      </c>
      <c r="B2904" t="s">
        <v>929</v>
      </c>
      <c r="C2904" t="s">
        <v>12</v>
      </c>
      <c r="D2904" t="s">
        <v>308</v>
      </c>
      <c r="E2904">
        <v>0</v>
      </c>
      <c r="F2904">
        <v>7</v>
      </c>
      <c r="G2904">
        <v>0</v>
      </c>
    </row>
    <row r="2905" spans="1:7" x14ac:dyDescent="0.2">
      <c r="A2905" t="s">
        <v>928</v>
      </c>
      <c r="B2905" t="s">
        <v>929</v>
      </c>
      <c r="C2905" t="s">
        <v>105</v>
      </c>
      <c r="D2905" t="s">
        <v>313</v>
      </c>
      <c r="E2905">
        <v>100</v>
      </c>
      <c r="F2905">
        <v>0.1</v>
      </c>
      <c r="G2905">
        <v>10</v>
      </c>
    </row>
    <row r="2906" spans="1:7" x14ac:dyDescent="0.2">
      <c r="A2906" t="s">
        <v>928</v>
      </c>
      <c r="B2906" t="s">
        <v>929</v>
      </c>
      <c r="C2906" t="s">
        <v>111</v>
      </c>
      <c r="D2906" t="s">
        <v>320</v>
      </c>
      <c r="E2906">
        <v>20</v>
      </c>
      <c r="F2906">
        <v>0.1</v>
      </c>
      <c r="G2906">
        <v>2</v>
      </c>
    </row>
    <row r="2907" spans="1:7" x14ac:dyDescent="0.2">
      <c r="A2907" t="s">
        <v>928</v>
      </c>
      <c r="B2907" t="s">
        <v>929</v>
      </c>
      <c r="C2907" t="s">
        <v>114</v>
      </c>
      <c r="D2907" t="s">
        <v>350</v>
      </c>
      <c r="E2907">
        <v>0</v>
      </c>
      <c r="F2907">
        <v>0.1</v>
      </c>
      <c r="G2907">
        <v>0</v>
      </c>
    </row>
    <row r="2908" spans="1:7" x14ac:dyDescent="0.2">
      <c r="A2908" t="s">
        <v>890</v>
      </c>
      <c r="B2908" t="s">
        <v>891</v>
      </c>
      <c r="C2908" t="s">
        <v>94</v>
      </c>
      <c r="D2908" t="s">
        <v>280</v>
      </c>
      <c r="E2908">
        <v>1</v>
      </c>
      <c r="F2908">
        <v>3.5</v>
      </c>
      <c r="G2908">
        <v>3.5</v>
      </c>
    </row>
    <row r="2909" spans="1:7" x14ac:dyDescent="0.2">
      <c r="A2909" t="s">
        <v>890</v>
      </c>
      <c r="B2909" t="s">
        <v>891</v>
      </c>
      <c r="C2909" t="s">
        <v>95</v>
      </c>
      <c r="D2909" t="s">
        <v>281</v>
      </c>
      <c r="E2909">
        <v>1</v>
      </c>
      <c r="F2909">
        <v>2</v>
      </c>
      <c r="G2909">
        <v>2</v>
      </c>
    </row>
    <row r="2910" spans="1:7" x14ac:dyDescent="0.2">
      <c r="A2910" t="s">
        <v>890</v>
      </c>
      <c r="B2910" t="s">
        <v>891</v>
      </c>
      <c r="C2910" t="s">
        <v>55</v>
      </c>
      <c r="D2910" t="s">
        <v>371</v>
      </c>
      <c r="E2910">
        <v>0.9</v>
      </c>
      <c r="F2910">
        <v>120</v>
      </c>
      <c r="G2910">
        <v>108</v>
      </c>
    </row>
    <row r="2911" spans="1:7" x14ac:dyDescent="0.2">
      <c r="A2911" t="s">
        <v>890</v>
      </c>
      <c r="B2911" t="s">
        <v>891</v>
      </c>
      <c r="C2911" t="s">
        <v>60</v>
      </c>
      <c r="D2911" t="s">
        <v>337</v>
      </c>
      <c r="E2911">
        <v>0</v>
      </c>
      <c r="F2911">
        <v>130</v>
      </c>
      <c r="G2911">
        <v>0</v>
      </c>
    </row>
    <row r="2912" spans="1:7" x14ac:dyDescent="0.2">
      <c r="A2912" t="s">
        <v>890</v>
      </c>
      <c r="B2912" t="s">
        <v>891</v>
      </c>
      <c r="C2912" t="s">
        <v>69</v>
      </c>
      <c r="D2912" t="s">
        <v>288</v>
      </c>
      <c r="E2912">
        <v>0.19</v>
      </c>
      <c r="F2912">
        <v>190</v>
      </c>
      <c r="G2912">
        <v>36.1</v>
      </c>
    </row>
    <row r="2913" spans="1:7" x14ac:dyDescent="0.2">
      <c r="A2913" t="s">
        <v>890</v>
      </c>
      <c r="B2913" t="s">
        <v>891</v>
      </c>
      <c r="C2913" t="s">
        <v>29</v>
      </c>
      <c r="D2913" t="s">
        <v>292</v>
      </c>
      <c r="E2913">
        <v>0</v>
      </c>
      <c r="F2913">
        <v>27</v>
      </c>
      <c r="G2913">
        <v>0</v>
      </c>
    </row>
    <row r="2914" spans="1:7" x14ac:dyDescent="0.2">
      <c r="A2914" t="s">
        <v>890</v>
      </c>
      <c r="B2914" t="s">
        <v>891</v>
      </c>
      <c r="C2914" t="s">
        <v>30</v>
      </c>
      <c r="D2914" t="s">
        <v>332</v>
      </c>
      <c r="E2914">
        <v>2</v>
      </c>
      <c r="F2914">
        <v>6</v>
      </c>
      <c r="G2914">
        <v>12</v>
      </c>
    </row>
    <row r="2915" spans="1:7" x14ac:dyDescent="0.2">
      <c r="A2915" t="s">
        <v>890</v>
      </c>
      <c r="B2915" t="s">
        <v>891</v>
      </c>
      <c r="C2915" t="s">
        <v>36</v>
      </c>
      <c r="D2915" t="s">
        <v>296</v>
      </c>
      <c r="E2915">
        <v>1</v>
      </c>
      <c r="F2915">
        <v>15</v>
      </c>
      <c r="G2915">
        <v>15</v>
      </c>
    </row>
    <row r="2916" spans="1:7" x14ac:dyDescent="0.2">
      <c r="A2916" t="s">
        <v>890</v>
      </c>
      <c r="B2916" t="s">
        <v>891</v>
      </c>
      <c r="C2916" t="s">
        <v>121</v>
      </c>
      <c r="D2916" t="s">
        <v>301</v>
      </c>
      <c r="E2916">
        <v>1</v>
      </c>
      <c r="F2916">
        <v>0.95</v>
      </c>
      <c r="G2916">
        <v>0.95</v>
      </c>
    </row>
    <row r="2917" spans="1:7" x14ac:dyDescent="0.2">
      <c r="A2917" t="s">
        <v>890</v>
      </c>
      <c r="B2917" t="s">
        <v>891</v>
      </c>
      <c r="C2917" t="s">
        <v>122</v>
      </c>
      <c r="D2917" t="s">
        <v>302</v>
      </c>
      <c r="E2917">
        <v>1</v>
      </c>
      <c r="F2917">
        <v>4.2</v>
      </c>
      <c r="G2917">
        <v>4.2</v>
      </c>
    </row>
    <row r="2918" spans="1:7" x14ac:dyDescent="0.2">
      <c r="A2918" t="s">
        <v>890</v>
      </c>
      <c r="B2918" t="s">
        <v>891</v>
      </c>
      <c r="C2918" t="s">
        <v>3</v>
      </c>
      <c r="D2918" t="s">
        <v>370</v>
      </c>
      <c r="E2918">
        <v>0.25</v>
      </c>
      <c r="F2918">
        <v>5</v>
      </c>
      <c r="G2918">
        <v>1.25</v>
      </c>
    </row>
    <row r="2919" spans="1:7" x14ac:dyDescent="0.2">
      <c r="A2919" t="s">
        <v>890</v>
      </c>
      <c r="B2919" t="s">
        <v>891</v>
      </c>
      <c r="C2919" t="s">
        <v>5</v>
      </c>
      <c r="D2919" t="s">
        <v>305</v>
      </c>
      <c r="E2919">
        <v>0.4</v>
      </c>
      <c r="F2919">
        <v>11.5</v>
      </c>
      <c r="G2919">
        <v>4.5999999999999996</v>
      </c>
    </row>
    <row r="2920" spans="1:7" x14ac:dyDescent="0.2">
      <c r="A2920" t="s">
        <v>890</v>
      </c>
      <c r="B2920" t="s">
        <v>891</v>
      </c>
      <c r="C2920" t="s">
        <v>13</v>
      </c>
      <c r="D2920" t="s">
        <v>309</v>
      </c>
      <c r="E2920">
        <v>0.25</v>
      </c>
      <c r="F2920">
        <v>7</v>
      </c>
      <c r="G2920">
        <v>1.75</v>
      </c>
    </row>
    <row r="2921" spans="1:7" x14ac:dyDescent="0.2">
      <c r="A2921" t="s">
        <v>890</v>
      </c>
      <c r="B2921" t="s">
        <v>891</v>
      </c>
      <c r="C2921" t="s">
        <v>105</v>
      </c>
      <c r="D2921" t="s">
        <v>313</v>
      </c>
      <c r="E2921">
        <v>0</v>
      </c>
      <c r="F2921">
        <v>0.1</v>
      </c>
      <c r="G2921">
        <v>0</v>
      </c>
    </row>
    <row r="2922" spans="1:7" x14ac:dyDescent="0.2">
      <c r="A2922" t="s">
        <v>910</v>
      </c>
      <c r="B2922" t="s">
        <v>911</v>
      </c>
      <c r="C2922" t="s">
        <v>409</v>
      </c>
      <c r="D2922" t="s">
        <v>410</v>
      </c>
      <c r="E2922">
        <v>1</v>
      </c>
      <c r="F2922">
        <v>3.5</v>
      </c>
      <c r="G2922">
        <v>3.5</v>
      </c>
    </row>
    <row r="2923" spans="1:7" x14ac:dyDescent="0.2">
      <c r="A2923" t="s">
        <v>910</v>
      </c>
      <c r="B2923" t="s">
        <v>911</v>
      </c>
      <c r="C2923" t="s">
        <v>1034</v>
      </c>
      <c r="D2923" t="s">
        <v>1035</v>
      </c>
      <c r="E2923">
        <v>0</v>
      </c>
      <c r="F2923">
        <v>120</v>
      </c>
      <c r="G2923">
        <v>0</v>
      </c>
    </row>
    <row r="2924" spans="1:7" x14ac:dyDescent="0.2">
      <c r="A2924" t="s">
        <v>910</v>
      </c>
      <c r="B2924" t="s">
        <v>911</v>
      </c>
      <c r="C2924" t="s">
        <v>29</v>
      </c>
      <c r="D2924" t="s">
        <v>292</v>
      </c>
      <c r="E2924">
        <v>0.4</v>
      </c>
      <c r="F2924">
        <v>27</v>
      </c>
      <c r="G2924">
        <v>10.8</v>
      </c>
    </row>
    <row r="2925" spans="1:7" x14ac:dyDescent="0.2">
      <c r="A2925" t="s">
        <v>910</v>
      </c>
      <c r="B2925" t="s">
        <v>911</v>
      </c>
      <c r="C2925" t="s">
        <v>30</v>
      </c>
      <c r="D2925" t="s">
        <v>332</v>
      </c>
      <c r="E2925">
        <v>1</v>
      </c>
      <c r="F2925">
        <v>6</v>
      </c>
      <c r="G2925">
        <v>6</v>
      </c>
    </row>
    <row r="2926" spans="1:7" x14ac:dyDescent="0.2">
      <c r="A2926" t="s">
        <v>910</v>
      </c>
      <c r="B2926" t="s">
        <v>911</v>
      </c>
      <c r="C2926" t="s">
        <v>121</v>
      </c>
      <c r="D2926" t="s">
        <v>301</v>
      </c>
      <c r="E2926">
        <v>1</v>
      </c>
      <c r="F2926">
        <v>0.95</v>
      </c>
      <c r="G2926">
        <v>0.95</v>
      </c>
    </row>
    <row r="2927" spans="1:7" x14ac:dyDescent="0.2">
      <c r="A2927" t="s">
        <v>910</v>
      </c>
      <c r="B2927" t="s">
        <v>911</v>
      </c>
      <c r="C2927" t="s">
        <v>122</v>
      </c>
      <c r="D2927" t="s">
        <v>302</v>
      </c>
      <c r="E2927">
        <v>1</v>
      </c>
      <c r="F2927">
        <v>4.2</v>
      </c>
      <c r="G2927">
        <v>4.2</v>
      </c>
    </row>
    <row r="2928" spans="1:7" x14ac:dyDescent="0.2">
      <c r="A2928" t="s">
        <v>910</v>
      </c>
      <c r="B2928" t="s">
        <v>911</v>
      </c>
      <c r="C2928" t="s">
        <v>770</v>
      </c>
      <c r="D2928" t="s">
        <v>771</v>
      </c>
      <c r="E2928">
        <v>0.4</v>
      </c>
      <c r="F2928">
        <v>7.7</v>
      </c>
      <c r="G2928">
        <v>3.08</v>
      </c>
    </row>
    <row r="2929" spans="1:7" x14ac:dyDescent="0.2">
      <c r="A2929" t="s">
        <v>910</v>
      </c>
      <c r="B2929" t="s">
        <v>911</v>
      </c>
      <c r="C2929" t="s">
        <v>105</v>
      </c>
      <c r="D2929" t="s">
        <v>313</v>
      </c>
      <c r="E2929">
        <v>0</v>
      </c>
      <c r="F2929">
        <v>0.1</v>
      </c>
      <c r="G2929">
        <v>0</v>
      </c>
    </row>
    <row r="2930" spans="1:7" x14ac:dyDescent="0.2">
      <c r="A2930" t="s">
        <v>910</v>
      </c>
      <c r="B2930" t="s">
        <v>911</v>
      </c>
      <c r="C2930" t="s">
        <v>111</v>
      </c>
      <c r="D2930" t="s">
        <v>320</v>
      </c>
      <c r="E2930">
        <v>0</v>
      </c>
      <c r="F2930">
        <v>0.1</v>
      </c>
      <c r="G2930">
        <v>0</v>
      </c>
    </row>
    <row r="2931" spans="1:7" x14ac:dyDescent="0.2">
      <c r="A2931" t="s">
        <v>916</v>
      </c>
      <c r="B2931" t="s">
        <v>917</v>
      </c>
      <c r="C2931" t="s">
        <v>409</v>
      </c>
      <c r="D2931" t="s">
        <v>410</v>
      </c>
      <c r="E2931">
        <v>1</v>
      </c>
      <c r="F2931">
        <v>3.5</v>
      </c>
      <c r="G2931">
        <v>3.5</v>
      </c>
    </row>
    <row r="2932" spans="1:7" x14ac:dyDescent="0.2">
      <c r="A2932" t="s">
        <v>916</v>
      </c>
      <c r="B2932" t="s">
        <v>917</v>
      </c>
      <c r="C2932" t="s">
        <v>69</v>
      </c>
      <c r="D2932" t="s">
        <v>288</v>
      </c>
      <c r="E2932">
        <v>0</v>
      </c>
      <c r="F2932">
        <v>190</v>
      </c>
      <c r="G2932">
        <v>0</v>
      </c>
    </row>
    <row r="2933" spans="1:7" x14ac:dyDescent="0.2">
      <c r="A2933" t="s">
        <v>916</v>
      </c>
      <c r="B2933" t="s">
        <v>917</v>
      </c>
      <c r="C2933" t="s">
        <v>1034</v>
      </c>
      <c r="D2933" t="s">
        <v>1035</v>
      </c>
      <c r="E2933">
        <v>0</v>
      </c>
      <c r="F2933">
        <v>120</v>
      </c>
      <c r="G2933">
        <v>0</v>
      </c>
    </row>
    <row r="2934" spans="1:7" x14ac:dyDescent="0.2">
      <c r="A2934" t="s">
        <v>916</v>
      </c>
      <c r="B2934" t="s">
        <v>917</v>
      </c>
      <c r="C2934" t="s">
        <v>29</v>
      </c>
      <c r="D2934" t="s">
        <v>292</v>
      </c>
      <c r="E2934">
        <v>0.3</v>
      </c>
      <c r="F2934">
        <v>27</v>
      </c>
      <c r="G2934">
        <v>8.1</v>
      </c>
    </row>
    <row r="2935" spans="1:7" x14ac:dyDescent="0.2">
      <c r="A2935" t="s">
        <v>916</v>
      </c>
      <c r="B2935" t="s">
        <v>917</v>
      </c>
      <c r="C2935" t="s">
        <v>30</v>
      </c>
      <c r="D2935" t="s">
        <v>332</v>
      </c>
      <c r="E2935">
        <v>1</v>
      </c>
      <c r="F2935">
        <v>6</v>
      </c>
      <c r="G2935">
        <v>6</v>
      </c>
    </row>
    <row r="2936" spans="1:7" x14ac:dyDescent="0.2">
      <c r="A2936" t="s">
        <v>916</v>
      </c>
      <c r="B2936" t="s">
        <v>917</v>
      </c>
      <c r="C2936" t="s">
        <v>121</v>
      </c>
      <c r="D2936" t="s">
        <v>301</v>
      </c>
      <c r="E2936">
        <v>1</v>
      </c>
      <c r="F2936">
        <v>0.95</v>
      </c>
      <c r="G2936">
        <v>0.95</v>
      </c>
    </row>
    <row r="2937" spans="1:7" x14ac:dyDescent="0.2">
      <c r="A2937" t="s">
        <v>916</v>
      </c>
      <c r="B2937" t="s">
        <v>917</v>
      </c>
      <c r="C2937" t="s">
        <v>122</v>
      </c>
      <c r="D2937" t="s">
        <v>302</v>
      </c>
      <c r="E2937">
        <v>1</v>
      </c>
      <c r="F2937">
        <v>4.2</v>
      </c>
      <c r="G2937">
        <v>4.2</v>
      </c>
    </row>
    <row r="2938" spans="1:7" x14ac:dyDescent="0.2">
      <c r="A2938" t="s">
        <v>916</v>
      </c>
      <c r="B2938" t="s">
        <v>917</v>
      </c>
      <c r="C2938" t="s">
        <v>722</v>
      </c>
      <c r="D2938" t="s">
        <v>723</v>
      </c>
      <c r="E2938">
        <v>1</v>
      </c>
      <c r="F2938">
        <v>16.8</v>
      </c>
      <c r="G2938">
        <v>16.8</v>
      </c>
    </row>
    <row r="2939" spans="1:7" x14ac:dyDescent="0.2">
      <c r="A2939" t="s">
        <v>916</v>
      </c>
      <c r="B2939" t="s">
        <v>917</v>
      </c>
      <c r="C2939" t="s">
        <v>724</v>
      </c>
      <c r="D2939" t="s">
        <v>725</v>
      </c>
      <c r="E2939">
        <v>1.3</v>
      </c>
      <c r="F2939">
        <v>2.1</v>
      </c>
      <c r="G2939">
        <v>2.73</v>
      </c>
    </row>
    <row r="2940" spans="1:7" x14ac:dyDescent="0.2">
      <c r="A2940" t="s">
        <v>916</v>
      </c>
      <c r="B2940" t="s">
        <v>917</v>
      </c>
      <c r="C2940" t="s">
        <v>726</v>
      </c>
      <c r="D2940" t="s">
        <v>727</v>
      </c>
      <c r="E2940">
        <v>1</v>
      </c>
      <c r="F2940">
        <v>0</v>
      </c>
      <c r="G2940">
        <v>0</v>
      </c>
    </row>
    <row r="2941" spans="1:7" x14ac:dyDescent="0.2">
      <c r="A2941" t="s">
        <v>916</v>
      </c>
      <c r="B2941" t="s">
        <v>917</v>
      </c>
      <c r="C2941" t="s">
        <v>728</v>
      </c>
      <c r="D2941" t="s">
        <v>729</v>
      </c>
      <c r="E2941">
        <v>1</v>
      </c>
      <c r="F2941">
        <v>0.26</v>
      </c>
      <c r="G2941">
        <v>0.26</v>
      </c>
    </row>
    <row r="2942" spans="1:7" x14ac:dyDescent="0.2">
      <c r="A2942" t="s">
        <v>916</v>
      </c>
      <c r="B2942" t="s">
        <v>917</v>
      </c>
      <c r="C2942" t="s">
        <v>770</v>
      </c>
      <c r="D2942" t="s">
        <v>771</v>
      </c>
      <c r="E2942">
        <v>0.08</v>
      </c>
      <c r="F2942">
        <v>7.7</v>
      </c>
      <c r="G2942">
        <v>0.61599999999999999</v>
      </c>
    </row>
    <row r="2943" spans="1:7" x14ac:dyDescent="0.2">
      <c r="A2943" t="s">
        <v>916</v>
      </c>
      <c r="B2943" t="s">
        <v>917</v>
      </c>
      <c r="C2943" t="s">
        <v>105</v>
      </c>
      <c r="D2943" t="s">
        <v>313</v>
      </c>
      <c r="E2943">
        <v>0</v>
      </c>
      <c r="F2943">
        <v>0.1</v>
      </c>
      <c r="G2943">
        <v>0</v>
      </c>
    </row>
    <row r="2944" spans="1:7" x14ac:dyDescent="0.2">
      <c r="A2944" t="s">
        <v>916</v>
      </c>
      <c r="B2944" t="s">
        <v>917</v>
      </c>
      <c r="C2944" t="s">
        <v>111</v>
      </c>
      <c r="D2944" t="s">
        <v>320</v>
      </c>
      <c r="E2944">
        <v>0</v>
      </c>
      <c r="F2944">
        <v>0.1</v>
      </c>
      <c r="G2944">
        <v>0</v>
      </c>
    </row>
    <row r="2945" spans="1:7" x14ac:dyDescent="0.2">
      <c r="A2945" t="s">
        <v>914</v>
      </c>
      <c r="B2945" t="s">
        <v>915</v>
      </c>
      <c r="C2945" t="s">
        <v>409</v>
      </c>
      <c r="D2945" t="s">
        <v>410</v>
      </c>
      <c r="E2945">
        <v>1</v>
      </c>
      <c r="F2945">
        <v>3.5</v>
      </c>
      <c r="G2945">
        <v>3.5</v>
      </c>
    </row>
    <row r="2946" spans="1:7" x14ac:dyDescent="0.2">
      <c r="A2946" t="s">
        <v>914</v>
      </c>
      <c r="B2946" t="s">
        <v>915</v>
      </c>
      <c r="C2946" t="s">
        <v>69</v>
      </c>
      <c r="D2946" t="s">
        <v>288</v>
      </c>
      <c r="E2946">
        <v>0</v>
      </c>
      <c r="F2946">
        <v>190</v>
      </c>
      <c r="G2946">
        <v>0</v>
      </c>
    </row>
    <row r="2947" spans="1:7" x14ac:dyDescent="0.2">
      <c r="A2947" t="s">
        <v>914</v>
      </c>
      <c r="B2947" t="s">
        <v>915</v>
      </c>
      <c r="C2947" t="s">
        <v>1034</v>
      </c>
      <c r="D2947" t="s">
        <v>1035</v>
      </c>
      <c r="E2947">
        <v>0</v>
      </c>
      <c r="F2947">
        <v>120</v>
      </c>
      <c r="G2947">
        <v>0</v>
      </c>
    </row>
    <row r="2948" spans="1:7" x14ac:dyDescent="0.2">
      <c r="A2948" t="s">
        <v>914</v>
      </c>
      <c r="B2948" t="s">
        <v>915</v>
      </c>
      <c r="C2948" t="s">
        <v>29</v>
      </c>
      <c r="D2948" t="s">
        <v>292</v>
      </c>
      <c r="E2948">
        <v>0.3</v>
      </c>
      <c r="F2948">
        <v>27</v>
      </c>
      <c r="G2948">
        <v>8.1</v>
      </c>
    </row>
    <row r="2949" spans="1:7" x14ac:dyDescent="0.2">
      <c r="A2949" t="s">
        <v>914</v>
      </c>
      <c r="B2949" t="s">
        <v>915</v>
      </c>
      <c r="C2949" t="s">
        <v>30</v>
      </c>
      <c r="D2949" t="s">
        <v>332</v>
      </c>
      <c r="E2949">
        <v>1</v>
      </c>
      <c r="F2949">
        <v>6</v>
      </c>
      <c r="G2949">
        <v>6</v>
      </c>
    </row>
    <row r="2950" spans="1:7" x14ac:dyDescent="0.2">
      <c r="A2950" t="s">
        <v>914</v>
      </c>
      <c r="B2950" t="s">
        <v>915</v>
      </c>
      <c r="C2950" t="s">
        <v>121</v>
      </c>
      <c r="D2950" t="s">
        <v>301</v>
      </c>
      <c r="E2950">
        <v>1</v>
      </c>
      <c r="F2950">
        <v>0.95</v>
      </c>
      <c r="G2950">
        <v>0.95</v>
      </c>
    </row>
    <row r="2951" spans="1:7" x14ac:dyDescent="0.2">
      <c r="A2951" t="s">
        <v>914</v>
      </c>
      <c r="B2951" t="s">
        <v>915</v>
      </c>
      <c r="C2951" t="s">
        <v>122</v>
      </c>
      <c r="D2951" t="s">
        <v>302</v>
      </c>
      <c r="E2951">
        <v>1</v>
      </c>
      <c r="F2951">
        <v>4.2</v>
      </c>
      <c r="G2951">
        <v>4.2</v>
      </c>
    </row>
    <row r="2952" spans="1:7" x14ac:dyDescent="0.2">
      <c r="A2952" t="s">
        <v>914</v>
      </c>
      <c r="B2952" t="s">
        <v>915</v>
      </c>
      <c r="C2952" t="s">
        <v>722</v>
      </c>
      <c r="D2952" t="s">
        <v>723</v>
      </c>
      <c r="E2952">
        <v>1</v>
      </c>
      <c r="F2952">
        <v>16.8</v>
      </c>
      <c r="G2952">
        <v>16.8</v>
      </c>
    </row>
    <row r="2953" spans="1:7" x14ac:dyDescent="0.2">
      <c r="A2953" t="s">
        <v>914</v>
      </c>
      <c r="B2953" t="s">
        <v>915</v>
      </c>
      <c r="C2953" t="s">
        <v>724</v>
      </c>
      <c r="D2953" t="s">
        <v>725</v>
      </c>
      <c r="E2953">
        <v>1.3</v>
      </c>
      <c r="F2953">
        <v>2.1</v>
      </c>
      <c r="G2953">
        <v>2.73</v>
      </c>
    </row>
    <row r="2954" spans="1:7" x14ac:dyDescent="0.2">
      <c r="A2954" t="s">
        <v>914</v>
      </c>
      <c r="B2954" t="s">
        <v>915</v>
      </c>
      <c r="C2954" t="s">
        <v>726</v>
      </c>
      <c r="D2954" t="s">
        <v>727</v>
      </c>
      <c r="E2954">
        <v>1</v>
      </c>
      <c r="F2954">
        <v>0</v>
      </c>
      <c r="G2954">
        <v>0</v>
      </c>
    </row>
    <row r="2955" spans="1:7" x14ac:dyDescent="0.2">
      <c r="A2955" t="s">
        <v>914</v>
      </c>
      <c r="B2955" t="s">
        <v>915</v>
      </c>
      <c r="C2955" t="s">
        <v>728</v>
      </c>
      <c r="D2955" t="s">
        <v>729</v>
      </c>
      <c r="E2955">
        <v>1</v>
      </c>
      <c r="F2955">
        <v>0.26</v>
      </c>
      <c r="G2955">
        <v>0.26</v>
      </c>
    </row>
    <row r="2956" spans="1:7" x14ac:dyDescent="0.2">
      <c r="A2956" t="s">
        <v>914</v>
      </c>
      <c r="B2956" t="s">
        <v>915</v>
      </c>
      <c r="C2956" t="s">
        <v>770</v>
      </c>
      <c r="D2956" t="s">
        <v>771</v>
      </c>
      <c r="E2956">
        <v>0.08</v>
      </c>
      <c r="F2956">
        <v>7.7</v>
      </c>
      <c r="G2956">
        <v>0.61599999999999999</v>
      </c>
    </row>
    <row r="2957" spans="1:7" x14ac:dyDescent="0.2">
      <c r="A2957" t="s">
        <v>914</v>
      </c>
      <c r="B2957" t="s">
        <v>915</v>
      </c>
      <c r="C2957" t="s">
        <v>105</v>
      </c>
      <c r="D2957" t="s">
        <v>313</v>
      </c>
      <c r="E2957">
        <v>0</v>
      </c>
      <c r="F2957">
        <v>0.1</v>
      </c>
      <c r="G2957">
        <v>0</v>
      </c>
    </row>
    <row r="2958" spans="1:7" x14ac:dyDescent="0.2">
      <c r="A2958" t="s">
        <v>914</v>
      </c>
      <c r="B2958" t="s">
        <v>915</v>
      </c>
      <c r="C2958" t="s">
        <v>111</v>
      </c>
      <c r="D2958" t="s">
        <v>320</v>
      </c>
      <c r="E2958">
        <v>0</v>
      </c>
      <c r="F2958">
        <v>0.1</v>
      </c>
      <c r="G2958">
        <v>0</v>
      </c>
    </row>
    <row r="2959" spans="1:7" x14ac:dyDescent="0.2">
      <c r="A2959" t="s">
        <v>912</v>
      </c>
      <c r="B2959" t="s">
        <v>913</v>
      </c>
      <c r="C2959" t="s">
        <v>409</v>
      </c>
      <c r="D2959" t="s">
        <v>410</v>
      </c>
      <c r="E2959">
        <v>1</v>
      </c>
      <c r="F2959">
        <v>3.5</v>
      </c>
      <c r="G2959">
        <v>3.5</v>
      </c>
    </row>
    <row r="2960" spans="1:7" x14ac:dyDescent="0.2">
      <c r="A2960" t="s">
        <v>912</v>
      </c>
      <c r="B2960" t="s">
        <v>913</v>
      </c>
      <c r="C2960" t="s">
        <v>69</v>
      </c>
      <c r="D2960" t="s">
        <v>288</v>
      </c>
      <c r="E2960">
        <v>0</v>
      </c>
      <c r="F2960">
        <v>190</v>
      </c>
      <c r="G2960">
        <v>0</v>
      </c>
    </row>
    <row r="2961" spans="1:7" x14ac:dyDescent="0.2">
      <c r="A2961" t="s">
        <v>912</v>
      </c>
      <c r="B2961" t="s">
        <v>913</v>
      </c>
      <c r="C2961" t="s">
        <v>1034</v>
      </c>
      <c r="D2961" t="s">
        <v>1035</v>
      </c>
      <c r="E2961">
        <v>0</v>
      </c>
      <c r="F2961">
        <v>120</v>
      </c>
      <c r="G2961">
        <v>0</v>
      </c>
    </row>
    <row r="2962" spans="1:7" x14ac:dyDescent="0.2">
      <c r="A2962" t="s">
        <v>912</v>
      </c>
      <c r="B2962" t="s">
        <v>913</v>
      </c>
      <c r="C2962" t="s">
        <v>29</v>
      </c>
      <c r="D2962" t="s">
        <v>292</v>
      </c>
      <c r="E2962">
        <v>0.25</v>
      </c>
      <c r="F2962">
        <v>27</v>
      </c>
      <c r="G2962">
        <v>6.75</v>
      </c>
    </row>
    <row r="2963" spans="1:7" x14ac:dyDescent="0.2">
      <c r="A2963" t="s">
        <v>912</v>
      </c>
      <c r="B2963" t="s">
        <v>913</v>
      </c>
      <c r="C2963" t="s">
        <v>30</v>
      </c>
      <c r="D2963" t="s">
        <v>332</v>
      </c>
      <c r="E2963">
        <v>1</v>
      </c>
      <c r="F2963">
        <v>6</v>
      </c>
      <c r="G2963">
        <v>6</v>
      </c>
    </row>
    <row r="2964" spans="1:7" x14ac:dyDescent="0.2">
      <c r="A2964" t="s">
        <v>912</v>
      </c>
      <c r="B2964" t="s">
        <v>913</v>
      </c>
      <c r="C2964" t="s">
        <v>121</v>
      </c>
      <c r="D2964" t="s">
        <v>301</v>
      </c>
      <c r="E2964">
        <v>1</v>
      </c>
      <c r="F2964">
        <v>0.95</v>
      </c>
      <c r="G2964">
        <v>0.95</v>
      </c>
    </row>
    <row r="2965" spans="1:7" x14ac:dyDescent="0.2">
      <c r="A2965" t="s">
        <v>912</v>
      </c>
      <c r="B2965" t="s">
        <v>913</v>
      </c>
      <c r="C2965" t="s">
        <v>122</v>
      </c>
      <c r="D2965" t="s">
        <v>302</v>
      </c>
      <c r="E2965">
        <v>1</v>
      </c>
      <c r="F2965">
        <v>4.2</v>
      </c>
      <c r="G2965">
        <v>4.2</v>
      </c>
    </row>
    <row r="2966" spans="1:7" x14ac:dyDescent="0.2">
      <c r="A2966" t="s">
        <v>912</v>
      </c>
      <c r="B2966" t="s">
        <v>913</v>
      </c>
      <c r="C2966" t="s">
        <v>722</v>
      </c>
      <c r="D2966" t="s">
        <v>723</v>
      </c>
      <c r="E2966">
        <v>1</v>
      </c>
      <c r="F2966">
        <v>16.8</v>
      </c>
      <c r="G2966">
        <v>16.8</v>
      </c>
    </row>
    <row r="2967" spans="1:7" x14ac:dyDescent="0.2">
      <c r="A2967" t="s">
        <v>912</v>
      </c>
      <c r="B2967" t="s">
        <v>913</v>
      </c>
      <c r="C2967" t="s">
        <v>724</v>
      </c>
      <c r="D2967" t="s">
        <v>725</v>
      </c>
      <c r="E2967">
        <v>0.35</v>
      </c>
      <c r="F2967">
        <v>2.1</v>
      </c>
      <c r="G2967">
        <v>0.73499999999999999</v>
      </c>
    </row>
    <row r="2968" spans="1:7" x14ac:dyDescent="0.2">
      <c r="A2968" t="s">
        <v>912</v>
      </c>
      <c r="B2968" t="s">
        <v>913</v>
      </c>
      <c r="C2968" t="s">
        <v>726</v>
      </c>
      <c r="D2968" t="s">
        <v>727</v>
      </c>
      <c r="E2968">
        <v>1</v>
      </c>
      <c r="F2968">
        <v>0</v>
      </c>
      <c r="G2968">
        <v>0</v>
      </c>
    </row>
    <row r="2969" spans="1:7" x14ac:dyDescent="0.2">
      <c r="A2969" t="s">
        <v>912</v>
      </c>
      <c r="B2969" t="s">
        <v>913</v>
      </c>
      <c r="C2969" t="s">
        <v>728</v>
      </c>
      <c r="D2969" t="s">
        <v>729</v>
      </c>
      <c r="E2969">
        <v>1</v>
      </c>
      <c r="F2969">
        <v>0.26</v>
      </c>
      <c r="G2969">
        <v>0.26</v>
      </c>
    </row>
    <row r="2970" spans="1:7" x14ac:dyDescent="0.2">
      <c r="A2970" t="s">
        <v>912</v>
      </c>
      <c r="B2970" t="s">
        <v>913</v>
      </c>
      <c r="C2970" t="s">
        <v>770</v>
      </c>
      <c r="D2970" t="s">
        <v>771</v>
      </c>
      <c r="E2970">
        <v>0.08</v>
      </c>
      <c r="F2970">
        <v>7.7</v>
      </c>
      <c r="G2970">
        <v>0.61599999999999999</v>
      </c>
    </row>
    <row r="2971" spans="1:7" x14ac:dyDescent="0.2">
      <c r="A2971" t="s">
        <v>912</v>
      </c>
      <c r="B2971" t="s">
        <v>913</v>
      </c>
      <c r="C2971" t="s">
        <v>105</v>
      </c>
      <c r="D2971" t="s">
        <v>313</v>
      </c>
      <c r="E2971">
        <v>0</v>
      </c>
      <c r="F2971">
        <v>0.1</v>
      </c>
      <c r="G2971">
        <v>0</v>
      </c>
    </row>
    <row r="2972" spans="1:7" x14ac:dyDescent="0.2">
      <c r="A2972" t="s">
        <v>912</v>
      </c>
      <c r="B2972" t="s">
        <v>913</v>
      </c>
      <c r="C2972" t="s">
        <v>111</v>
      </c>
      <c r="D2972" t="s">
        <v>320</v>
      </c>
      <c r="E2972">
        <v>0</v>
      </c>
      <c r="F2972">
        <v>0.1</v>
      </c>
      <c r="G2972">
        <v>0</v>
      </c>
    </row>
    <row r="2973" spans="1:7" x14ac:dyDescent="0.2">
      <c r="A2973" t="s">
        <v>920</v>
      </c>
      <c r="B2973" t="s">
        <v>921</v>
      </c>
      <c r="C2973" t="s">
        <v>409</v>
      </c>
      <c r="D2973" t="s">
        <v>410</v>
      </c>
      <c r="E2973">
        <v>1</v>
      </c>
      <c r="F2973">
        <v>3.5</v>
      </c>
      <c r="G2973">
        <v>3.5</v>
      </c>
    </row>
    <row r="2974" spans="1:7" x14ac:dyDescent="0.2">
      <c r="A2974" t="s">
        <v>920</v>
      </c>
      <c r="B2974" t="s">
        <v>921</v>
      </c>
      <c r="C2974" t="s">
        <v>1034</v>
      </c>
      <c r="D2974" t="s">
        <v>1035</v>
      </c>
      <c r="E2974">
        <v>0</v>
      </c>
      <c r="F2974">
        <v>120</v>
      </c>
      <c r="G2974">
        <v>0</v>
      </c>
    </row>
    <row r="2975" spans="1:7" x14ac:dyDescent="0.2">
      <c r="A2975" t="s">
        <v>920</v>
      </c>
      <c r="B2975" t="s">
        <v>921</v>
      </c>
      <c r="C2975" t="s">
        <v>17</v>
      </c>
      <c r="D2975" t="s">
        <v>394</v>
      </c>
      <c r="E2975">
        <v>1</v>
      </c>
      <c r="F2975">
        <v>3.5</v>
      </c>
      <c r="G2975">
        <v>3.5</v>
      </c>
    </row>
    <row r="2976" spans="1:7" x14ac:dyDescent="0.2">
      <c r="A2976" t="s">
        <v>920</v>
      </c>
      <c r="B2976" t="s">
        <v>921</v>
      </c>
      <c r="C2976" t="s">
        <v>18</v>
      </c>
      <c r="D2976" t="s">
        <v>395</v>
      </c>
      <c r="E2976">
        <v>1</v>
      </c>
      <c r="F2976">
        <v>3.5</v>
      </c>
      <c r="G2976">
        <v>3.5</v>
      </c>
    </row>
    <row r="2977" spans="1:7" x14ac:dyDescent="0.2">
      <c r="A2977" t="s">
        <v>920</v>
      </c>
      <c r="B2977" t="s">
        <v>921</v>
      </c>
      <c r="C2977" t="s">
        <v>121</v>
      </c>
      <c r="D2977" t="s">
        <v>301</v>
      </c>
      <c r="E2977">
        <v>1</v>
      </c>
      <c r="F2977">
        <v>0.95</v>
      </c>
      <c r="G2977">
        <v>0.95</v>
      </c>
    </row>
    <row r="2978" spans="1:7" x14ac:dyDescent="0.2">
      <c r="A2978" t="s">
        <v>920</v>
      </c>
      <c r="B2978" t="s">
        <v>921</v>
      </c>
      <c r="C2978" t="s">
        <v>122</v>
      </c>
      <c r="D2978" t="s">
        <v>302</v>
      </c>
      <c r="E2978">
        <v>1</v>
      </c>
      <c r="F2978">
        <v>4.2</v>
      </c>
      <c r="G2978">
        <v>4.2</v>
      </c>
    </row>
    <row r="2979" spans="1:7" x14ac:dyDescent="0.2">
      <c r="A2979" t="s">
        <v>920</v>
      </c>
      <c r="B2979" t="s">
        <v>921</v>
      </c>
      <c r="C2979" t="s">
        <v>722</v>
      </c>
      <c r="D2979" t="s">
        <v>723</v>
      </c>
      <c r="E2979">
        <v>1</v>
      </c>
      <c r="F2979">
        <v>16.8</v>
      </c>
      <c r="G2979">
        <v>16.8</v>
      </c>
    </row>
    <row r="2980" spans="1:7" x14ac:dyDescent="0.2">
      <c r="A2980" t="s">
        <v>920</v>
      </c>
      <c r="B2980" t="s">
        <v>921</v>
      </c>
      <c r="C2980" t="s">
        <v>724</v>
      </c>
      <c r="D2980" t="s">
        <v>725</v>
      </c>
      <c r="E2980">
        <v>1.3</v>
      </c>
      <c r="F2980">
        <v>2.1</v>
      </c>
      <c r="G2980">
        <v>2.73</v>
      </c>
    </row>
    <row r="2981" spans="1:7" x14ac:dyDescent="0.2">
      <c r="A2981" t="s">
        <v>920</v>
      </c>
      <c r="B2981" t="s">
        <v>921</v>
      </c>
      <c r="C2981" t="s">
        <v>726</v>
      </c>
      <c r="D2981" t="s">
        <v>727</v>
      </c>
      <c r="E2981">
        <v>1</v>
      </c>
      <c r="F2981">
        <v>0</v>
      </c>
      <c r="G2981">
        <v>0</v>
      </c>
    </row>
    <row r="2982" spans="1:7" x14ac:dyDescent="0.2">
      <c r="A2982" t="s">
        <v>920</v>
      </c>
      <c r="B2982" t="s">
        <v>921</v>
      </c>
      <c r="C2982" t="s">
        <v>728</v>
      </c>
      <c r="D2982" t="s">
        <v>729</v>
      </c>
      <c r="E2982">
        <v>1</v>
      </c>
      <c r="F2982">
        <v>0.26</v>
      </c>
      <c r="G2982">
        <v>0.26</v>
      </c>
    </row>
    <row r="2983" spans="1:7" x14ac:dyDescent="0.2">
      <c r="A2983" t="s">
        <v>920</v>
      </c>
      <c r="B2983" t="s">
        <v>921</v>
      </c>
      <c r="C2983" t="s">
        <v>5</v>
      </c>
      <c r="D2983" t="s">
        <v>305</v>
      </c>
      <c r="E2983">
        <v>0.2</v>
      </c>
      <c r="F2983">
        <v>11.5</v>
      </c>
      <c r="G2983">
        <v>2.2999999999999998</v>
      </c>
    </row>
    <row r="2984" spans="1:7" x14ac:dyDescent="0.2">
      <c r="A2984" t="s">
        <v>920</v>
      </c>
      <c r="B2984" t="s">
        <v>921</v>
      </c>
      <c r="C2984" t="s">
        <v>105</v>
      </c>
      <c r="D2984" t="s">
        <v>313</v>
      </c>
      <c r="E2984">
        <v>0</v>
      </c>
      <c r="F2984">
        <v>0.1</v>
      </c>
      <c r="G2984">
        <v>0</v>
      </c>
    </row>
    <row r="2985" spans="1:7" x14ac:dyDescent="0.2">
      <c r="A2985" t="s">
        <v>920</v>
      </c>
      <c r="B2985" t="s">
        <v>921</v>
      </c>
      <c r="C2985" t="s">
        <v>111</v>
      </c>
      <c r="D2985" t="s">
        <v>320</v>
      </c>
      <c r="E2985">
        <v>0</v>
      </c>
      <c r="F2985">
        <v>0.1</v>
      </c>
      <c r="G2985">
        <v>0</v>
      </c>
    </row>
    <row r="2986" spans="1:7" x14ac:dyDescent="0.2">
      <c r="A2986" t="s">
        <v>153</v>
      </c>
      <c r="B2986" t="s">
        <v>210</v>
      </c>
      <c r="C2986" t="s">
        <v>95</v>
      </c>
      <c r="D2986" t="s">
        <v>281</v>
      </c>
      <c r="E2986">
        <v>2</v>
      </c>
      <c r="F2986">
        <v>2</v>
      </c>
      <c r="G2986">
        <v>4</v>
      </c>
    </row>
    <row r="2987" spans="1:7" x14ac:dyDescent="0.2">
      <c r="A2987" t="s">
        <v>153</v>
      </c>
      <c r="B2987" t="s">
        <v>210</v>
      </c>
      <c r="C2987" t="s">
        <v>45</v>
      </c>
      <c r="D2987" t="s">
        <v>374</v>
      </c>
      <c r="E2987">
        <v>1.3</v>
      </c>
      <c r="F2987">
        <v>65</v>
      </c>
      <c r="G2987">
        <v>84.5</v>
      </c>
    </row>
    <row r="2988" spans="1:7" x14ac:dyDescent="0.2">
      <c r="A2988" t="s">
        <v>153</v>
      </c>
      <c r="B2988" t="s">
        <v>210</v>
      </c>
      <c r="C2988" t="s">
        <v>52</v>
      </c>
      <c r="D2988" t="s">
        <v>321</v>
      </c>
      <c r="E2988">
        <v>0</v>
      </c>
      <c r="F2988">
        <v>120</v>
      </c>
      <c r="G2988">
        <v>0</v>
      </c>
    </row>
    <row r="2989" spans="1:7" x14ac:dyDescent="0.2">
      <c r="A2989" t="s">
        <v>153</v>
      </c>
      <c r="B2989" t="s">
        <v>210</v>
      </c>
      <c r="C2989" t="s">
        <v>60</v>
      </c>
      <c r="D2989" t="s">
        <v>337</v>
      </c>
      <c r="E2989">
        <v>0.35</v>
      </c>
      <c r="F2989">
        <v>130</v>
      </c>
      <c r="G2989">
        <v>45.5</v>
      </c>
    </row>
    <row r="2990" spans="1:7" x14ac:dyDescent="0.2">
      <c r="A2990" t="s">
        <v>153</v>
      </c>
      <c r="B2990" t="s">
        <v>210</v>
      </c>
      <c r="C2990" t="s">
        <v>61</v>
      </c>
      <c r="D2990" t="s">
        <v>341</v>
      </c>
      <c r="E2990">
        <v>0.75</v>
      </c>
      <c r="F2990">
        <v>190</v>
      </c>
      <c r="G2990">
        <v>142.5</v>
      </c>
    </row>
    <row r="2991" spans="1:7" x14ac:dyDescent="0.2">
      <c r="A2991" t="s">
        <v>153</v>
      </c>
      <c r="B2991" t="s">
        <v>210</v>
      </c>
      <c r="C2991" t="s">
        <v>70</v>
      </c>
      <c r="D2991" t="s">
        <v>342</v>
      </c>
      <c r="E2991">
        <v>0.15</v>
      </c>
      <c r="F2991">
        <v>145</v>
      </c>
      <c r="G2991">
        <v>21.75</v>
      </c>
    </row>
    <row r="2992" spans="1:7" x14ac:dyDescent="0.2">
      <c r="A2992" t="s">
        <v>153</v>
      </c>
      <c r="B2992" t="s">
        <v>210</v>
      </c>
      <c r="C2992" t="s">
        <v>93</v>
      </c>
      <c r="D2992" t="s">
        <v>327</v>
      </c>
      <c r="E2992">
        <v>0.125</v>
      </c>
      <c r="F2992">
        <v>70</v>
      </c>
      <c r="G2992">
        <v>8.75</v>
      </c>
    </row>
    <row r="2993" spans="1:7" x14ac:dyDescent="0.2">
      <c r="A2993" t="s">
        <v>153</v>
      </c>
      <c r="B2993" t="s">
        <v>210</v>
      </c>
      <c r="C2993" t="s">
        <v>47</v>
      </c>
      <c r="D2993" t="s">
        <v>328</v>
      </c>
      <c r="E2993">
        <v>0.09</v>
      </c>
      <c r="F2993">
        <v>235</v>
      </c>
      <c r="G2993">
        <v>21.15</v>
      </c>
    </row>
    <row r="2994" spans="1:7" x14ac:dyDescent="0.2">
      <c r="A2994" t="s">
        <v>153</v>
      </c>
      <c r="B2994" t="s">
        <v>210</v>
      </c>
      <c r="C2994" t="s">
        <v>49</v>
      </c>
      <c r="D2994" t="s">
        <v>290</v>
      </c>
      <c r="E2994">
        <v>7.4999999999999997E-2</v>
      </c>
      <c r="F2994">
        <v>248</v>
      </c>
      <c r="G2994">
        <v>18.600000000000001</v>
      </c>
    </row>
    <row r="2995" spans="1:7" x14ac:dyDescent="0.2">
      <c r="A2995" t="s">
        <v>153</v>
      </c>
      <c r="B2995" t="s">
        <v>210</v>
      </c>
      <c r="C2995" t="s">
        <v>19</v>
      </c>
      <c r="D2995" t="s">
        <v>329</v>
      </c>
      <c r="E2995">
        <v>2</v>
      </c>
      <c r="F2995">
        <v>2.9</v>
      </c>
      <c r="G2995">
        <v>5.8</v>
      </c>
    </row>
    <row r="2996" spans="1:7" x14ac:dyDescent="0.2">
      <c r="A2996" t="s">
        <v>153</v>
      </c>
      <c r="B2996" t="s">
        <v>210</v>
      </c>
      <c r="C2996" t="s">
        <v>20</v>
      </c>
      <c r="D2996" t="s">
        <v>330</v>
      </c>
      <c r="E2996">
        <v>2</v>
      </c>
      <c r="F2996">
        <v>2.9</v>
      </c>
      <c r="G2996">
        <v>5.8</v>
      </c>
    </row>
    <row r="2997" spans="1:7" x14ac:dyDescent="0.2">
      <c r="A2997" t="s">
        <v>153</v>
      </c>
      <c r="B2997" t="s">
        <v>210</v>
      </c>
      <c r="C2997" t="s">
        <v>23</v>
      </c>
      <c r="D2997" t="s">
        <v>367</v>
      </c>
      <c r="E2997">
        <v>2</v>
      </c>
      <c r="F2997">
        <v>2.5</v>
      </c>
      <c r="G2997">
        <v>5</v>
      </c>
    </row>
    <row r="2998" spans="1:7" x14ac:dyDescent="0.2">
      <c r="A2998" t="s">
        <v>153</v>
      </c>
      <c r="B2998" t="s">
        <v>210</v>
      </c>
      <c r="C2998" t="s">
        <v>26</v>
      </c>
      <c r="D2998" t="s">
        <v>361</v>
      </c>
      <c r="E2998">
        <v>16</v>
      </c>
      <c r="F2998">
        <v>1.5</v>
      </c>
      <c r="G2998">
        <v>24</v>
      </c>
    </row>
    <row r="2999" spans="1:7" x14ac:dyDescent="0.2">
      <c r="A2999" t="s">
        <v>153</v>
      </c>
      <c r="B2999" t="s">
        <v>210</v>
      </c>
      <c r="C2999" t="s">
        <v>29</v>
      </c>
      <c r="D2999" t="s">
        <v>292</v>
      </c>
      <c r="E2999">
        <v>0.35</v>
      </c>
      <c r="F2999">
        <v>27</v>
      </c>
      <c r="G2999">
        <v>9.4499999999999993</v>
      </c>
    </row>
    <row r="3000" spans="1:7" x14ac:dyDescent="0.2">
      <c r="A3000" t="s">
        <v>153</v>
      </c>
      <c r="B3000" t="s">
        <v>210</v>
      </c>
      <c r="C3000" t="s">
        <v>30</v>
      </c>
      <c r="D3000" t="s">
        <v>332</v>
      </c>
      <c r="E3000">
        <v>1</v>
      </c>
      <c r="F3000">
        <v>6</v>
      </c>
      <c r="G3000">
        <v>6</v>
      </c>
    </row>
    <row r="3001" spans="1:7" x14ac:dyDescent="0.2">
      <c r="A3001" t="s">
        <v>153</v>
      </c>
      <c r="B3001" t="s">
        <v>210</v>
      </c>
      <c r="C3001" t="s">
        <v>104</v>
      </c>
      <c r="D3001" t="s">
        <v>343</v>
      </c>
      <c r="E3001">
        <v>1.4999999999999999E-2</v>
      </c>
      <c r="F3001">
        <v>890</v>
      </c>
      <c r="G3001">
        <v>13.35</v>
      </c>
    </row>
    <row r="3002" spans="1:7" x14ac:dyDescent="0.2">
      <c r="A3002" t="s">
        <v>153</v>
      </c>
      <c r="B3002" t="s">
        <v>210</v>
      </c>
      <c r="C3002" t="s">
        <v>121</v>
      </c>
      <c r="D3002" t="s">
        <v>301</v>
      </c>
      <c r="E3002">
        <v>1</v>
      </c>
      <c r="F3002">
        <v>0.95</v>
      </c>
      <c r="G3002">
        <v>0.95</v>
      </c>
    </row>
    <row r="3003" spans="1:7" x14ac:dyDescent="0.2">
      <c r="A3003" t="s">
        <v>153</v>
      </c>
      <c r="B3003" t="s">
        <v>210</v>
      </c>
      <c r="C3003" t="s">
        <v>122</v>
      </c>
      <c r="D3003" t="s">
        <v>302</v>
      </c>
      <c r="E3003">
        <v>1</v>
      </c>
      <c r="F3003">
        <v>4.2</v>
      </c>
      <c r="G3003">
        <v>4.2</v>
      </c>
    </row>
    <row r="3004" spans="1:7" x14ac:dyDescent="0.2">
      <c r="A3004" t="s">
        <v>153</v>
      </c>
      <c r="B3004" t="s">
        <v>210</v>
      </c>
      <c r="C3004" t="s">
        <v>4</v>
      </c>
      <c r="D3004" t="s">
        <v>304</v>
      </c>
      <c r="E3004">
        <v>7</v>
      </c>
      <c r="F3004">
        <v>10.1</v>
      </c>
      <c r="G3004">
        <v>70.7</v>
      </c>
    </row>
    <row r="3005" spans="1:7" x14ac:dyDescent="0.2">
      <c r="A3005" t="s">
        <v>153</v>
      </c>
      <c r="B3005" t="s">
        <v>210</v>
      </c>
      <c r="C3005" t="s">
        <v>5</v>
      </c>
      <c r="D3005" t="s">
        <v>305</v>
      </c>
      <c r="E3005">
        <v>2.7</v>
      </c>
      <c r="F3005">
        <v>11.5</v>
      </c>
      <c r="G3005">
        <v>31.05</v>
      </c>
    </row>
    <row r="3006" spans="1:7" x14ac:dyDescent="0.2">
      <c r="A3006" t="s">
        <v>153</v>
      </c>
      <c r="B3006" t="s">
        <v>210</v>
      </c>
      <c r="C3006" t="s">
        <v>105</v>
      </c>
      <c r="D3006" t="s">
        <v>313</v>
      </c>
      <c r="E3006">
        <v>200</v>
      </c>
      <c r="F3006">
        <v>0.1</v>
      </c>
      <c r="G3006">
        <v>20</v>
      </c>
    </row>
    <row r="3007" spans="1:7" x14ac:dyDescent="0.2">
      <c r="A3007" t="s">
        <v>153</v>
      </c>
      <c r="B3007" t="s">
        <v>210</v>
      </c>
      <c r="C3007" t="s">
        <v>108</v>
      </c>
      <c r="D3007" t="s">
        <v>323</v>
      </c>
      <c r="E3007">
        <v>20</v>
      </c>
      <c r="F3007">
        <v>0.1</v>
      </c>
      <c r="G3007">
        <v>2</v>
      </c>
    </row>
    <row r="3008" spans="1:7" x14ac:dyDescent="0.2">
      <c r="A3008" t="s">
        <v>159</v>
      </c>
      <c r="B3008" t="s">
        <v>196</v>
      </c>
      <c r="C3008" t="s">
        <v>95</v>
      </c>
      <c r="D3008" t="s">
        <v>281</v>
      </c>
      <c r="E3008">
        <v>2</v>
      </c>
      <c r="F3008">
        <v>2</v>
      </c>
      <c r="G3008">
        <v>4</v>
      </c>
    </row>
    <row r="3009" spans="1:7" x14ac:dyDescent="0.2">
      <c r="A3009" t="s">
        <v>159</v>
      </c>
      <c r="B3009" t="s">
        <v>196</v>
      </c>
      <c r="C3009" t="s">
        <v>44</v>
      </c>
      <c r="D3009" t="s">
        <v>324</v>
      </c>
      <c r="E3009">
        <v>1.3</v>
      </c>
      <c r="F3009">
        <v>65</v>
      </c>
      <c r="G3009">
        <v>84.5</v>
      </c>
    </row>
    <row r="3010" spans="1:7" x14ac:dyDescent="0.2">
      <c r="A3010" t="s">
        <v>159</v>
      </c>
      <c r="B3010" t="s">
        <v>196</v>
      </c>
      <c r="C3010" t="s">
        <v>53</v>
      </c>
      <c r="D3010" t="s">
        <v>325</v>
      </c>
      <c r="E3010">
        <v>1</v>
      </c>
      <c r="F3010">
        <v>120</v>
      </c>
      <c r="G3010">
        <v>120</v>
      </c>
    </row>
    <row r="3011" spans="1:7" x14ac:dyDescent="0.2">
      <c r="A3011" t="s">
        <v>159</v>
      </c>
      <c r="B3011" t="s">
        <v>196</v>
      </c>
      <c r="C3011" t="s">
        <v>60</v>
      </c>
      <c r="D3011" t="s">
        <v>337</v>
      </c>
      <c r="E3011">
        <v>0.35</v>
      </c>
      <c r="F3011">
        <v>130</v>
      </c>
      <c r="G3011">
        <v>45.5</v>
      </c>
    </row>
    <row r="3012" spans="1:7" x14ac:dyDescent="0.2">
      <c r="A3012" t="s">
        <v>159</v>
      </c>
      <c r="B3012" t="s">
        <v>196</v>
      </c>
      <c r="C3012" t="s">
        <v>61</v>
      </c>
      <c r="D3012" t="s">
        <v>341</v>
      </c>
      <c r="E3012">
        <v>0.15</v>
      </c>
      <c r="F3012">
        <v>190</v>
      </c>
      <c r="G3012">
        <v>28.5</v>
      </c>
    </row>
    <row r="3013" spans="1:7" x14ac:dyDescent="0.2">
      <c r="A3013" t="s">
        <v>159</v>
      </c>
      <c r="B3013" t="s">
        <v>196</v>
      </c>
      <c r="C3013" t="s">
        <v>65</v>
      </c>
      <c r="D3013" t="s">
        <v>351</v>
      </c>
      <c r="E3013">
        <v>0.6</v>
      </c>
      <c r="F3013">
        <v>190</v>
      </c>
      <c r="G3013">
        <v>114</v>
      </c>
    </row>
    <row r="3014" spans="1:7" x14ac:dyDescent="0.2">
      <c r="A3014" t="s">
        <v>159</v>
      </c>
      <c r="B3014" t="s">
        <v>196</v>
      </c>
      <c r="C3014" t="s">
        <v>69</v>
      </c>
      <c r="D3014" t="s">
        <v>288</v>
      </c>
      <c r="E3014">
        <v>0.15</v>
      </c>
      <c r="F3014">
        <v>190</v>
      </c>
      <c r="G3014">
        <v>28.5</v>
      </c>
    </row>
    <row r="3015" spans="1:7" x14ac:dyDescent="0.2">
      <c r="A3015" t="s">
        <v>159</v>
      </c>
      <c r="B3015" t="s">
        <v>196</v>
      </c>
      <c r="C3015" t="s">
        <v>93</v>
      </c>
      <c r="D3015" t="s">
        <v>327</v>
      </c>
      <c r="E3015">
        <v>0.125</v>
      </c>
      <c r="F3015">
        <v>70</v>
      </c>
      <c r="G3015">
        <v>8.75</v>
      </c>
    </row>
    <row r="3016" spans="1:7" x14ac:dyDescent="0.2">
      <c r="A3016" t="s">
        <v>159</v>
      </c>
      <c r="B3016" t="s">
        <v>196</v>
      </c>
      <c r="C3016" t="s">
        <v>47</v>
      </c>
      <c r="D3016" t="s">
        <v>328</v>
      </c>
      <c r="E3016">
        <v>0.09</v>
      </c>
      <c r="F3016">
        <v>235</v>
      </c>
      <c r="G3016">
        <v>21.15</v>
      </c>
    </row>
    <row r="3017" spans="1:7" x14ac:dyDescent="0.2">
      <c r="A3017" t="s">
        <v>159</v>
      </c>
      <c r="B3017" t="s">
        <v>196</v>
      </c>
      <c r="C3017" t="s">
        <v>49</v>
      </c>
      <c r="D3017" t="s">
        <v>290</v>
      </c>
      <c r="E3017">
        <v>7.4999999999999997E-2</v>
      </c>
      <c r="F3017">
        <v>248</v>
      </c>
      <c r="G3017">
        <v>18.600000000000001</v>
      </c>
    </row>
    <row r="3018" spans="1:7" x14ac:dyDescent="0.2">
      <c r="A3018" t="s">
        <v>159</v>
      </c>
      <c r="B3018" t="s">
        <v>196</v>
      </c>
      <c r="C3018" t="s">
        <v>19</v>
      </c>
      <c r="D3018" t="s">
        <v>329</v>
      </c>
      <c r="E3018">
        <v>2</v>
      </c>
      <c r="F3018">
        <v>2.9</v>
      </c>
      <c r="G3018">
        <v>5.8</v>
      </c>
    </row>
    <row r="3019" spans="1:7" x14ac:dyDescent="0.2">
      <c r="A3019" t="s">
        <v>159</v>
      </c>
      <c r="B3019" t="s">
        <v>196</v>
      </c>
      <c r="C3019" t="s">
        <v>20</v>
      </c>
      <c r="D3019" t="s">
        <v>330</v>
      </c>
      <c r="E3019">
        <v>2</v>
      </c>
      <c r="F3019">
        <v>2.9</v>
      </c>
      <c r="G3019">
        <v>5.8</v>
      </c>
    </row>
    <row r="3020" spans="1:7" x14ac:dyDescent="0.2">
      <c r="A3020" t="s">
        <v>159</v>
      </c>
      <c r="B3020" t="s">
        <v>196</v>
      </c>
      <c r="C3020" t="s">
        <v>23</v>
      </c>
      <c r="D3020" t="s">
        <v>367</v>
      </c>
      <c r="E3020">
        <v>2</v>
      </c>
      <c r="F3020">
        <v>2.5</v>
      </c>
      <c r="G3020">
        <v>5</v>
      </c>
    </row>
    <row r="3021" spans="1:7" x14ac:dyDescent="0.2">
      <c r="A3021" t="s">
        <v>159</v>
      </c>
      <c r="B3021" t="s">
        <v>196</v>
      </c>
      <c r="C3021" t="s">
        <v>26</v>
      </c>
      <c r="D3021" t="s">
        <v>361</v>
      </c>
      <c r="E3021">
        <v>16</v>
      </c>
      <c r="F3021">
        <v>1.5</v>
      </c>
      <c r="G3021">
        <v>24</v>
      </c>
    </row>
    <row r="3022" spans="1:7" x14ac:dyDescent="0.2">
      <c r="A3022" t="s">
        <v>159</v>
      </c>
      <c r="B3022" t="s">
        <v>196</v>
      </c>
      <c r="C3022" t="s">
        <v>29</v>
      </c>
      <c r="D3022" t="s">
        <v>292</v>
      </c>
      <c r="E3022">
        <v>0.35</v>
      </c>
      <c r="F3022">
        <v>27</v>
      </c>
      <c r="G3022">
        <v>9.4499999999999993</v>
      </c>
    </row>
    <row r="3023" spans="1:7" x14ac:dyDescent="0.2">
      <c r="A3023" t="s">
        <v>159</v>
      </c>
      <c r="B3023" t="s">
        <v>196</v>
      </c>
      <c r="C3023" t="s">
        <v>30</v>
      </c>
      <c r="D3023" t="s">
        <v>332</v>
      </c>
      <c r="E3023">
        <v>1</v>
      </c>
      <c r="F3023">
        <v>6</v>
      </c>
      <c r="G3023">
        <v>6</v>
      </c>
    </row>
    <row r="3024" spans="1:7" x14ac:dyDescent="0.2">
      <c r="A3024" t="s">
        <v>159</v>
      </c>
      <c r="B3024" t="s">
        <v>196</v>
      </c>
      <c r="C3024" t="s">
        <v>104</v>
      </c>
      <c r="D3024" t="s">
        <v>343</v>
      </c>
      <c r="E3024">
        <v>1.4999999999999999E-2</v>
      </c>
      <c r="F3024">
        <v>890</v>
      </c>
      <c r="G3024">
        <v>13.35</v>
      </c>
    </row>
    <row r="3025" spans="1:7" x14ac:dyDescent="0.2">
      <c r="A3025" t="s">
        <v>159</v>
      </c>
      <c r="B3025" t="s">
        <v>196</v>
      </c>
      <c r="C3025" t="s">
        <v>121</v>
      </c>
      <c r="D3025" t="s">
        <v>301</v>
      </c>
      <c r="E3025">
        <v>1</v>
      </c>
      <c r="F3025">
        <v>0.95</v>
      </c>
      <c r="G3025">
        <v>0.95</v>
      </c>
    </row>
    <row r="3026" spans="1:7" x14ac:dyDescent="0.2">
      <c r="A3026" t="s">
        <v>159</v>
      </c>
      <c r="B3026" t="s">
        <v>196</v>
      </c>
      <c r="C3026" t="s">
        <v>122</v>
      </c>
      <c r="D3026" t="s">
        <v>302</v>
      </c>
      <c r="E3026">
        <v>1</v>
      </c>
      <c r="F3026">
        <v>4.2</v>
      </c>
      <c r="G3026">
        <v>4.2</v>
      </c>
    </row>
    <row r="3027" spans="1:7" x14ac:dyDescent="0.2">
      <c r="A3027" t="s">
        <v>159</v>
      </c>
      <c r="B3027" t="s">
        <v>196</v>
      </c>
      <c r="C3027" t="s">
        <v>4</v>
      </c>
      <c r="D3027" t="s">
        <v>304</v>
      </c>
      <c r="E3027">
        <v>7</v>
      </c>
      <c r="F3027">
        <v>10.1</v>
      </c>
      <c r="G3027">
        <v>70.7</v>
      </c>
    </row>
    <row r="3028" spans="1:7" x14ac:dyDescent="0.2">
      <c r="A3028" t="s">
        <v>159</v>
      </c>
      <c r="B3028" t="s">
        <v>196</v>
      </c>
      <c r="C3028" t="s">
        <v>5</v>
      </c>
      <c r="D3028" t="s">
        <v>305</v>
      </c>
      <c r="E3028">
        <v>2.7</v>
      </c>
      <c r="F3028">
        <v>11.5</v>
      </c>
      <c r="G3028">
        <v>31.05</v>
      </c>
    </row>
    <row r="3029" spans="1:7" x14ac:dyDescent="0.2">
      <c r="A3029" t="s">
        <v>159</v>
      </c>
      <c r="B3029" t="s">
        <v>196</v>
      </c>
      <c r="C3029" t="s">
        <v>105</v>
      </c>
      <c r="D3029" t="s">
        <v>313</v>
      </c>
      <c r="E3029">
        <v>20</v>
      </c>
      <c r="F3029">
        <v>0.1</v>
      </c>
      <c r="G3029">
        <v>2</v>
      </c>
    </row>
    <row r="3030" spans="1:7" x14ac:dyDescent="0.2">
      <c r="A3030" t="s">
        <v>159</v>
      </c>
      <c r="B3030" t="s">
        <v>196</v>
      </c>
      <c r="C3030" t="s">
        <v>107</v>
      </c>
      <c r="D3030" t="s">
        <v>316</v>
      </c>
      <c r="E3030">
        <v>20</v>
      </c>
      <c r="F3030">
        <v>0.1</v>
      </c>
      <c r="G3030">
        <v>2</v>
      </c>
    </row>
    <row r="3031" spans="1:7" x14ac:dyDescent="0.2">
      <c r="A3031" t="s">
        <v>159</v>
      </c>
      <c r="B3031" t="s">
        <v>196</v>
      </c>
      <c r="C3031" t="s">
        <v>117</v>
      </c>
      <c r="D3031" t="s">
        <v>352</v>
      </c>
      <c r="E3031">
        <v>100</v>
      </c>
      <c r="F3031">
        <v>0.1</v>
      </c>
      <c r="G3031">
        <v>10</v>
      </c>
    </row>
    <row r="3032" spans="1:7" x14ac:dyDescent="0.2">
      <c r="A3032" t="s">
        <v>158</v>
      </c>
      <c r="B3032" t="s">
        <v>200</v>
      </c>
      <c r="C3032" t="s">
        <v>95</v>
      </c>
      <c r="D3032" t="s">
        <v>281</v>
      </c>
      <c r="E3032">
        <v>2</v>
      </c>
      <c r="F3032">
        <v>2</v>
      </c>
      <c r="G3032">
        <v>4</v>
      </c>
    </row>
    <row r="3033" spans="1:7" x14ac:dyDescent="0.2">
      <c r="A3033" t="s">
        <v>158</v>
      </c>
      <c r="B3033" t="s">
        <v>200</v>
      </c>
      <c r="C3033" t="s">
        <v>44</v>
      </c>
      <c r="D3033" t="s">
        <v>324</v>
      </c>
      <c r="E3033">
        <v>1.3</v>
      </c>
      <c r="F3033">
        <v>65</v>
      </c>
      <c r="G3033">
        <v>84.5</v>
      </c>
    </row>
    <row r="3034" spans="1:7" x14ac:dyDescent="0.2">
      <c r="A3034" t="s">
        <v>158</v>
      </c>
      <c r="B3034" t="s">
        <v>200</v>
      </c>
      <c r="C3034" t="s">
        <v>53</v>
      </c>
      <c r="D3034" t="s">
        <v>325</v>
      </c>
      <c r="E3034">
        <v>1</v>
      </c>
      <c r="F3034">
        <v>120</v>
      </c>
      <c r="G3034">
        <v>120</v>
      </c>
    </row>
    <row r="3035" spans="1:7" x14ac:dyDescent="0.2">
      <c r="A3035" t="s">
        <v>158</v>
      </c>
      <c r="B3035" t="s">
        <v>200</v>
      </c>
      <c r="C3035" t="s">
        <v>60</v>
      </c>
      <c r="D3035" t="s">
        <v>337</v>
      </c>
      <c r="E3035">
        <v>0.35</v>
      </c>
      <c r="F3035">
        <v>130</v>
      </c>
      <c r="G3035">
        <v>45.5</v>
      </c>
    </row>
    <row r="3036" spans="1:7" x14ac:dyDescent="0.2">
      <c r="A3036" t="s">
        <v>158</v>
      </c>
      <c r="B3036" t="s">
        <v>200</v>
      </c>
      <c r="C3036" t="s">
        <v>61</v>
      </c>
      <c r="D3036" t="s">
        <v>341</v>
      </c>
      <c r="E3036">
        <v>0.15</v>
      </c>
      <c r="F3036">
        <v>190</v>
      </c>
      <c r="G3036">
        <v>28.5</v>
      </c>
    </row>
    <row r="3037" spans="1:7" x14ac:dyDescent="0.2">
      <c r="A3037" t="s">
        <v>158</v>
      </c>
      <c r="B3037" t="s">
        <v>200</v>
      </c>
      <c r="C3037" t="s">
        <v>68</v>
      </c>
      <c r="D3037" t="s">
        <v>393</v>
      </c>
      <c r="E3037">
        <v>0.6</v>
      </c>
      <c r="F3037">
        <v>190</v>
      </c>
      <c r="G3037">
        <v>114</v>
      </c>
    </row>
    <row r="3038" spans="1:7" x14ac:dyDescent="0.2">
      <c r="A3038" t="s">
        <v>158</v>
      </c>
      <c r="B3038" t="s">
        <v>200</v>
      </c>
      <c r="C3038" t="s">
        <v>69</v>
      </c>
      <c r="D3038" t="s">
        <v>288</v>
      </c>
      <c r="E3038">
        <v>0.15</v>
      </c>
      <c r="F3038">
        <v>190</v>
      </c>
      <c r="G3038">
        <v>28.5</v>
      </c>
    </row>
    <row r="3039" spans="1:7" x14ac:dyDescent="0.2">
      <c r="A3039" t="s">
        <v>158</v>
      </c>
      <c r="B3039" t="s">
        <v>200</v>
      </c>
      <c r="C3039" t="s">
        <v>93</v>
      </c>
      <c r="D3039" t="s">
        <v>327</v>
      </c>
      <c r="E3039">
        <v>0.125</v>
      </c>
      <c r="F3039">
        <v>70</v>
      </c>
      <c r="G3039">
        <v>8.75</v>
      </c>
    </row>
    <row r="3040" spans="1:7" x14ac:dyDescent="0.2">
      <c r="A3040" t="s">
        <v>158</v>
      </c>
      <c r="B3040" t="s">
        <v>200</v>
      </c>
      <c r="C3040" t="s">
        <v>47</v>
      </c>
      <c r="D3040" t="s">
        <v>328</v>
      </c>
      <c r="E3040">
        <v>0.09</v>
      </c>
      <c r="F3040">
        <v>235</v>
      </c>
      <c r="G3040">
        <v>21.15</v>
      </c>
    </row>
    <row r="3041" spans="1:7" x14ac:dyDescent="0.2">
      <c r="A3041" t="s">
        <v>158</v>
      </c>
      <c r="B3041" t="s">
        <v>200</v>
      </c>
      <c r="C3041" t="s">
        <v>49</v>
      </c>
      <c r="D3041" t="s">
        <v>290</v>
      </c>
      <c r="E3041">
        <v>7.4999999999999997E-2</v>
      </c>
      <c r="F3041">
        <v>248</v>
      </c>
      <c r="G3041">
        <v>18.600000000000001</v>
      </c>
    </row>
    <row r="3042" spans="1:7" x14ac:dyDescent="0.2">
      <c r="A3042" t="s">
        <v>158</v>
      </c>
      <c r="B3042" t="s">
        <v>200</v>
      </c>
      <c r="C3042" t="s">
        <v>19</v>
      </c>
      <c r="D3042" t="s">
        <v>329</v>
      </c>
      <c r="E3042">
        <v>2</v>
      </c>
      <c r="F3042">
        <v>2.9</v>
      </c>
      <c r="G3042">
        <v>5.8</v>
      </c>
    </row>
    <row r="3043" spans="1:7" x14ac:dyDescent="0.2">
      <c r="A3043" t="s">
        <v>158</v>
      </c>
      <c r="B3043" t="s">
        <v>200</v>
      </c>
      <c r="C3043" t="s">
        <v>20</v>
      </c>
      <c r="D3043" t="s">
        <v>330</v>
      </c>
      <c r="E3043">
        <v>2</v>
      </c>
      <c r="F3043">
        <v>2.9</v>
      </c>
      <c r="G3043">
        <v>5.8</v>
      </c>
    </row>
    <row r="3044" spans="1:7" x14ac:dyDescent="0.2">
      <c r="A3044" t="s">
        <v>158</v>
      </c>
      <c r="B3044" t="s">
        <v>200</v>
      </c>
      <c r="C3044" t="s">
        <v>23</v>
      </c>
      <c r="D3044" t="s">
        <v>367</v>
      </c>
      <c r="E3044">
        <v>2</v>
      </c>
      <c r="F3044">
        <v>2.5</v>
      </c>
      <c r="G3044">
        <v>5</v>
      </c>
    </row>
    <row r="3045" spans="1:7" x14ac:dyDescent="0.2">
      <c r="A3045" t="s">
        <v>158</v>
      </c>
      <c r="B3045" t="s">
        <v>200</v>
      </c>
      <c r="C3045" t="s">
        <v>26</v>
      </c>
      <c r="D3045" t="s">
        <v>361</v>
      </c>
      <c r="E3045">
        <v>16</v>
      </c>
      <c r="F3045">
        <v>1.5</v>
      </c>
      <c r="G3045">
        <v>24</v>
      </c>
    </row>
    <row r="3046" spans="1:7" x14ac:dyDescent="0.2">
      <c r="A3046" t="s">
        <v>158</v>
      </c>
      <c r="B3046" t="s">
        <v>200</v>
      </c>
      <c r="C3046" t="s">
        <v>29</v>
      </c>
      <c r="D3046" t="s">
        <v>292</v>
      </c>
      <c r="E3046">
        <v>0.35</v>
      </c>
      <c r="F3046">
        <v>27</v>
      </c>
      <c r="G3046">
        <v>9.4499999999999993</v>
      </c>
    </row>
    <row r="3047" spans="1:7" x14ac:dyDescent="0.2">
      <c r="A3047" t="s">
        <v>158</v>
      </c>
      <c r="B3047" t="s">
        <v>200</v>
      </c>
      <c r="C3047" t="s">
        <v>30</v>
      </c>
      <c r="D3047" t="s">
        <v>332</v>
      </c>
      <c r="E3047">
        <v>1</v>
      </c>
      <c r="F3047">
        <v>6</v>
      </c>
      <c r="G3047">
        <v>6</v>
      </c>
    </row>
    <row r="3048" spans="1:7" x14ac:dyDescent="0.2">
      <c r="A3048" t="s">
        <v>158</v>
      </c>
      <c r="B3048" t="s">
        <v>200</v>
      </c>
      <c r="C3048" t="s">
        <v>104</v>
      </c>
      <c r="D3048" t="s">
        <v>343</v>
      </c>
      <c r="E3048">
        <v>1.4999999999999999E-2</v>
      </c>
      <c r="F3048">
        <v>890</v>
      </c>
      <c r="G3048">
        <v>13.35</v>
      </c>
    </row>
    <row r="3049" spans="1:7" x14ac:dyDescent="0.2">
      <c r="A3049" t="s">
        <v>158</v>
      </c>
      <c r="B3049" t="s">
        <v>200</v>
      </c>
      <c r="C3049" t="s">
        <v>121</v>
      </c>
      <c r="D3049" t="s">
        <v>301</v>
      </c>
      <c r="E3049">
        <v>1</v>
      </c>
      <c r="F3049">
        <v>0.95</v>
      </c>
      <c r="G3049">
        <v>0.95</v>
      </c>
    </row>
    <row r="3050" spans="1:7" x14ac:dyDescent="0.2">
      <c r="A3050" t="s">
        <v>158</v>
      </c>
      <c r="B3050" t="s">
        <v>200</v>
      </c>
      <c r="C3050" t="s">
        <v>122</v>
      </c>
      <c r="D3050" t="s">
        <v>302</v>
      </c>
      <c r="E3050">
        <v>1</v>
      </c>
      <c r="F3050">
        <v>4.2</v>
      </c>
      <c r="G3050">
        <v>4.2</v>
      </c>
    </row>
    <row r="3051" spans="1:7" x14ac:dyDescent="0.2">
      <c r="A3051" t="s">
        <v>158</v>
      </c>
      <c r="B3051" t="s">
        <v>200</v>
      </c>
      <c r="C3051" t="s">
        <v>4</v>
      </c>
      <c r="D3051" t="s">
        <v>304</v>
      </c>
      <c r="E3051">
        <v>7</v>
      </c>
      <c r="F3051">
        <v>10.1</v>
      </c>
      <c r="G3051">
        <v>70.7</v>
      </c>
    </row>
    <row r="3052" spans="1:7" x14ac:dyDescent="0.2">
      <c r="A3052" t="s">
        <v>158</v>
      </c>
      <c r="B3052" t="s">
        <v>200</v>
      </c>
      <c r="C3052" t="s">
        <v>5</v>
      </c>
      <c r="D3052" t="s">
        <v>305</v>
      </c>
      <c r="E3052">
        <v>2.7</v>
      </c>
      <c r="F3052">
        <v>11.5</v>
      </c>
      <c r="G3052">
        <v>31.05</v>
      </c>
    </row>
    <row r="3053" spans="1:7" x14ac:dyDescent="0.2">
      <c r="A3053" t="s">
        <v>158</v>
      </c>
      <c r="B3053" t="s">
        <v>200</v>
      </c>
      <c r="C3053" t="s">
        <v>105</v>
      </c>
      <c r="D3053" t="s">
        <v>313</v>
      </c>
      <c r="E3053">
        <v>200</v>
      </c>
      <c r="F3053">
        <v>0.1</v>
      </c>
      <c r="G3053">
        <v>20</v>
      </c>
    </row>
    <row r="3054" spans="1:7" x14ac:dyDescent="0.2">
      <c r="A3054" t="s">
        <v>158</v>
      </c>
      <c r="B3054" t="s">
        <v>200</v>
      </c>
      <c r="C3054" t="s">
        <v>107</v>
      </c>
      <c r="D3054" t="s">
        <v>316</v>
      </c>
      <c r="E3054">
        <v>20</v>
      </c>
      <c r="F3054">
        <v>0.1</v>
      </c>
      <c r="G3054">
        <v>2</v>
      </c>
    </row>
    <row r="3055" spans="1:7" x14ac:dyDescent="0.2">
      <c r="A3055" t="s">
        <v>154</v>
      </c>
      <c r="B3055" t="s">
        <v>197</v>
      </c>
      <c r="C3055" t="s">
        <v>95</v>
      </c>
      <c r="D3055" t="s">
        <v>281</v>
      </c>
      <c r="E3055">
        <v>2</v>
      </c>
      <c r="F3055">
        <v>2</v>
      </c>
      <c r="G3055">
        <v>4</v>
      </c>
    </row>
    <row r="3056" spans="1:7" x14ac:dyDescent="0.2">
      <c r="A3056" t="s">
        <v>154</v>
      </c>
      <c r="B3056" t="s">
        <v>197</v>
      </c>
      <c r="C3056" t="s">
        <v>44</v>
      </c>
      <c r="D3056" t="s">
        <v>324</v>
      </c>
      <c r="E3056">
        <v>1.3</v>
      </c>
      <c r="F3056">
        <v>65</v>
      </c>
      <c r="G3056">
        <v>84.5</v>
      </c>
    </row>
    <row r="3057" spans="1:7" x14ac:dyDescent="0.2">
      <c r="A3057" t="s">
        <v>154</v>
      </c>
      <c r="B3057" t="s">
        <v>197</v>
      </c>
      <c r="C3057" t="s">
        <v>53</v>
      </c>
      <c r="D3057" t="s">
        <v>325</v>
      </c>
      <c r="E3057">
        <v>1</v>
      </c>
      <c r="F3057">
        <v>120</v>
      </c>
      <c r="G3057">
        <v>120</v>
      </c>
    </row>
    <row r="3058" spans="1:7" x14ac:dyDescent="0.2">
      <c r="A3058" t="s">
        <v>154</v>
      </c>
      <c r="B3058" t="s">
        <v>197</v>
      </c>
      <c r="C3058" t="s">
        <v>60</v>
      </c>
      <c r="D3058" t="s">
        <v>337</v>
      </c>
      <c r="E3058">
        <v>0.35</v>
      </c>
      <c r="F3058">
        <v>130</v>
      </c>
      <c r="G3058">
        <v>45.5</v>
      </c>
    </row>
    <row r="3059" spans="1:7" x14ac:dyDescent="0.2">
      <c r="A3059" t="s">
        <v>154</v>
      </c>
      <c r="B3059" t="s">
        <v>197</v>
      </c>
      <c r="C3059" t="s">
        <v>61</v>
      </c>
      <c r="D3059" t="s">
        <v>341</v>
      </c>
      <c r="E3059">
        <v>0.15</v>
      </c>
      <c r="F3059">
        <v>190</v>
      </c>
      <c r="G3059">
        <v>28.5</v>
      </c>
    </row>
    <row r="3060" spans="1:7" x14ac:dyDescent="0.2">
      <c r="A3060" t="s">
        <v>154</v>
      </c>
      <c r="B3060" t="s">
        <v>197</v>
      </c>
      <c r="C3060" t="s">
        <v>66</v>
      </c>
      <c r="D3060" t="s">
        <v>353</v>
      </c>
      <c r="E3060">
        <v>0.6</v>
      </c>
      <c r="F3060">
        <v>190</v>
      </c>
      <c r="G3060">
        <v>114</v>
      </c>
    </row>
    <row r="3061" spans="1:7" x14ac:dyDescent="0.2">
      <c r="A3061" t="s">
        <v>154</v>
      </c>
      <c r="B3061" t="s">
        <v>197</v>
      </c>
      <c r="C3061" t="s">
        <v>69</v>
      </c>
      <c r="D3061" t="s">
        <v>288</v>
      </c>
      <c r="E3061">
        <v>0.15</v>
      </c>
      <c r="F3061">
        <v>190</v>
      </c>
      <c r="G3061">
        <v>28.5</v>
      </c>
    </row>
    <row r="3062" spans="1:7" x14ac:dyDescent="0.2">
      <c r="A3062" t="s">
        <v>154</v>
      </c>
      <c r="B3062" t="s">
        <v>197</v>
      </c>
      <c r="C3062" t="s">
        <v>93</v>
      </c>
      <c r="D3062" t="s">
        <v>327</v>
      </c>
      <c r="E3062">
        <v>0.125</v>
      </c>
      <c r="F3062">
        <v>70</v>
      </c>
      <c r="G3062">
        <v>8.75</v>
      </c>
    </row>
    <row r="3063" spans="1:7" x14ac:dyDescent="0.2">
      <c r="A3063" t="s">
        <v>154</v>
      </c>
      <c r="B3063" t="s">
        <v>197</v>
      </c>
      <c r="C3063" t="s">
        <v>47</v>
      </c>
      <c r="D3063" t="s">
        <v>328</v>
      </c>
      <c r="E3063">
        <v>0.09</v>
      </c>
      <c r="F3063">
        <v>235</v>
      </c>
      <c r="G3063">
        <v>21.15</v>
      </c>
    </row>
    <row r="3064" spans="1:7" x14ac:dyDescent="0.2">
      <c r="A3064" t="s">
        <v>154</v>
      </c>
      <c r="B3064" t="s">
        <v>197</v>
      </c>
      <c r="C3064" t="s">
        <v>49</v>
      </c>
      <c r="D3064" t="s">
        <v>290</v>
      </c>
      <c r="E3064">
        <v>7.4999999999999997E-2</v>
      </c>
      <c r="F3064">
        <v>248</v>
      </c>
      <c r="G3064">
        <v>18.600000000000001</v>
      </c>
    </row>
    <row r="3065" spans="1:7" x14ac:dyDescent="0.2">
      <c r="A3065" t="s">
        <v>154</v>
      </c>
      <c r="B3065" t="s">
        <v>197</v>
      </c>
      <c r="C3065" t="s">
        <v>19</v>
      </c>
      <c r="D3065" t="s">
        <v>329</v>
      </c>
      <c r="E3065">
        <v>2</v>
      </c>
      <c r="F3065">
        <v>2.9</v>
      </c>
      <c r="G3065">
        <v>5.8</v>
      </c>
    </row>
    <row r="3066" spans="1:7" x14ac:dyDescent="0.2">
      <c r="A3066" t="s">
        <v>154</v>
      </c>
      <c r="B3066" t="s">
        <v>197</v>
      </c>
      <c r="C3066" t="s">
        <v>20</v>
      </c>
      <c r="D3066" t="s">
        <v>330</v>
      </c>
      <c r="E3066">
        <v>2</v>
      </c>
      <c r="F3066">
        <v>2.9</v>
      </c>
      <c r="G3066">
        <v>5.8</v>
      </c>
    </row>
    <row r="3067" spans="1:7" x14ac:dyDescent="0.2">
      <c r="A3067" t="s">
        <v>154</v>
      </c>
      <c r="B3067" t="s">
        <v>197</v>
      </c>
      <c r="C3067" t="s">
        <v>23</v>
      </c>
      <c r="D3067" t="s">
        <v>367</v>
      </c>
      <c r="E3067">
        <v>2</v>
      </c>
      <c r="F3067">
        <v>2.5</v>
      </c>
      <c r="G3067">
        <v>5</v>
      </c>
    </row>
    <row r="3068" spans="1:7" x14ac:dyDescent="0.2">
      <c r="A3068" t="s">
        <v>154</v>
      </c>
      <c r="B3068" t="s">
        <v>197</v>
      </c>
      <c r="C3068" t="s">
        <v>26</v>
      </c>
      <c r="D3068" t="s">
        <v>361</v>
      </c>
      <c r="E3068">
        <v>16</v>
      </c>
      <c r="F3068">
        <v>1.5</v>
      </c>
      <c r="G3068">
        <v>24</v>
      </c>
    </row>
    <row r="3069" spans="1:7" x14ac:dyDescent="0.2">
      <c r="A3069" t="s">
        <v>154</v>
      </c>
      <c r="B3069" t="s">
        <v>197</v>
      </c>
      <c r="C3069" t="s">
        <v>29</v>
      </c>
      <c r="D3069" t="s">
        <v>292</v>
      </c>
      <c r="E3069">
        <v>0.35</v>
      </c>
      <c r="F3069">
        <v>27</v>
      </c>
      <c r="G3069">
        <v>9.4499999999999993</v>
      </c>
    </row>
    <row r="3070" spans="1:7" x14ac:dyDescent="0.2">
      <c r="A3070" t="s">
        <v>154</v>
      </c>
      <c r="B3070" t="s">
        <v>197</v>
      </c>
      <c r="C3070" t="s">
        <v>30</v>
      </c>
      <c r="D3070" t="s">
        <v>332</v>
      </c>
      <c r="E3070">
        <v>1</v>
      </c>
      <c r="F3070">
        <v>6</v>
      </c>
      <c r="G3070">
        <v>6</v>
      </c>
    </row>
    <row r="3071" spans="1:7" x14ac:dyDescent="0.2">
      <c r="A3071" t="s">
        <v>154</v>
      </c>
      <c r="B3071" t="s">
        <v>197</v>
      </c>
      <c r="C3071" t="s">
        <v>104</v>
      </c>
      <c r="D3071" t="s">
        <v>343</v>
      </c>
      <c r="E3071">
        <v>1.4999999999999999E-2</v>
      </c>
      <c r="F3071">
        <v>890</v>
      </c>
      <c r="G3071">
        <v>13.35</v>
      </c>
    </row>
    <row r="3072" spans="1:7" x14ac:dyDescent="0.2">
      <c r="A3072" t="s">
        <v>154</v>
      </c>
      <c r="B3072" t="s">
        <v>197</v>
      </c>
      <c r="C3072" t="s">
        <v>121</v>
      </c>
      <c r="D3072" t="s">
        <v>301</v>
      </c>
      <c r="E3072">
        <v>1</v>
      </c>
      <c r="F3072">
        <v>0.95</v>
      </c>
      <c r="G3072">
        <v>0.95</v>
      </c>
    </row>
    <row r="3073" spans="1:7" x14ac:dyDescent="0.2">
      <c r="A3073" t="s">
        <v>154</v>
      </c>
      <c r="B3073" t="s">
        <v>197</v>
      </c>
      <c r="C3073" t="s">
        <v>122</v>
      </c>
      <c r="D3073" t="s">
        <v>302</v>
      </c>
      <c r="E3073">
        <v>1</v>
      </c>
      <c r="F3073">
        <v>4.2</v>
      </c>
      <c r="G3073">
        <v>4.2</v>
      </c>
    </row>
    <row r="3074" spans="1:7" x14ac:dyDescent="0.2">
      <c r="A3074" t="s">
        <v>154</v>
      </c>
      <c r="B3074" t="s">
        <v>197</v>
      </c>
      <c r="C3074" t="s">
        <v>4</v>
      </c>
      <c r="D3074" t="s">
        <v>304</v>
      </c>
      <c r="E3074">
        <v>7</v>
      </c>
      <c r="F3074">
        <v>10.1</v>
      </c>
      <c r="G3074">
        <v>70.7</v>
      </c>
    </row>
    <row r="3075" spans="1:7" x14ac:dyDescent="0.2">
      <c r="A3075" t="s">
        <v>154</v>
      </c>
      <c r="B3075" t="s">
        <v>197</v>
      </c>
      <c r="C3075" t="s">
        <v>5</v>
      </c>
      <c r="D3075" t="s">
        <v>305</v>
      </c>
      <c r="E3075">
        <v>2.7</v>
      </c>
      <c r="F3075">
        <v>11.5</v>
      </c>
      <c r="G3075">
        <v>31.05</v>
      </c>
    </row>
    <row r="3076" spans="1:7" x14ac:dyDescent="0.2">
      <c r="A3076" t="s">
        <v>154</v>
      </c>
      <c r="B3076" t="s">
        <v>197</v>
      </c>
      <c r="C3076" t="s">
        <v>105</v>
      </c>
      <c r="D3076" t="s">
        <v>313</v>
      </c>
      <c r="E3076">
        <v>20</v>
      </c>
      <c r="F3076">
        <v>0.1</v>
      </c>
      <c r="G3076">
        <v>2</v>
      </c>
    </row>
    <row r="3077" spans="1:7" x14ac:dyDescent="0.2">
      <c r="A3077" t="s">
        <v>154</v>
      </c>
      <c r="B3077" t="s">
        <v>197</v>
      </c>
      <c r="C3077" t="s">
        <v>107</v>
      </c>
      <c r="D3077" t="s">
        <v>316</v>
      </c>
      <c r="E3077">
        <v>20</v>
      </c>
      <c r="F3077">
        <v>0.1</v>
      </c>
      <c r="G3077">
        <v>2</v>
      </c>
    </row>
    <row r="3078" spans="1:7" x14ac:dyDescent="0.2">
      <c r="A3078" t="s">
        <v>154</v>
      </c>
      <c r="B3078" t="s">
        <v>197</v>
      </c>
      <c r="C3078" t="s">
        <v>120</v>
      </c>
      <c r="D3078" t="s">
        <v>340</v>
      </c>
      <c r="E3078">
        <v>100</v>
      </c>
      <c r="F3078">
        <v>0.1</v>
      </c>
      <c r="G3078">
        <v>10</v>
      </c>
    </row>
    <row r="3079" spans="1:7" x14ac:dyDescent="0.2">
      <c r="A3079" t="s">
        <v>160</v>
      </c>
      <c r="B3079" t="s">
        <v>211</v>
      </c>
      <c r="C3079" t="s">
        <v>95</v>
      </c>
      <c r="D3079" t="s">
        <v>281</v>
      </c>
      <c r="E3079">
        <v>2</v>
      </c>
      <c r="F3079">
        <v>2</v>
      </c>
      <c r="G3079">
        <v>4</v>
      </c>
    </row>
    <row r="3080" spans="1:7" x14ac:dyDescent="0.2">
      <c r="A3080" t="s">
        <v>160</v>
      </c>
      <c r="B3080" t="s">
        <v>211</v>
      </c>
      <c r="C3080" t="s">
        <v>44</v>
      </c>
      <c r="D3080" t="s">
        <v>324</v>
      </c>
      <c r="E3080">
        <v>1.3</v>
      </c>
      <c r="F3080">
        <v>65</v>
      </c>
      <c r="G3080">
        <v>84.5</v>
      </c>
    </row>
    <row r="3081" spans="1:7" x14ac:dyDescent="0.2">
      <c r="A3081" t="s">
        <v>160</v>
      </c>
      <c r="B3081" t="s">
        <v>211</v>
      </c>
      <c r="C3081" t="s">
        <v>53</v>
      </c>
      <c r="D3081" t="s">
        <v>325</v>
      </c>
      <c r="E3081">
        <v>1</v>
      </c>
      <c r="F3081">
        <v>120</v>
      </c>
      <c r="G3081">
        <v>120</v>
      </c>
    </row>
    <row r="3082" spans="1:7" x14ac:dyDescent="0.2">
      <c r="A3082" t="s">
        <v>160</v>
      </c>
      <c r="B3082" t="s">
        <v>211</v>
      </c>
      <c r="C3082" t="s">
        <v>60</v>
      </c>
      <c r="D3082" t="s">
        <v>337</v>
      </c>
      <c r="E3082">
        <v>0.35</v>
      </c>
      <c r="F3082">
        <v>130</v>
      </c>
      <c r="G3082">
        <v>45.5</v>
      </c>
    </row>
    <row r="3083" spans="1:7" x14ac:dyDescent="0.2">
      <c r="A3083" t="s">
        <v>160</v>
      </c>
      <c r="B3083" t="s">
        <v>211</v>
      </c>
      <c r="C3083" t="s">
        <v>61</v>
      </c>
      <c r="D3083" t="s">
        <v>341</v>
      </c>
      <c r="E3083">
        <v>0.15</v>
      </c>
      <c r="F3083">
        <v>190</v>
      </c>
      <c r="G3083">
        <v>28.5</v>
      </c>
    </row>
    <row r="3084" spans="1:7" x14ac:dyDescent="0.2">
      <c r="A3084" t="s">
        <v>160</v>
      </c>
      <c r="B3084" t="s">
        <v>211</v>
      </c>
      <c r="C3084" t="s">
        <v>63</v>
      </c>
      <c r="D3084" t="s">
        <v>354</v>
      </c>
      <c r="E3084">
        <v>0.6</v>
      </c>
      <c r="F3084">
        <v>190</v>
      </c>
      <c r="G3084">
        <v>114</v>
      </c>
    </row>
    <row r="3085" spans="1:7" x14ac:dyDescent="0.2">
      <c r="A3085" t="s">
        <v>160</v>
      </c>
      <c r="B3085" t="s">
        <v>211</v>
      </c>
      <c r="C3085" t="s">
        <v>69</v>
      </c>
      <c r="D3085" t="s">
        <v>288</v>
      </c>
      <c r="E3085">
        <v>0.15</v>
      </c>
      <c r="F3085">
        <v>190</v>
      </c>
      <c r="G3085">
        <v>28.5</v>
      </c>
    </row>
    <row r="3086" spans="1:7" x14ac:dyDescent="0.2">
      <c r="A3086" t="s">
        <v>160</v>
      </c>
      <c r="B3086" t="s">
        <v>211</v>
      </c>
      <c r="C3086" t="s">
        <v>93</v>
      </c>
      <c r="D3086" t="s">
        <v>327</v>
      </c>
      <c r="E3086">
        <v>0.125</v>
      </c>
      <c r="F3086">
        <v>70</v>
      </c>
      <c r="G3086">
        <v>8.75</v>
      </c>
    </row>
    <row r="3087" spans="1:7" x14ac:dyDescent="0.2">
      <c r="A3087" t="s">
        <v>160</v>
      </c>
      <c r="B3087" t="s">
        <v>211</v>
      </c>
      <c r="C3087" t="s">
        <v>47</v>
      </c>
      <c r="D3087" t="s">
        <v>328</v>
      </c>
      <c r="E3087">
        <v>0.09</v>
      </c>
      <c r="F3087">
        <v>235</v>
      </c>
      <c r="G3087">
        <v>21.15</v>
      </c>
    </row>
    <row r="3088" spans="1:7" x14ac:dyDescent="0.2">
      <c r="A3088" t="s">
        <v>160</v>
      </c>
      <c r="B3088" t="s">
        <v>211</v>
      </c>
      <c r="C3088" t="s">
        <v>49</v>
      </c>
      <c r="D3088" t="s">
        <v>290</v>
      </c>
      <c r="E3088">
        <v>7.4999999999999997E-2</v>
      </c>
      <c r="F3088">
        <v>248</v>
      </c>
      <c r="G3088">
        <v>18.600000000000001</v>
      </c>
    </row>
    <row r="3089" spans="1:7" x14ac:dyDescent="0.2">
      <c r="A3089" t="s">
        <v>160</v>
      </c>
      <c r="B3089" t="s">
        <v>211</v>
      </c>
      <c r="C3089" t="s">
        <v>19</v>
      </c>
      <c r="D3089" t="s">
        <v>329</v>
      </c>
      <c r="E3089">
        <v>2</v>
      </c>
      <c r="F3089">
        <v>2.9</v>
      </c>
      <c r="G3089">
        <v>5.8</v>
      </c>
    </row>
    <row r="3090" spans="1:7" x14ac:dyDescent="0.2">
      <c r="A3090" t="s">
        <v>160</v>
      </c>
      <c r="B3090" t="s">
        <v>211</v>
      </c>
      <c r="C3090" t="s">
        <v>20</v>
      </c>
      <c r="D3090" t="s">
        <v>330</v>
      </c>
      <c r="E3090">
        <v>2</v>
      </c>
      <c r="F3090">
        <v>2.9</v>
      </c>
      <c r="G3090">
        <v>5.8</v>
      </c>
    </row>
    <row r="3091" spans="1:7" x14ac:dyDescent="0.2">
      <c r="A3091" t="s">
        <v>160</v>
      </c>
      <c r="B3091" t="s">
        <v>211</v>
      </c>
      <c r="C3091" t="s">
        <v>23</v>
      </c>
      <c r="D3091" t="s">
        <v>367</v>
      </c>
      <c r="E3091">
        <v>2</v>
      </c>
      <c r="F3091">
        <v>2.5</v>
      </c>
      <c r="G3091">
        <v>5</v>
      </c>
    </row>
    <row r="3092" spans="1:7" x14ac:dyDescent="0.2">
      <c r="A3092" t="s">
        <v>160</v>
      </c>
      <c r="B3092" t="s">
        <v>211</v>
      </c>
      <c r="C3092" t="s">
        <v>26</v>
      </c>
      <c r="D3092" t="s">
        <v>361</v>
      </c>
      <c r="E3092">
        <v>16</v>
      </c>
      <c r="F3092">
        <v>1.5</v>
      </c>
      <c r="G3092">
        <v>24</v>
      </c>
    </row>
    <row r="3093" spans="1:7" x14ac:dyDescent="0.2">
      <c r="A3093" t="s">
        <v>160</v>
      </c>
      <c r="B3093" t="s">
        <v>211</v>
      </c>
      <c r="C3093" t="s">
        <v>29</v>
      </c>
      <c r="D3093" t="s">
        <v>292</v>
      </c>
      <c r="E3093">
        <v>0.35</v>
      </c>
      <c r="F3093">
        <v>27</v>
      </c>
      <c r="G3093">
        <v>9.4499999999999993</v>
      </c>
    </row>
    <row r="3094" spans="1:7" x14ac:dyDescent="0.2">
      <c r="A3094" t="s">
        <v>160</v>
      </c>
      <c r="B3094" t="s">
        <v>211</v>
      </c>
      <c r="C3094" t="s">
        <v>30</v>
      </c>
      <c r="D3094" t="s">
        <v>332</v>
      </c>
      <c r="E3094">
        <v>1</v>
      </c>
      <c r="F3094">
        <v>6</v>
      </c>
      <c r="G3094">
        <v>6</v>
      </c>
    </row>
    <row r="3095" spans="1:7" x14ac:dyDescent="0.2">
      <c r="A3095" t="s">
        <v>160</v>
      </c>
      <c r="B3095" t="s">
        <v>211</v>
      </c>
      <c r="C3095" t="s">
        <v>104</v>
      </c>
      <c r="D3095" t="s">
        <v>343</v>
      </c>
      <c r="E3095">
        <v>1.4999999999999999E-2</v>
      </c>
      <c r="F3095">
        <v>890</v>
      </c>
      <c r="G3095">
        <v>13.35</v>
      </c>
    </row>
    <row r="3096" spans="1:7" x14ac:dyDescent="0.2">
      <c r="A3096" t="s">
        <v>160</v>
      </c>
      <c r="B3096" t="s">
        <v>211</v>
      </c>
      <c r="C3096" t="s">
        <v>121</v>
      </c>
      <c r="D3096" t="s">
        <v>301</v>
      </c>
      <c r="E3096">
        <v>1</v>
      </c>
      <c r="F3096">
        <v>0.95</v>
      </c>
      <c r="G3096">
        <v>0.95</v>
      </c>
    </row>
    <row r="3097" spans="1:7" x14ac:dyDescent="0.2">
      <c r="A3097" t="s">
        <v>160</v>
      </c>
      <c r="B3097" t="s">
        <v>211</v>
      </c>
      <c r="C3097" t="s">
        <v>122</v>
      </c>
      <c r="D3097" t="s">
        <v>302</v>
      </c>
      <c r="E3097">
        <v>1</v>
      </c>
      <c r="F3097">
        <v>4.2</v>
      </c>
      <c r="G3097">
        <v>4.2</v>
      </c>
    </row>
    <row r="3098" spans="1:7" x14ac:dyDescent="0.2">
      <c r="A3098" t="s">
        <v>160</v>
      </c>
      <c r="B3098" t="s">
        <v>211</v>
      </c>
      <c r="C3098" t="s">
        <v>4</v>
      </c>
      <c r="D3098" t="s">
        <v>304</v>
      </c>
      <c r="E3098">
        <v>1.9</v>
      </c>
      <c r="F3098">
        <v>10.1</v>
      </c>
      <c r="G3098">
        <v>19.190000000000001</v>
      </c>
    </row>
    <row r="3099" spans="1:7" x14ac:dyDescent="0.2">
      <c r="A3099" t="s">
        <v>160</v>
      </c>
      <c r="B3099" t="s">
        <v>211</v>
      </c>
      <c r="C3099" t="s">
        <v>5</v>
      </c>
      <c r="D3099" t="s">
        <v>305</v>
      </c>
      <c r="E3099">
        <v>5.0999999999999996</v>
      </c>
      <c r="F3099">
        <v>11.5</v>
      </c>
      <c r="G3099">
        <v>58.65</v>
      </c>
    </row>
    <row r="3100" spans="1:7" x14ac:dyDescent="0.2">
      <c r="A3100" t="s">
        <v>160</v>
      </c>
      <c r="B3100" t="s">
        <v>211</v>
      </c>
      <c r="C3100" t="s">
        <v>11</v>
      </c>
      <c r="D3100" t="s">
        <v>399</v>
      </c>
      <c r="E3100">
        <v>5.0999999999999996</v>
      </c>
      <c r="F3100">
        <v>11.5</v>
      </c>
      <c r="G3100">
        <v>58.65</v>
      </c>
    </row>
    <row r="3101" spans="1:7" x14ac:dyDescent="0.2">
      <c r="A3101" t="s">
        <v>160</v>
      </c>
      <c r="B3101" t="s">
        <v>211</v>
      </c>
      <c r="C3101" t="s">
        <v>105</v>
      </c>
      <c r="D3101" t="s">
        <v>313</v>
      </c>
      <c r="E3101">
        <v>20</v>
      </c>
      <c r="F3101">
        <v>0.1</v>
      </c>
      <c r="G3101">
        <v>2</v>
      </c>
    </row>
    <row r="3102" spans="1:7" x14ac:dyDescent="0.2">
      <c r="A3102" t="s">
        <v>160</v>
      </c>
      <c r="B3102" t="s">
        <v>211</v>
      </c>
      <c r="C3102" t="s">
        <v>107</v>
      </c>
      <c r="D3102" t="s">
        <v>316</v>
      </c>
      <c r="E3102">
        <v>20</v>
      </c>
      <c r="F3102">
        <v>0.1</v>
      </c>
      <c r="G3102">
        <v>2</v>
      </c>
    </row>
    <row r="3103" spans="1:7" x14ac:dyDescent="0.2">
      <c r="A3103" t="s">
        <v>160</v>
      </c>
      <c r="B3103" t="s">
        <v>211</v>
      </c>
      <c r="C3103" t="s">
        <v>120</v>
      </c>
      <c r="D3103" t="s">
        <v>340</v>
      </c>
      <c r="E3103">
        <v>100</v>
      </c>
      <c r="F3103">
        <v>0.1</v>
      </c>
      <c r="G3103">
        <v>10</v>
      </c>
    </row>
    <row r="3104" spans="1:7" x14ac:dyDescent="0.2">
      <c r="A3104" t="s">
        <v>157</v>
      </c>
      <c r="B3104" t="s">
        <v>195</v>
      </c>
      <c r="C3104" t="s">
        <v>95</v>
      </c>
      <c r="D3104" t="s">
        <v>281</v>
      </c>
      <c r="E3104">
        <v>2</v>
      </c>
      <c r="F3104">
        <v>2</v>
      </c>
      <c r="G3104">
        <v>4</v>
      </c>
    </row>
    <row r="3105" spans="1:7" x14ac:dyDescent="0.2">
      <c r="A3105" t="s">
        <v>157</v>
      </c>
      <c r="B3105" t="s">
        <v>195</v>
      </c>
      <c r="C3105" t="s">
        <v>44</v>
      </c>
      <c r="D3105" t="s">
        <v>324</v>
      </c>
      <c r="E3105">
        <v>1.3</v>
      </c>
      <c r="F3105">
        <v>65</v>
      </c>
      <c r="G3105">
        <v>84.5</v>
      </c>
    </row>
    <row r="3106" spans="1:7" x14ac:dyDescent="0.2">
      <c r="A3106" t="s">
        <v>157</v>
      </c>
      <c r="B3106" t="s">
        <v>195</v>
      </c>
      <c r="C3106" t="s">
        <v>53</v>
      </c>
      <c r="D3106" t="s">
        <v>325</v>
      </c>
      <c r="E3106">
        <v>1</v>
      </c>
      <c r="F3106">
        <v>120</v>
      </c>
      <c r="G3106">
        <v>120</v>
      </c>
    </row>
    <row r="3107" spans="1:7" x14ac:dyDescent="0.2">
      <c r="A3107" t="s">
        <v>157</v>
      </c>
      <c r="B3107" t="s">
        <v>195</v>
      </c>
      <c r="C3107" t="s">
        <v>60</v>
      </c>
      <c r="D3107" t="s">
        <v>337</v>
      </c>
      <c r="E3107">
        <v>0.35</v>
      </c>
      <c r="F3107">
        <v>130</v>
      </c>
      <c r="G3107">
        <v>45.5</v>
      </c>
    </row>
    <row r="3108" spans="1:7" x14ac:dyDescent="0.2">
      <c r="A3108" t="s">
        <v>157</v>
      </c>
      <c r="B3108" t="s">
        <v>195</v>
      </c>
      <c r="C3108" t="s">
        <v>61</v>
      </c>
      <c r="D3108" t="s">
        <v>341</v>
      </c>
      <c r="E3108">
        <v>0.15</v>
      </c>
      <c r="F3108">
        <v>190</v>
      </c>
      <c r="G3108">
        <v>28.5</v>
      </c>
    </row>
    <row r="3109" spans="1:7" x14ac:dyDescent="0.2">
      <c r="A3109" t="s">
        <v>157</v>
      </c>
      <c r="B3109" t="s">
        <v>195</v>
      </c>
      <c r="C3109" t="s">
        <v>62</v>
      </c>
      <c r="D3109" t="s">
        <v>363</v>
      </c>
      <c r="E3109">
        <v>0.6</v>
      </c>
      <c r="F3109">
        <v>190</v>
      </c>
      <c r="G3109">
        <v>114</v>
      </c>
    </row>
    <row r="3110" spans="1:7" x14ac:dyDescent="0.2">
      <c r="A3110" t="s">
        <v>157</v>
      </c>
      <c r="B3110" t="s">
        <v>195</v>
      </c>
      <c r="C3110" t="s">
        <v>69</v>
      </c>
      <c r="D3110" t="s">
        <v>288</v>
      </c>
      <c r="E3110">
        <v>0.15</v>
      </c>
      <c r="F3110">
        <v>190</v>
      </c>
      <c r="G3110">
        <v>28.5</v>
      </c>
    </row>
    <row r="3111" spans="1:7" x14ac:dyDescent="0.2">
      <c r="A3111" t="s">
        <v>157</v>
      </c>
      <c r="B3111" t="s">
        <v>195</v>
      </c>
      <c r="C3111" t="s">
        <v>93</v>
      </c>
      <c r="D3111" t="s">
        <v>327</v>
      </c>
      <c r="E3111">
        <v>0.125</v>
      </c>
      <c r="F3111">
        <v>70</v>
      </c>
      <c r="G3111">
        <v>8.75</v>
      </c>
    </row>
    <row r="3112" spans="1:7" x14ac:dyDescent="0.2">
      <c r="A3112" t="s">
        <v>157</v>
      </c>
      <c r="B3112" t="s">
        <v>195</v>
      </c>
      <c r="C3112" t="s">
        <v>47</v>
      </c>
      <c r="D3112" t="s">
        <v>328</v>
      </c>
      <c r="E3112">
        <v>0.09</v>
      </c>
      <c r="F3112">
        <v>235</v>
      </c>
      <c r="G3112">
        <v>21.15</v>
      </c>
    </row>
    <row r="3113" spans="1:7" x14ac:dyDescent="0.2">
      <c r="A3113" t="s">
        <v>157</v>
      </c>
      <c r="B3113" t="s">
        <v>195</v>
      </c>
      <c r="C3113" t="s">
        <v>49</v>
      </c>
      <c r="D3113" t="s">
        <v>290</v>
      </c>
      <c r="E3113">
        <v>7.4999999999999997E-2</v>
      </c>
      <c r="F3113">
        <v>248</v>
      </c>
      <c r="G3113">
        <v>18.600000000000001</v>
      </c>
    </row>
    <row r="3114" spans="1:7" x14ac:dyDescent="0.2">
      <c r="A3114" t="s">
        <v>157</v>
      </c>
      <c r="B3114" t="s">
        <v>195</v>
      </c>
      <c r="C3114" t="s">
        <v>19</v>
      </c>
      <c r="D3114" t="s">
        <v>329</v>
      </c>
      <c r="E3114">
        <v>2</v>
      </c>
      <c r="F3114">
        <v>2.9</v>
      </c>
      <c r="G3114">
        <v>5.8</v>
      </c>
    </row>
    <row r="3115" spans="1:7" x14ac:dyDescent="0.2">
      <c r="A3115" t="s">
        <v>157</v>
      </c>
      <c r="B3115" t="s">
        <v>195</v>
      </c>
      <c r="C3115" t="s">
        <v>20</v>
      </c>
      <c r="D3115" t="s">
        <v>330</v>
      </c>
      <c r="E3115">
        <v>2</v>
      </c>
      <c r="F3115">
        <v>2.9</v>
      </c>
      <c r="G3115">
        <v>5.8</v>
      </c>
    </row>
    <row r="3116" spans="1:7" x14ac:dyDescent="0.2">
      <c r="A3116" t="s">
        <v>157</v>
      </c>
      <c r="B3116" t="s">
        <v>195</v>
      </c>
      <c r="C3116" t="s">
        <v>23</v>
      </c>
      <c r="D3116" t="s">
        <v>367</v>
      </c>
      <c r="E3116">
        <v>2</v>
      </c>
      <c r="F3116">
        <v>2.5</v>
      </c>
      <c r="G3116">
        <v>5</v>
      </c>
    </row>
    <row r="3117" spans="1:7" x14ac:dyDescent="0.2">
      <c r="A3117" t="s">
        <v>157</v>
      </c>
      <c r="B3117" t="s">
        <v>195</v>
      </c>
      <c r="C3117" t="s">
        <v>26</v>
      </c>
      <c r="D3117" t="s">
        <v>361</v>
      </c>
      <c r="E3117">
        <v>16</v>
      </c>
      <c r="F3117">
        <v>1.5</v>
      </c>
      <c r="G3117">
        <v>24</v>
      </c>
    </row>
    <row r="3118" spans="1:7" x14ac:dyDescent="0.2">
      <c r="A3118" t="s">
        <v>157</v>
      </c>
      <c r="B3118" t="s">
        <v>195</v>
      </c>
      <c r="C3118" t="s">
        <v>29</v>
      </c>
      <c r="D3118" t="s">
        <v>292</v>
      </c>
      <c r="E3118">
        <v>0.35</v>
      </c>
      <c r="F3118">
        <v>27</v>
      </c>
      <c r="G3118">
        <v>9.4499999999999993</v>
      </c>
    </row>
    <row r="3119" spans="1:7" x14ac:dyDescent="0.2">
      <c r="A3119" t="s">
        <v>157</v>
      </c>
      <c r="B3119" t="s">
        <v>195</v>
      </c>
      <c r="C3119" t="s">
        <v>30</v>
      </c>
      <c r="D3119" t="s">
        <v>332</v>
      </c>
      <c r="E3119">
        <v>1</v>
      </c>
      <c r="F3119">
        <v>6</v>
      </c>
      <c r="G3119">
        <v>6</v>
      </c>
    </row>
    <row r="3120" spans="1:7" x14ac:dyDescent="0.2">
      <c r="A3120" t="s">
        <v>157</v>
      </c>
      <c r="B3120" t="s">
        <v>195</v>
      </c>
      <c r="C3120" t="s">
        <v>104</v>
      </c>
      <c r="D3120" t="s">
        <v>343</v>
      </c>
      <c r="E3120">
        <v>1.4999999999999999E-2</v>
      </c>
      <c r="F3120">
        <v>890</v>
      </c>
      <c r="G3120">
        <v>13.35</v>
      </c>
    </row>
    <row r="3121" spans="1:7" x14ac:dyDescent="0.2">
      <c r="A3121" t="s">
        <v>157</v>
      </c>
      <c r="B3121" t="s">
        <v>195</v>
      </c>
      <c r="C3121" t="s">
        <v>121</v>
      </c>
      <c r="D3121" t="s">
        <v>301</v>
      </c>
      <c r="E3121">
        <v>1</v>
      </c>
      <c r="F3121">
        <v>0.95</v>
      </c>
      <c r="G3121">
        <v>0.95</v>
      </c>
    </row>
    <row r="3122" spans="1:7" x14ac:dyDescent="0.2">
      <c r="A3122" t="s">
        <v>157</v>
      </c>
      <c r="B3122" t="s">
        <v>195</v>
      </c>
      <c r="C3122" t="s">
        <v>122</v>
      </c>
      <c r="D3122" t="s">
        <v>302</v>
      </c>
      <c r="E3122">
        <v>1</v>
      </c>
      <c r="F3122">
        <v>4.2</v>
      </c>
      <c r="G3122">
        <v>4.2</v>
      </c>
    </row>
    <row r="3123" spans="1:7" x14ac:dyDescent="0.2">
      <c r="A3123" t="s">
        <v>157</v>
      </c>
      <c r="B3123" t="s">
        <v>195</v>
      </c>
      <c r="C3123" t="s">
        <v>4</v>
      </c>
      <c r="D3123" t="s">
        <v>304</v>
      </c>
      <c r="E3123">
        <v>7</v>
      </c>
      <c r="F3123">
        <v>10.1</v>
      </c>
      <c r="G3123">
        <v>70.7</v>
      </c>
    </row>
    <row r="3124" spans="1:7" x14ac:dyDescent="0.2">
      <c r="A3124" t="s">
        <v>157</v>
      </c>
      <c r="B3124" t="s">
        <v>195</v>
      </c>
      <c r="C3124" t="s">
        <v>5</v>
      </c>
      <c r="D3124" t="s">
        <v>305</v>
      </c>
      <c r="E3124">
        <v>2.7</v>
      </c>
      <c r="F3124">
        <v>11.5</v>
      </c>
      <c r="G3124">
        <v>31.05</v>
      </c>
    </row>
    <row r="3125" spans="1:7" x14ac:dyDescent="0.2">
      <c r="A3125" t="s">
        <v>157</v>
      </c>
      <c r="B3125" t="s">
        <v>195</v>
      </c>
      <c r="C3125" t="s">
        <v>105</v>
      </c>
      <c r="D3125" t="s">
        <v>313</v>
      </c>
      <c r="E3125">
        <v>20</v>
      </c>
      <c r="F3125">
        <v>0.1</v>
      </c>
      <c r="G3125">
        <v>2</v>
      </c>
    </row>
    <row r="3126" spans="1:7" x14ac:dyDescent="0.2">
      <c r="A3126" t="s">
        <v>157</v>
      </c>
      <c r="B3126" t="s">
        <v>195</v>
      </c>
      <c r="C3126" t="s">
        <v>106</v>
      </c>
      <c r="D3126" t="s">
        <v>364</v>
      </c>
      <c r="E3126">
        <v>100</v>
      </c>
      <c r="F3126">
        <v>0.1</v>
      </c>
      <c r="G3126">
        <v>10</v>
      </c>
    </row>
    <row r="3127" spans="1:7" x14ac:dyDescent="0.2">
      <c r="A3127" t="s">
        <v>157</v>
      </c>
      <c r="B3127" t="s">
        <v>195</v>
      </c>
      <c r="C3127" t="s">
        <v>107</v>
      </c>
      <c r="D3127" t="s">
        <v>316</v>
      </c>
      <c r="E3127">
        <v>20</v>
      </c>
      <c r="F3127">
        <v>0.1</v>
      </c>
      <c r="G3127">
        <v>2</v>
      </c>
    </row>
    <row r="3128" spans="1:7" x14ac:dyDescent="0.2">
      <c r="A3128" t="s">
        <v>156</v>
      </c>
      <c r="B3128" t="s">
        <v>209</v>
      </c>
      <c r="C3128" t="s">
        <v>95</v>
      </c>
      <c r="D3128" t="s">
        <v>281</v>
      </c>
      <c r="E3128">
        <v>2</v>
      </c>
      <c r="F3128">
        <v>2</v>
      </c>
      <c r="G3128">
        <v>4</v>
      </c>
    </row>
    <row r="3129" spans="1:7" x14ac:dyDescent="0.2">
      <c r="A3129" t="s">
        <v>156</v>
      </c>
      <c r="B3129" t="s">
        <v>209</v>
      </c>
      <c r="C3129" t="s">
        <v>44</v>
      </c>
      <c r="D3129" t="s">
        <v>324</v>
      </c>
      <c r="E3129">
        <v>1.3</v>
      </c>
      <c r="F3129">
        <v>65</v>
      </c>
      <c r="G3129">
        <v>84.5</v>
      </c>
    </row>
    <row r="3130" spans="1:7" x14ac:dyDescent="0.2">
      <c r="A3130" t="s">
        <v>156</v>
      </c>
      <c r="B3130" t="s">
        <v>209</v>
      </c>
      <c r="C3130" t="s">
        <v>53</v>
      </c>
      <c r="D3130" t="s">
        <v>325</v>
      </c>
      <c r="E3130">
        <v>1</v>
      </c>
      <c r="F3130">
        <v>120</v>
      </c>
      <c r="G3130">
        <v>120</v>
      </c>
    </row>
    <row r="3131" spans="1:7" x14ac:dyDescent="0.2">
      <c r="A3131" t="s">
        <v>156</v>
      </c>
      <c r="B3131" t="s">
        <v>209</v>
      </c>
      <c r="C3131" t="s">
        <v>60</v>
      </c>
      <c r="D3131" t="s">
        <v>337</v>
      </c>
      <c r="E3131">
        <v>0.35</v>
      </c>
      <c r="F3131">
        <v>130</v>
      </c>
      <c r="G3131">
        <v>45.5</v>
      </c>
    </row>
    <row r="3132" spans="1:7" x14ac:dyDescent="0.2">
      <c r="A3132" t="s">
        <v>156</v>
      </c>
      <c r="B3132" t="s">
        <v>209</v>
      </c>
      <c r="C3132" t="s">
        <v>61</v>
      </c>
      <c r="D3132" t="s">
        <v>341</v>
      </c>
      <c r="E3132">
        <v>0.15</v>
      </c>
      <c r="F3132">
        <v>190</v>
      </c>
      <c r="G3132">
        <v>28.5</v>
      </c>
    </row>
    <row r="3133" spans="1:7" x14ac:dyDescent="0.2">
      <c r="A3133" t="s">
        <v>156</v>
      </c>
      <c r="B3133" t="s">
        <v>209</v>
      </c>
      <c r="C3133" t="s">
        <v>63</v>
      </c>
      <c r="D3133" t="s">
        <v>354</v>
      </c>
      <c r="E3133">
        <v>0.6</v>
      </c>
      <c r="F3133">
        <v>190</v>
      </c>
      <c r="G3133">
        <v>114</v>
      </c>
    </row>
    <row r="3134" spans="1:7" x14ac:dyDescent="0.2">
      <c r="A3134" t="s">
        <v>156</v>
      </c>
      <c r="B3134" t="s">
        <v>209</v>
      </c>
      <c r="C3134" t="s">
        <v>69</v>
      </c>
      <c r="D3134" t="s">
        <v>288</v>
      </c>
      <c r="E3134">
        <v>0.15</v>
      </c>
      <c r="F3134">
        <v>190</v>
      </c>
      <c r="G3134">
        <v>28.5</v>
      </c>
    </row>
    <row r="3135" spans="1:7" x14ac:dyDescent="0.2">
      <c r="A3135" t="s">
        <v>156</v>
      </c>
      <c r="B3135" t="s">
        <v>209</v>
      </c>
      <c r="C3135" t="s">
        <v>93</v>
      </c>
      <c r="D3135" t="s">
        <v>327</v>
      </c>
      <c r="E3135">
        <v>0.125</v>
      </c>
      <c r="F3135">
        <v>70</v>
      </c>
      <c r="G3135">
        <v>8.75</v>
      </c>
    </row>
    <row r="3136" spans="1:7" x14ac:dyDescent="0.2">
      <c r="A3136" t="s">
        <v>156</v>
      </c>
      <c r="B3136" t="s">
        <v>209</v>
      </c>
      <c r="C3136" t="s">
        <v>47</v>
      </c>
      <c r="D3136" t="s">
        <v>328</v>
      </c>
      <c r="E3136">
        <v>0.09</v>
      </c>
      <c r="F3136">
        <v>235</v>
      </c>
      <c r="G3136">
        <v>21.15</v>
      </c>
    </row>
    <row r="3137" spans="1:7" x14ac:dyDescent="0.2">
      <c r="A3137" t="s">
        <v>156</v>
      </c>
      <c r="B3137" t="s">
        <v>209</v>
      </c>
      <c r="C3137" t="s">
        <v>49</v>
      </c>
      <c r="D3137" t="s">
        <v>290</v>
      </c>
      <c r="E3137">
        <v>7.4999999999999997E-2</v>
      </c>
      <c r="F3137">
        <v>248</v>
      </c>
      <c r="G3137">
        <v>18.600000000000001</v>
      </c>
    </row>
    <row r="3138" spans="1:7" x14ac:dyDescent="0.2">
      <c r="A3138" t="s">
        <v>156</v>
      </c>
      <c r="B3138" t="s">
        <v>209</v>
      </c>
      <c r="C3138" t="s">
        <v>19</v>
      </c>
      <c r="D3138" t="s">
        <v>329</v>
      </c>
      <c r="E3138">
        <v>2</v>
      </c>
      <c r="F3138">
        <v>2.9</v>
      </c>
      <c r="G3138">
        <v>5.8</v>
      </c>
    </row>
    <row r="3139" spans="1:7" x14ac:dyDescent="0.2">
      <c r="A3139" t="s">
        <v>156</v>
      </c>
      <c r="B3139" t="s">
        <v>209</v>
      </c>
      <c r="C3139" t="s">
        <v>20</v>
      </c>
      <c r="D3139" t="s">
        <v>330</v>
      </c>
      <c r="E3139">
        <v>2</v>
      </c>
      <c r="F3139">
        <v>2.9</v>
      </c>
      <c r="G3139">
        <v>5.8</v>
      </c>
    </row>
    <row r="3140" spans="1:7" x14ac:dyDescent="0.2">
      <c r="A3140" t="s">
        <v>156</v>
      </c>
      <c r="B3140" t="s">
        <v>209</v>
      </c>
      <c r="C3140" t="s">
        <v>23</v>
      </c>
      <c r="D3140" t="s">
        <v>367</v>
      </c>
      <c r="E3140">
        <v>2</v>
      </c>
      <c r="F3140">
        <v>2.5</v>
      </c>
      <c r="G3140">
        <v>5</v>
      </c>
    </row>
    <row r="3141" spans="1:7" x14ac:dyDescent="0.2">
      <c r="A3141" t="s">
        <v>156</v>
      </c>
      <c r="B3141" t="s">
        <v>209</v>
      </c>
      <c r="C3141" t="s">
        <v>26</v>
      </c>
      <c r="D3141" t="s">
        <v>361</v>
      </c>
      <c r="E3141">
        <v>16</v>
      </c>
      <c r="F3141">
        <v>1.5</v>
      </c>
      <c r="G3141">
        <v>24</v>
      </c>
    </row>
    <row r="3142" spans="1:7" x14ac:dyDescent="0.2">
      <c r="A3142" t="s">
        <v>156</v>
      </c>
      <c r="B3142" t="s">
        <v>209</v>
      </c>
      <c r="C3142" t="s">
        <v>29</v>
      </c>
      <c r="D3142" t="s">
        <v>292</v>
      </c>
      <c r="E3142">
        <v>0.35</v>
      </c>
      <c r="F3142">
        <v>27</v>
      </c>
      <c r="G3142">
        <v>9.4499999999999993</v>
      </c>
    </row>
    <row r="3143" spans="1:7" x14ac:dyDescent="0.2">
      <c r="A3143" t="s">
        <v>156</v>
      </c>
      <c r="B3143" t="s">
        <v>209</v>
      </c>
      <c r="C3143" t="s">
        <v>30</v>
      </c>
      <c r="D3143" t="s">
        <v>332</v>
      </c>
      <c r="E3143">
        <v>1</v>
      </c>
      <c r="F3143">
        <v>6</v>
      </c>
      <c r="G3143">
        <v>6</v>
      </c>
    </row>
    <row r="3144" spans="1:7" x14ac:dyDescent="0.2">
      <c r="A3144" t="s">
        <v>156</v>
      </c>
      <c r="B3144" t="s">
        <v>209</v>
      </c>
      <c r="C3144" t="s">
        <v>104</v>
      </c>
      <c r="D3144" t="s">
        <v>343</v>
      </c>
      <c r="E3144">
        <v>1.4999999999999999E-2</v>
      </c>
      <c r="F3144">
        <v>890</v>
      </c>
      <c r="G3144">
        <v>13.35</v>
      </c>
    </row>
    <row r="3145" spans="1:7" x14ac:dyDescent="0.2">
      <c r="A3145" t="s">
        <v>156</v>
      </c>
      <c r="B3145" t="s">
        <v>209</v>
      </c>
      <c r="C3145" t="s">
        <v>121</v>
      </c>
      <c r="D3145" t="s">
        <v>301</v>
      </c>
      <c r="E3145">
        <v>1</v>
      </c>
      <c r="F3145">
        <v>0.95</v>
      </c>
      <c r="G3145">
        <v>0.95</v>
      </c>
    </row>
    <row r="3146" spans="1:7" x14ac:dyDescent="0.2">
      <c r="A3146" t="s">
        <v>156</v>
      </c>
      <c r="B3146" t="s">
        <v>209</v>
      </c>
      <c r="C3146" t="s">
        <v>122</v>
      </c>
      <c r="D3146" t="s">
        <v>302</v>
      </c>
      <c r="E3146">
        <v>1</v>
      </c>
      <c r="F3146">
        <v>4.2</v>
      </c>
      <c r="G3146">
        <v>4.2</v>
      </c>
    </row>
    <row r="3147" spans="1:7" x14ac:dyDescent="0.2">
      <c r="A3147" t="s">
        <v>156</v>
      </c>
      <c r="B3147" t="s">
        <v>209</v>
      </c>
      <c r="C3147" t="s">
        <v>4</v>
      </c>
      <c r="D3147" t="s">
        <v>304</v>
      </c>
      <c r="E3147">
        <v>7</v>
      </c>
      <c r="F3147">
        <v>10.1</v>
      </c>
      <c r="G3147">
        <v>70.7</v>
      </c>
    </row>
    <row r="3148" spans="1:7" x14ac:dyDescent="0.2">
      <c r="A3148" t="s">
        <v>156</v>
      </c>
      <c r="B3148" t="s">
        <v>209</v>
      </c>
      <c r="C3148" t="s">
        <v>5</v>
      </c>
      <c r="D3148" t="s">
        <v>305</v>
      </c>
      <c r="E3148">
        <v>2.7</v>
      </c>
      <c r="F3148">
        <v>11.5</v>
      </c>
      <c r="G3148">
        <v>31.05</v>
      </c>
    </row>
    <row r="3149" spans="1:7" x14ac:dyDescent="0.2">
      <c r="A3149" t="s">
        <v>156</v>
      </c>
      <c r="B3149" t="s">
        <v>209</v>
      </c>
      <c r="C3149" t="s">
        <v>105</v>
      </c>
      <c r="D3149" t="s">
        <v>313</v>
      </c>
      <c r="E3149">
        <v>20</v>
      </c>
      <c r="F3149">
        <v>0.1</v>
      </c>
      <c r="G3149">
        <v>2</v>
      </c>
    </row>
    <row r="3150" spans="1:7" x14ac:dyDescent="0.2">
      <c r="A3150" t="s">
        <v>156</v>
      </c>
      <c r="B3150" t="s">
        <v>209</v>
      </c>
      <c r="C3150" t="s">
        <v>107</v>
      </c>
      <c r="D3150" t="s">
        <v>316</v>
      </c>
      <c r="E3150">
        <v>20</v>
      </c>
      <c r="F3150">
        <v>0.1</v>
      </c>
      <c r="G3150">
        <v>2</v>
      </c>
    </row>
    <row r="3151" spans="1:7" x14ac:dyDescent="0.2">
      <c r="A3151" t="s">
        <v>156</v>
      </c>
      <c r="B3151" t="s">
        <v>209</v>
      </c>
      <c r="C3151" t="s">
        <v>119</v>
      </c>
      <c r="D3151" t="s">
        <v>334</v>
      </c>
      <c r="E3151">
        <v>100</v>
      </c>
      <c r="F3151">
        <v>0.1</v>
      </c>
      <c r="G3151">
        <v>10</v>
      </c>
    </row>
    <row r="3152" spans="1:7" x14ac:dyDescent="0.2">
      <c r="A3152" t="s">
        <v>155</v>
      </c>
      <c r="B3152" t="s">
        <v>198</v>
      </c>
      <c r="C3152" t="s">
        <v>95</v>
      </c>
      <c r="D3152" t="s">
        <v>281</v>
      </c>
      <c r="E3152">
        <v>2</v>
      </c>
      <c r="F3152">
        <v>2</v>
      </c>
      <c r="G3152">
        <v>4</v>
      </c>
    </row>
    <row r="3153" spans="1:7" x14ac:dyDescent="0.2">
      <c r="A3153" t="s">
        <v>155</v>
      </c>
      <c r="B3153" t="s">
        <v>198</v>
      </c>
      <c r="C3153" t="s">
        <v>44</v>
      </c>
      <c r="D3153" t="s">
        <v>324</v>
      </c>
      <c r="E3153">
        <v>1.3</v>
      </c>
      <c r="F3153">
        <v>65</v>
      </c>
      <c r="G3153">
        <v>84.5</v>
      </c>
    </row>
    <row r="3154" spans="1:7" x14ac:dyDescent="0.2">
      <c r="A3154" t="s">
        <v>155</v>
      </c>
      <c r="B3154" t="s">
        <v>198</v>
      </c>
      <c r="C3154" t="s">
        <v>53</v>
      </c>
      <c r="D3154" t="s">
        <v>325</v>
      </c>
      <c r="E3154">
        <v>1</v>
      </c>
      <c r="F3154">
        <v>120</v>
      </c>
      <c r="G3154">
        <v>120</v>
      </c>
    </row>
    <row r="3155" spans="1:7" x14ac:dyDescent="0.2">
      <c r="A3155" t="s">
        <v>155</v>
      </c>
      <c r="B3155" t="s">
        <v>198</v>
      </c>
      <c r="C3155" t="s">
        <v>60</v>
      </c>
      <c r="D3155" t="s">
        <v>337</v>
      </c>
      <c r="E3155">
        <v>0.35</v>
      </c>
      <c r="F3155">
        <v>130</v>
      </c>
      <c r="G3155">
        <v>45.5</v>
      </c>
    </row>
    <row r="3156" spans="1:7" x14ac:dyDescent="0.2">
      <c r="A3156" t="s">
        <v>155</v>
      </c>
      <c r="B3156" t="s">
        <v>198</v>
      </c>
      <c r="C3156" t="s">
        <v>61</v>
      </c>
      <c r="D3156" t="s">
        <v>341</v>
      </c>
      <c r="E3156">
        <v>0.15</v>
      </c>
      <c r="F3156">
        <v>190</v>
      </c>
      <c r="G3156">
        <v>28.5</v>
      </c>
    </row>
    <row r="3157" spans="1:7" x14ac:dyDescent="0.2">
      <c r="A3157" t="s">
        <v>155</v>
      </c>
      <c r="B3157" t="s">
        <v>198</v>
      </c>
      <c r="C3157" t="s">
        <v>67</v>
      </c>
      <c r="D3157" t="s">
        <v>355</v>
      </c>
      <c r="E3157">
        <v>0.6</v>
      </c>
      <c r="F3157">
        <v>190</v>
      </c>
      <c r="G3157">
        <v>114</v>
      </c>
    </row>
    <row r="3158" spans="1:7" x14ac:dyDescent="0.2">
      <c r="A3158" t="s">
        <v>155</v>
      </c>
      <c r="B3158" t="s">
        <v>198</v>
      </c>
      <c r="C3158" t="s">
        <v>69</v>
      </c>
      <c r="D3158" t="s">
        <v>288</v>
      </c>
      <c r="E3158">
        <v>0.15</v>
      </c>
      <c r="F3158">
        <v>190</v>
      </c>
      <c r="G3158">
        <v>28.5</v>
      </c>
    </row>
    <row r="3159" spans="1:7" x14ac:dyDescent="0.2">
      <c r="A3159" t="s">
        <v>155</v>
      </c>
      <c r="B3159" t="s">
        <v>198</v>
      </c>
      <c r="C3159" t="s">
        <v>93</v>
      </c>
      <c r="D3159" t="s">
        <v>327</v>
      </c>
      <c r="E3159">
        <v>0.125</v>
      </c>
      <c r="F3159">
        <v>70</v>
      </c>
      <c r="G3159">
        <v>8.75</v>
      </c>
    </row>
    <row r="3160" spans="1:7" x14ac:dyDescent="0.2">
      <c r="A3160" t="s">
        <v>155</v>
      </c>
      <c r="B3160" t="s">
        <v>198</v>
      </c>
      <c r="C3160" t="s">
        <v>47</v>
      </c>
      <c r="D3160" t="s">
        <v>328</v>
      </c>
      <c r="E3160">
        <v>0.09</v>
      </c>
      <c r="F3160">
        <v>235</v>
      </c>
      <c r="G3160">
        <v>21.15</v>
      </c>
    </row>
    <row r="3161" spans="1:7" x14ac:dyDescent="0.2">
      <c r="A3161" t="s">
        <v>155</v>
      </c>
      <c r="B3161" t="s">
        <v>198</v>
      </c>
      <c r="C3161" t="s">
        <v>49</v>
      </c>
      <c r="D3161" t="s">
        <v>290</v>
      </c>
      <c r="E3161">
        <v>7.4999999999999997E-2</v>
      </c>
      <c r="F3161">
        <v>248</v>
      </c>
      <c r="G3161">
        <v>18.600000000000001</v>
      </c>
    </row>
    <row r="3162" spans="1:7" x14ac:dyDescent="0.2">
      <c r="A3162" t="s">
        <v>155</v>
      </c>
      <c r="B3162" t="s">
        <v>198</v>
      </c>
      <c r="C3162" t="s">
        <v>19</v>
      </c>
      <c r="D3162" t="s">
        <v>329</v>
      </c>
      <c r="E3162">
        <v>2</v>
      </c>
      <c r="F3162">
        <v>2.9</v>
      </c>
      <c r="G3162">
        <v>5.8</v>
      </c>
    </row>
    <row r="3163" spans="1:7" x14ac:dyDescent="0.2">
      <c r="A3163" t="s">
        <v>155</v>
      </c>
      <c r="B3163" t="s">
        <v>198</v>
      </c>
      <c r="C3163" t="s">
        <v>20</v>
      </c>
      <c r="D3163" t="s">
        <v>330</v>
      </c>
      <c r="E3163">
        <v>2</v>
      </c>
      <c r="F3163">
        <v>2.9</v>
      </c>
      <c r="G3163">
        <v>5.8</v>
      </c>
    </row>
    <row r="3164" spans="1:7" x14ac:dyDescent="0.2">
      <c r="A3164" t="s">
        <v>155</v>
      </c>
      <c r="B3164" t="s">
        <v>198</v>
      </c>
      <c r="C3164" t="s">
        <v>23</v>
      </c>
      <c r="D3164" t="s">
        <v>367</v>
      </c>
      <c r="E3164">
        <v>2</v>
      </c>
      <c r="F3164">
        <v>2.5</v>
      </c>
      <c r="G3164">
        <v>5</v>
      </c>
    </row>
    <row r="3165" spans="1:7" x14ac:dyDescent="0.2">
      <c r="A3165" t="s">
        <v>155</v>
      </c>
      <c r="B3165" t="s">
        <v>198</v>
      </c>
      <c r="C3165" t="s">
        <v>26</v>
      </c>
      <c r="D3165" t="s">
        <v>361</v>
      </c>
      <c r="E3165">
        <v>16</v>
      </c>
      <c r="F3165">
        <v>1.5</v>
      </c>
      <c r="G3165">
        <v>24</v>
      </c>
    </row>
    <row r="3166" spans="1:7" x14ac:dyDescent="0.2">
      <c r="A3166" t="s">
        <v>155</v>
      </c>
      <c r="B3166" t="s">
        <v>198</v>
      </c>
      <c r="C3166" t="s">
        <v>29</v>
      </c>
      <c r="D3166" t="s">
        <v>292</v>
      </c>
      <c r="E3166">
        <v>0.35</v>
      </c>
      <c r="F3166">
        <v>27</v>
      </c>
      <c r="G3166">
        <v>9.4499999999999993</v>
      </c>
    </row>
    <row r="3167" spans="1:7" x14ac:dyDescent="0.2">
      <c r="A3167" t="s">
        <v>155</v>
      </c>
      <c r="B3167" t="s">
        <v>198</v>
      </c>
      <c r="C3167" t="s">
        <v>30</v>
      </c>
      <c r="D3167" t="s">
        <v>332</v>
      </c>
      <c r="E3167">
        <v>1</v>
      </c>
      <c r="F3167">
        <v>6</v>
      </c>
      <c r="G3167">
        <v>6</v>
      </c>
    </row>
    <row r="3168" spans="1:7" x14ac:dyDescent="0.2">
      <c r="A3168" t="s">
        <v>155</v>
      </c>
      <c r="B3168" t="s">
        <v>198</v>
      </c>
      <c r="C3168" t="s">
        <v>104</v>
      </c>
      <c r="D3168" t="s">
        <v>343</v>
      </c>
      <c r="E3168">
        <v>1.4999999999999999E-2</v>
      </c>
      <c r="F3168">
        <v>890</v>
      </c>
      <c r="G3168">
        <v>13.35</v>
      </c>
    </row>
    <row r="3169" spans="1:7" x14ac:dyDescent="0.2">
      <c r="A3169" t="s">
        <v>155</v>
      </c>
      <c r="B3169" t="s">
        <v>198</v>
      </c>
      <c r="C3169" t="s">
        <v>121</v>
      </c>
      <c r="D3169" t="s">
        <v>301</v>
      </c>
      <c r="E3169">
        <v>1</v>
      </c>
      <c r="F3169">
        <v>0.95</v>
      </c>
      <c r="G3169">
        <v>0.95</v>
      </c>
    </row>
    <row r="3170" spans="1:7" x14ac:dyDescent="0.2">
      <c r="A3170" t="s">
        <v>155</v>
      </c>
      <c r="B3170" t="s">
        <v>198</v>
      </c>
      <c r="C3170" t="s">
        <v>122</v>
      </c>
      <c r="D3170" t="s">
        <v>302</v>
      </c>
      <c r="E3170">
        <v>1</v>
      </c>
      <c r="F3170">
        <v>4.2</v>
      </c>
      <c r="G3170">
        <v>4.2</v>
      </c>
    </row>
    <row r="3171" spans="1:7" x14ac:dyDescent="0.2">
      <c r="A3171" t="s">
        <v>155</v>
      </c>
      <c r="B3171" t="s">
        <v>198</v>
      </c>
      <c r="C3171" t="s">
        <v>4</v>
      </c>
      <c r="D3171" t="s">
        <v>304</v>
      </c>
      <c r="E3171">
        <v>7</v>
      </c>
      <c r="F3171">
        <v>10.1</v>
      </c>
      <c r="G3171">
        <v>70.7</v>
      </c>
    </row>
    <row r="3172" spans="1:7" x14ac:dyDescent="0.2">
      <c r="A3172" t="s">
        <v>155</v>
      </c>
      <c r="B3172" t="s">
        <v>198</v>
      </c>
      <c r="C3172" t="s">
        <v>5</v>
      </c>
      <c r="D3172" t="s">
        <v>305</v>
      </c>
      <c r="E3172">
        <v>2.7</v>
      </c>
      <c r="F3172">
        <v>11.5</v>
      </c>
      <c r="G3172">
        <v>31.05</v>
      </c>
    </row>
    <row r="3173" spans="1:7" x14ac:dyDescent="0.2">
      <c r="A3173" t="s">
        <v>155</v>
      </c>
      <c r="B3173" t="s">
        <v>198</v>
      </c>
      <c r="C3173" t="s">
        <v>105</v>
      </c>
      <c r="D3173" t="s">
        <v>313</v>
      </c>
      <c r="E3173">
        <v>20</v>
      </c>
      <c r="F3173">
        <v>0.1</v>
      </c>
      <c r="G3173">
        <v>2</v>
      </c>
    </row>
    <row r="3174" spans="1:7" x14ac:dyDescent="0.2">
      <c r="A3174" t="s">
        <v>155</v>
      </c>
      <c r="B3174" t="s">
        <v>198</v>
      </c>
      <c r="C3174" t="s">
        <v>107</v>
      </c>
      <c r="D3174" t="s">
        <v>316</v>
      </c>
      <c r="E3174">
        <v>20</v>
      </c>
      <c r="F3174">
        <v>0.1</v>
      </c>
      <c r="G3174">
        <v>2</v>
      </c>
    </row>
    <row r="3175" spans="1:7" x14ac:dyDescent="0.2">
      <c r="A3175" t="s">
        <v>155</v>
      </c>
      <c r="B3175" t="s">
        <v>198</v>
      </c>
      <c r="C3175" t="s">
        <v>118</v>
      </c>
      <c r="D3175" t="s">
        <v>356</v>
      </c>
      <c r="E3175">
        <v>100</v>
      </c>
      <c r="F3175">
        <v>0.1</v>
      </c>
      <c r="G3175">
        <v>10</v>
      </c>
    </row>
    <row r="3176" spans="1:7" x14ac:dyDescent="0.2">
      <c r="A3176" t="s">
        <v>161</v>
      </c>
      <c r="B3176" t="s">
        <v>212</v>
      </c>
      <c r="C3176" t="s">
        <v>95</v>
      </c>
      <c r="D3176" t="s">
        <v>281</v>
      </c>
      <c r="E3176">
        <v>2</v>
      </c>
      <c r="F3176">
        <v>2</v>
      </c>
      <c r="G3176">
        <v>4</v>
      </c>
    </row>
    <row r="3177" spans="1:7" x14ac:dyDescent="0.2">
      <c r="A3177" t="s">
        <v>161</v>
      </c>
      <c r="B3177" t="s">
        <v>212</v>
      </c>
      <c r="C3177" t="s">
        <v>44</v>
      </c>
      <c r="D3177" t="s">
        <v>324</v>
      </c>
      <c r="E3177">
        <v>1.3</v>
      </c>
      <c r="F3177">
        <v>65</v>
      </c>
      <c r="G3177">
        <v>84.5</v>
      </c>
    </row>
    <row r="3178" spans="1:7" x14ac:dyDescent="0.2">
      <c r="A3178" t="s">
        <v>161</v>
      </c>
      <c r="B3178" t="s">
        <v>212</v>
      </c>
      <c r="C3178" t="s">
        <v>53</v>
      </c>
      <c r="D3178" t="s">
        <v>325</v>
      </c>
      <c r="E3178">
        <v>1</v>
      </c>
      <c r="F3178">
        <v>120</v>
      </c>
      <c r="G3178">
        <v>120</v>
      </c>
    </row>
    <row r="3179" spans="1:7" x14ac:dyDescent="0.2">
      <c r="A3179" t="s">
        <v>161</v>
      </c>
      <c r="B3179" t="s">
        <v>212</v>
      </c>
      <c r="C3179" t="s">
        <v>60</v>
      </c>
      <c r="D3179" t="s">
        <v>337</v>
      </c>
      <c r="E3179">
        <v>0.35</v>
      </c>
      <c r="F3179">
        <v>130</v>
      </c>
      <c r="G3179">
        <v>45.5</v>
      </c>
    </row>
    <row r="3180" spans="1:7" x14ac:dyDescent="0.2">
      <c r="A3180" t="s">
        <v>161</v>
      </c>
      <c r="B3180" t="s">
        <v>212</v>
      </c>
      <c r="C3180" t="s">
        <v>61</v>
      </c>
      <c r="D3180" t="s">
        <v>341</v>
      </c>
      <c r="E3180">
        <v>0.15</v>
      </c>
      <c r="F3180">
        <v>190</v>
      </c>
      <c r="G3180">
        <v>28.5</v>
      </c>
    </row>
    <row r="3181" spans="1:7" x14ac:dyDescent="0.2">
      <c r="A3181" t="s">
        <v>161</v>
      </c>
      <c r="B3181" t="s">
        <v>212</v>
      </c>
      <c r="C3181" t="s">
        <v>69</v>
      </c>
      <c r="D3181" t="s">
        <v>288</v>
      </c>
      <c r="E3181">
        <v>0.15</v>
      </c>
      <c r="F3181">
        <v>190</v>
      </c>
      <c r="G3181">
        <v>28.5</v>
      </c>
    </row>
    <row r="3182" spans="1:7" x14ac:dyDescent="0.2">
      <c r="A3182" t="s">
        <v>161</v>
      </c>
      <c r="B3182" t="s">
        <v>212</v>
      </c>
      <c r="C3182" t="s">
        <v>74</v>
      </c>
      <c r="D3182" t="s">
        <v>400</v>
      </c>
      <c r="E3182">
        <v>0.6</v>
      </c>
      <c r="F3182">
        <v>145</v>
      </c>
      <c r="G3182">
        <v>87</v>
      </c>
    </row>
    <row r="3183" spans="1:7" x14ac:dyDescent="0.2">
      <c r="A3183" t="s">
        <v>161</v>
      </c>
      <c r="B3183" t="s">
        <v>212</v>
      </c>
      <c r="C3183" t="s">
        <v>93</v>
      </c>
      <c r="D3183" t="s">
        <v>327</v>
      </c>
      <c r="E3183">
        <v>0.125</v>
      </c>
      <c r="F3183">
        <v>70</v>
      </c>
      <c r="G3183">
        <v>8.75</v>
      </c>
    </row>
    <row r="3184" spans="1:7" x14ac:dyDescent="0.2">
      <c r="A3184" t="s">
        <v>161</v>
      </c>
      <c r="B3184" t="s">
        <v>212</v>
      </c>
      <c r="C3184" t="s">
        <v>47</v>
      </c>
      <c r="D3184" t="s">
        <v>328</v>
      </c>
      <c r="E3184">
        <v>0.09</v>
      </c>
      <c r="F3184">
        <v>235</v>
      </c>
      <c r="G3184">
        <v>21.15</v>
      </c>
    </row>
    <row r="3185" spans="1:7" x14ac:dyDescent="0.2">
      <c r="A3185" t="s">
        <v>161</v>
      </c>
      <c r="B3185" t="s">
        <v>212</v>
      </c>
      <c r="C3185" t="s">
        <v>49</v>
      </c>
      <c r="D3185" t="s">
        <v>290</v>
      </c>
      <c r="E3185">
        <v>7.4999999999999997E-2</v>
      </c>
      <c r="F3185">
        <v>248</v>
      </c>
      <c r="G3185">
        <v>18.600000000000001</v>
      </c>
    </row>
    <row r="3186" spans="1:7" x14ac:dyDescent="0.2">
      <c r="A3186" t="s">
        <v>161</v>
      </c>
      <c r="B3186" t="s">
        <v>212</v>
      </c>
      <c r="C3186" t="s">
        <v>19</v>
      </c>
      <c r="D3186" t="s">
        <v>329</v>
      </c>
      <c r="E3186">
        <v>2</v>
      </c>
      <c r="F3186">
        <v>2.9</v>
      </c>
      <c r="G3186">
        <v>5.8</v>
      </c>
    </row>
    <row r="3187" spans="1:7" x14ac:dyDescent="0.2">
      <c r="A3187" t="s">
        <v>161</v>
      </c>
      <c r="B3187" t="s">
        <v>212</v>
      </c>
      <c r="C3187" t="s">
        <v>20</v>
      </c>
      <c r="D3187" t="s">
        <v>330</v>
      </c>
      <c r="E3187">
        <v>2</v>
      </c>
      <c r="F3187">
        <v>2.9</v>
      </c>
      <c r="G3187">
        <v>5.8</v>
      </c>
    </row>
    <row r="3188" spans="1:7" x14ac:dyDescent="0.2">
      <c r="A3188" t="s">
        <v>161</v>
      </c>
      <c r="B3188" t="s">
        <v>212</v>
      </c>
      <c r="C3188" t="s">
        <v>23</v>
      </c>
      <c r="D3188" t="s">
        <v>367</v>
      </c>
      <c r="E3188">
        <v>2</v>
      </c>
      <c r="F3188">
        <v>2.5</v>
      </c>
      <c r="G3188">
        <v>5</v>
      </c>
    </row>
    <row r="3189" spans="1:7" x14ac:dyDescent="0.2">
      <c r="A3189" t="s">
        <v>161</v>
      </c>
      <c r="B3189" t="s">
        <v>212</v>
      </c>
      <c r="C3189" t="s">
        <v>26</v>
      </c>
      <c r="D3189" t="s">
        <v>361</v>
      </c>
      <c r="E3189">
        <v>16</v>
      </c>
      <c r="F3189">
        <v>1.5</v>
      </c>
      <c r="G3189">
        <v>24</v>
      </c>
    </row>
    <row r="3190" spans="1:7" x14ac:dyDescent="0.2">
      <c r="A3190" t="s">
        <v>161</v>
      </c>
      <c r="B3190" t="s">
        <v>212</v>
      </c>
      <c r="C3190" t="s">
        <v>29</v>
      </c>
      <c r="D3190" t="s">
        <v>292</v>
      </c>
      <c r="E3190">
        <v>0.35</v>
      </c>
      <c r="F3190">
        <v>27</v>
      </c>
      <c r="G3190">
        <v>9.4499999999999993</v>
      </c>
    </row>
    <row r="3191" spans="1:7" x14ac:dyDescent="0.2">
      <c r="A3191" t="s">
        <v>161</v>
      </c>
      <c r="B3191" t="s">
        <v>212</v>
      </c>
      <c r="C3191" t="s">
        <v>30</v>
      </c>
      <c r="D3191" t="s">
        <v>332</v>
      </c>
      <c r="E3191">
        <v>1</v>
      </c>
      <c r="F3191">
        <v>6</v>
      </c>
      <c r="G3191">
        <v>6</v>
      </c>
    </row>
    <row r="3192" spans="1:7" x14ac:dyDescent="0.2">
      <c r="A3192" t="s">
        <v>161</v>
      </c>
      <c r="B3192" t="s">
        <v>212</v>
      </c>
      <c r="C3192" t="s">
        <v>104</v>
      </c>
      <c r="D3192" t="s">
        <v>343</v>
      </c>
      <c r="E3192">
        <v>1.4999999999999999E-2</v>
      </c>
      <c r="F3192">
        <v>890</v>
      </c>
      <c r="G3192">
        <v>13.35</v>
      </c>
    </row>
    <row r="3193" spans="1:7" x14ac:dyDescent="0.2">
      <c r="A3193" t="s">
        <v>161</v>
      </c>
      <c r="B3193" t="s">
        <v>212</v>
      </c>
      <c r="C3193" t="s">
        <v>121</v>
      </c>
      <c r="D3193" t="s">
        <v>301</v>
      </c>
      <c r="E3193">
        <v>1</v>
      </c>
      <c r="F3193">
        <v>0.95</v>
      </c>
      <c r="G3193">
        <v>0.95</v>
      </c>
    </row>
    <row r="3194" spans="1:7" x14ac:dyDescent="0.2">
      <c r="A3194" t="s">
        <v>161</v>
      </c>
      <c r="B3194" t="s">
        <v>212</v>
      </c>
      <c r="C3194" t="s">
        <v>122</v>
      </c>
      <c r="D3194" t="s">
        <v>302</v>
      </c>
      <c r="E3194">
        <v>1</v>
      </c>
      <c r="F3194">
        <v>4.2</v>
      </c>
      <c r="G3194">
        <v>4.2</v>
      </c>
    </row>
    <row r="3195" spans="1:7" x14ac:dyDescent="0.2">
      <c r="A3195" t="s">
        <v>161</v>
      </c>
      <c r="B3195" t="s">
        <v>212</v>
      </c>
      <c r="C3195" t="s">
        <v>4</v>
      </c>
      <c r="D3195" t="s">
        <v>304</v>
      </c>
      <c r="E3195">
        <v>7</v>
      </c>
      <c r="F3195">
        <v>10.1</v>
      </c>
      <c r="G3195">
        <v>70.7</v>
      </c>
    </row>
    <row r="3196" spans="1:7" x14ac:dyDescent="0.2">
      <c r="A3196" t="s">
        <v>161</v>
      </c>
      <c r="B3196" t="s">
        <v>212</v>
      </c>
      <c r="C3196" t="s">
        <v>5</v>
      </c>
      <c r="D3196" t="s">
        <v>305</v>
      </c>
      <c r="E3196">
        <v>2.7</v>
      </c>
      <c r="F3196">
        <v>11.5</v>
      </c>
      <c r="G3196">
        <v>31.05</v>
      </c>
    </row>
    <row r="3197" spans="1:7" x14ac:dyDescent="0.2">
      <c r="A3197" t="s">
        <v>161</v>
      </c>
      <c r="B3197" t="s">
        <v>212</v>
      </c>
      <c r="C3197" t="s">
        <v>105</v>
      </c>
      <c r="D3197" t="s">
        <v>313</v>
      </c>
      <c r="E3197">
        <v>20</v>
      </c>
      <c r="F3197">
        <v>0.1</v>
      </c>
      <c r="G3197">
        <v>2</v>
      </c>
    </row>
    <row r="3198" spans="1:7" x14ac:dyDescent="0.2">
      <c r="A3198" t="s">
        <v>161</v>
      </c>
      <c r="B3198" t="s">
        <v>212</v>
      </c>
      <c r="C3198" t="s">
        <v>107</v>
      </c>
      <c r="D3198" t="s">
        <v>316</v>
      </c>
      <c r="E3198">
        <v>20</v>
      </c>
      <c r="F3198">
        <v>0.1</v>
      </c>
      <c r="G3198">
        <v>2</v>
      </c>
    </row>
    <row r="3199" spans="1:7" x14ac:dyDescent="0.2">
      <c r="A3199" t="s">
        <v>161</v>
      </c>
      <c r="B3199" t="s">
        <v>212</v>
      </c>
      <c r="C3199" t="s">
        <v>111</v>
      </c>
      <c r="D3199" t="s">
        <v>320</v>
      </c>
      <c r="E3199">
        <v>100</v>
      </c>
      <c r="F3199">
        <v>0.1</v>
      </c>
      <c r="G3199">
        <v>10</v>
      </c>
    </row>
    <row r="3200" spans="1:7" x14ac:dyDescent="0.2">
      <c r="A3200" t="s">
        <v>972</v>
      </c>
      <c r="B3200" t="s">
        <v>207</v>
      </c>
      <c r="C3200" t="s">
        <v>94</v>
      </c>
      <c r="D3200" t="s">
        <v>280</v>
      </c>
      <c r="E3200">
        <v>1</v>
      </c>
      <c r="F3200">
        <v>3.5</v>
      </c>
      <c r="G3200">
        <v>3.5</v>
      </c>
    </row>
    <row r="3201" spans="1:7" x14ac:dyDescent="0.2">
      <c r="A3201" t="s">
        <v>972</v>
      </c>
      <c r="B3201" t="s">
        <v>207</v>
      </c>
      <c r="C3201" t="s">
        <v>95</v>
      </c>
      <c r="D3201" t="s">
        <v>281</v>
      </c>
      <c r="E3201">
        <v>2</v>
      </c>
      <c r="F3201">
        <v>2</v>
      </c>
      <c r="G3201">
        <v>4</v>
      </c>
    </row>
    <row r="3202" spans="1:7" x14ac:dyDescent="0.2">
      <c r="A3202" t="s">
        <v>972</v>
      </c>
      <c r="B3202" t="s">
        <v>207</v>
      </c>
      <c r="C3202" t="s">
        <v>50</v>
      </c>
      <c r="D3202" t="s">
        <v>357</v>
      </c>
      <c r="E3202">
        <v>0.2</v>
      </c>
      <c r="F3202">
        <v>151</v>
      </c>
      <c r="G3202">
        <v>30.2</v>
      </c>
    </row>
    <row r="3203" spans="1:7" x14ac:dyDescent="0.2">
      <c r="A3203" t="s">
        <v>972</v>
      </c>
      <c r="B3203" t="s">
        <v>207</v>
      </c>
      <c r="C3203" t="s">
        <v>462</v>
      </c>
      <c r="D3203" t="s">
        <v>463</v>
      </c>
      <c r="E3203">
        <v>0.22</v>
      </c>
      <c r="F3203">
        <v>90</v>
      </c>
      <c r="G3203">
        <v>19.8</v>
      </c>
    </row>
    <row r="3204" spans="1:7" x14ac:dyDescent="0.2">
      <c r="A3204" t="s">
        <v>972</v>
      </c>
      <c r="B3204" t="s">
        <v>207</v>
      </c>
      <c r="C3204" t="s">
        <v>470</v>
      </c>
      <c r="D3204" t="s">
        <v>471</v>
      </c>
      <c r="E3204">
        <v>1.45</v>
      </c>
      <c r="F3204">
        <v>90</v>
      </c>
      <c r="G3204">
        <v>130.5</v>
      </c>
    </row>
    <row r="3205" spans="1:7" x14ac:dyDescent="0.2">
      <c r="A3205" t="s">
        <v>972</v>
      </c>
      <c r="B3205" t="s">
        <v>207</v>
      </c>
      <c r="C3205" t="s">
        <v>60</v>
      </c>
      <c r="D3205" t="s">
        <v>337</v>
      </c>
      <c r="E3205">
        <v>0.02</v>
      </c>
      <c r="F3205">
        <v>130</v>
      </c>
      <c r="G3205">
        <v>2.6</v>
      </c>
    </row>
    <row r="3206" spans="1:7" x14ac:dyDescent="0.2">
      <c r="A3206" t="s">
        <v>972</v>
      </c>
      <c r="B3206" t="s">
        <v>207</v>
      </c>
      <c r="C3206" t="s">
        <v>69</v>
      </c>
      <c r="D3206" t="s">
        <v>288</v>
      </c>
      <c r="E3206">
        <v>0.25</v>
      </c>
      <c r="F3206">
        <v>190</v>
      </c>
      <c r="G3206">
        <v>47.5</v>
      </c>
    </row>
    <row r="3207" spans="1:7" x14ac:dyDescent="0.2">
      <c r="A3207" t="s">
        <v>972</v>
      </c>
      <c r="B3207" t="s">
        <v>207</v>
      </c>
      <c r="C3207" t="s">
        <v>550</v>
      </c>
      <c r="D3207" t="s">
        <v>551</v>
      </c>
      <c r="E3207">
        <v>0.2</v>
      </c>
      <c r="F3207">
        <v>410</v>
      </c>
      <c r="G3207">
        <v>82</v>
      </c>
    </row>
    <row r="3208" spans="1:7" x14ac:dyDescent="0.2">
      <c r="A3208" t="s">
        <v>972</v>
      </c>
      <c r="B3208" t="s">
        <v>207</v>
      </c>
      <c r="C3208" t="s">
        <v>554</v>
      </c>
      <c r="D3208" t="s">
        <v>555</v>
      </c>
      <c r="E3208">
        <v>1</v>
      </c>
      <c r="F3208">
        <v>340</v>
      </c>
      <c r="G3208">
        <v>340</v>
      </c>
    </row>
    <row r="3209" spans="1:7" x14ac:dyDescent="0.2">
      <c r="A3209" t="s">
        <v>972</v>
      </c>
      <c r="B3209" t="s">
        <v>207</v>
      </c>
      <c r="C3209" t="s">
        <v>48</v>
      </c>
      <c r="D3209" t="s">
        <v>359</v>
      </c>
      <c r="E3209">
        <v>7.4999999999999997E-2</v>
      </c>
      <c r="F3209">
        <v>412</v>
      </c>
      <c r="G3209">
        <v>30.9</v>
      </c>
    </row>
    <row r="3210" spans="1:7" x14ac:dyDescent="0.2">
      <c r="A3210" t="s">
        <v>972</v>
      </c>
      <c r="B3210" t="s">
        <v>207</v>
      </c>
      <c r="C3210" t="s">
        <v>49</v>
      </c>
      <c r="D3210" t="s">
        <v>290</v>
      </c>
      <c r="E3210">
        <v>0.1</v>
      </c>
      <c r="F3210">
        <v>248</v>
      </c>
      <c r="G3210">
        <v>24.8</v>
      </c>
    </row>
    <row r="3211" spans="1:7" x14ac:dyDescent="0.2">
      <c r="A3211" t="s">
        <v>972</v>
      </c>
      <c r="B3211" t="s">
        <v>207</v>
      </c>
      <c r="C3211" t="s">
        <v>1036</v>
      </c>
      <c r="D3211" t="s">
        <v>1037</v>
      </c>
      <c r="E3211">
        <v>0.06</v>
      </c>
      <c r="F3211">
        <v>55</v>
      </c>
      <c r="G3211">
        <v>3.3</v>
      </c>
    </row>
    <row r="3212" spans="1:7" x14ac:dyDescent="0.2">
      <c r="A3212" t="s">
        <v>972</v>
      </c>
      <c r="B3212" t="s">
        <v>207</v>
      </c>
      <c r="C3212" t="s">
        <v>22</v>
      </c>
      <c r="D3212" t="s">
        <v>331</v>
      </c>
      <c r="E3212">
        <v>4</v>
      </c>
      <c r="F3212">
        <v>2.5</v>
      </c>
      <c r="G3212">
        <v>10</v>
      </c>
    </row>
    <row r="3213" spans="1:7" x14ac:dyDescent="0.2">
      <c r="A3213" t="s">
        <v>972</v>
      </c>
      <c r="B3213" t="s">
        <v>207</v>
      </c>
      <c r="C3213" t="s">
        <v>23</v>
      </c>
      <c r="D3213" t="s">
        <v>367</v>
      </c>
      <c r="E3213">
        <v>4</v>
      </c>
      <c r="F3213">
        <v>2.5</v>
      </c>
      <c r="G3213">
        <v>10</v>
      </c>
    </row>
    <row r="3214" spans="1:7" x14ac:dyDescent="0.2">
      <c r="A3214" t="s">
        <v>972</v>
      </c>
      <c r="B3214" t="s">
        <v>207</v>
      </c>
      <c r="C3214" t="s">
        <v>26</v>
      </c>
      <c r="D3214" t="s">
        <v>361</v>
      </c>
      <c r="E3214">
        <v>4</v>
      </c>
      <c r="F3214">
        <v>1.5</v>
      </c>
      <c r="G3214">
        <v>6</v>
      </c>
    </row>
    <row r="3215" spans="1:7" x14ac:dyDescent="0.2">
      <c r="A3215" t="s">
        <v>972</v>
      </c>
      <c r="B3215" t="s">
        <v>207</v>
      </c>
      <c r="C3215" t="s">
        <v>27</v>
      </c>
      <c r="D3215" t="s">
        <v>396</v>
      </c>
      <c r="E3215">
        <v>2</v>
      </c>
      <c r="F3215">
        <v>1.5</v>
      </c>
      <c r="G3215">
        <v>3</v>
      </c>
    </row>
    <row r="3216" spans="1:7" x14ac:dyDescent="0.2">
      <c r="A3216" t="s">
        <v>972</v>
      </c>
      <c r="B3216" t="s">
        <v>207</v>
      </c>
      <c r="C3216" t="s">
        <v>587</v>
      </c>
      <c r="D3216" t="s">
        <v>588</v>
      </c>
      <c r="E3216">
        <v>1</v>
      </c>
      <c r="F3216">
        <v>3.2</v>
      </c>
      <c r="G3216">
        <v>3.2</v>
      </c>
    </row>
    <row r="3217" spans="1:7" x14ac:dyDescent="0.2">
      <c r="A3217" t="s">
        <v>972</v>
      </c>
      <c r="B3217" t="s">
        <v>207</v>
      </c>
      <c r="C3217" t="s">
        <v>28</v>
      </c>
      <c r="D3217" t="s">
        <v>291</v>
      </c>
      <c r="E3217">
        <v>0.42</v>
      </c>
      <c r="F3217">
        <v>175</v>
      </c>
      <c r="G3217">
        <v>73.5</v>
      </c>
    </row>
    <row r="3218" spans="1:7" x14ac:dyDescent="0.2">
      <c r="A3218" t="s">
        <v>972</v>
      </c>
      <c r="B3218" t="s">
        <v>207</v>
      </c>
      <c r="C3218" t="s">
        <v>29</v>
      </c>
      <c r="D3218" t="s">
        <v>292</v>
      </c>
      <c r="E3218">
        <v>0.74</v>
      </c>
      <c r="F3218">
        <v>27</v>
      </c>
      <c r="G3218">
        <v>19.98</v>
      </c>
    </row>
    <row r="3219" spans="1:7" x14ac:dyDescent="0.2">
      <c r="A3219" t="s">
        <v>972</v>
      </c>
      <c r="B3219" t="s">
        <v>207</v>
      </c>
      <c r="C3219" t="s">
        <v>31</v>
      </c>
      <c r="D3219" t="s">
        <v>293</v>
      </c>
      <c r="E3219">
        <v>3</v>
      </c>
      <c r="F3219">
        <v>5</v>
      </c>
      <c r="G3219">
        <v>15</v>
      </c>
    </row>
    <row r="3220" spans="1:7" x14ac:dyDescent="0.2">
      <c r="A3220" t="s">
        <v>972</v>
      </c>
      <c r="B3220" t="s">
        <v>207</v>
      </c>
      <c r="C3220" t="s">
        <v>628</v>
      </c>
      <c r="D3220" t="s">
        <v>629</v>
      </c>
      <c r="E3220">
        <v>1</v>
      </c>
      <c r="F3220">
        <v>102.5</v>
      </c>
      <c r="G3220">
        <v>102.5</v>
      </c>
    </row>
    <row r="3221" spans="1:7" x14ac:dyDescent="0.2">
      <c r="A3221" t="s">
        <v>972</v>
      </c>
      <c r="B3221" t="s">
        <v>207</v>
      </c>
      <c r="C3221" t="s">
        <v>652</v>
      </c>
      <c r="D3221" t="s">
        <v>653</v>
      </c>
      <c r="E3221">
        <v>1</v>
      </c>
      <c r="F3221">
        <v>18</v>
      </c>
      <c r="G3221">
        <v>18</v>
      </c>
    </row>
    <row r="3222" spans="1:7" x14ac:dyDescent="0.2">
      <c r="A3222" t="s">
        <v>972</v>
      </c>
      <c r="B3222" t="s">
        <v>207</v>
      </c>
      <c r="C3222" t="s">
        <v>36</v>
      </c>
      <c r="D3222" t="s">
        <v>296</v>
      </c>
      <c r="E3222">
        <v>2</v>
      </c>
      <c r="F3222">
        <v>15</v>
      </c>
      <c r="G3222">
        <v>30</v>
      </c>
    </row>
    <row r="3223" spans="1:7" x14ac:dyDescent="0.2">
      <c r="A3223" t="s">
        <v>972</v>
      </c>
      <c r="B3223" t="s">
        <v>207</v>
      </c>
      <c r="C3223" t="s">
        <v>121</v>
      </c>
      <c r="D3223" t="s">
        <v>301</v>
      </c>
      <c r="E3223">
        <v>1</v>
      </c>
      <c r="F3223">
        <v>0.95</v>
      </c>
      <c r="G3223">
        <v>0.95</v>
      </c>
    </row>
    <row r="3224" spans="1:7" x14ac:dyDescent="0.2">
      <c r="A3224" t="s">
        <v>972</v>
      </c>
      <c r="B3224" t="s">
        <v>207</v>
      </c>
      <c r="C3224" t="s">
        <v>122</v>
      </c>
      <c r="D3224" t="s">
        <v>302</v>
      </c>
      <c r="E3224">
        <v>1</v>
      </c>
      <c r="F3224">
        <v>4.2</v>
      </c>
      <c r="G3224">
        <v>4.2</v>
      </c>
    </row>
    <row r="3225" spans="1:7" x14ac:dyDescent="0.2">
      <c r="A3225" t="s">
        <v>972</v>
      </c>
      <c r="B3225" t="s">
        <v>207</v>
      </c>
      <c r="C3225" t="s">
        <v>4</v>
      </c>
      <c r="D3225" t="s">
        <v>304</v>
      </c>
      <c r="E3225">
        <v>3.5</v>
      </c>
      <c r="F3225">
        <v>10.1</v>
      </c>
      <c r="G3225">
        <v>35.35</v>
      </c>
    </row>
    <row r="3226" spans="1:7" x14ac:dyDescent="0.2">
      <c r="A3226" t="s">
        <v>972</v>
      </c>
      <c r="B3226" t="s">
        <v>207</v>
      </c>
      <c r="C3226" t="s">
        <v>5</v>
      </c>
      <c r="D3226" t="s">
        <v>305</v>
      </c>
      <c r="E3226">
        <v>2.9</v>
      </c>
      <c r="F3226">
        <v>11.5</v>
      </c>
      <c r="G3226">
        <v>33.35</v>
      </c>
    </row>
    <row r="3227" spans="1:7" x14ac:dyDescent="0.2">
      <c r="A3227" t="s">
        <v>972</v>
      </c>
      <c r="B3227" t="s">
        <v>207</v>
      </c>
      <c r="C3227" t="s">
        <v>6</v>
      </c>
      <c r="D3227" t="s">
        <v>306</v>
      </c>
      <c r="E3227">
        <v>2.2000000000000002</v>
      </c>
      <c r="F3227">
        <v>16.8</v>
      </c>
      <c r="G3227">
        <v>36.96</v>
      </c>
    </row>
    <row r="3228" spans="1:7" x14ac:dyDescent="0.2">
      <c r="A3228" t="s">
        <v>972</v>
      </c>
      <c r="B3228" t="s">
        <v>207</v>
      </c>
      <c r="C3228" t="s">
        <v>7</v>
      </c>
      <c r="D3228" t="s">
        <v>307</v>
      </c>
      <c r="E3228">
        <v>2.4</v>
      </c>
      <c r="F3228">
        <v>6.7</v>
      </c>
      <c r="G3228">
        <v>16.079999999999998</v>
      </c>
    </row>
    <row r="3229" spans="1:7" x14ac:dyDescent="0.2">
      <c r="A3229" t="s">
        <v>972</v>
      </c>
      <c r="B3229" t="s">
        <v>207</v>
      </c>
      <c r="C3229" t="s">
        <v>12</v>
      </c>
      <c r="D3229" t="s">
        <v>308</v>
      </c>
      <c r="E3229">
        <v>0.45</v>
      </c>
      <c r="F3229">
        <v>7</v>
      </c>
      <c r="G3229">
        <v>3.15</v>
      </c>
    </row>
    <row r="3230" spans="1:7" x14ac:dyDescent="0.2">
      <c r="A3230" t="s">
        <v>972</v>
      </c>
      <c r="B3230" t="s">
        <v>207</v>
      </c>
      <c r="C3230" t="s">
        <v>105</v>
      </c>
      <c r="D3230" t="s">
        <v>313</v>
      </c>
      <c r="E3230">
        <v>30</v>
      </c>
      <c r="F3230">
        <v>0.1</v>
      </c>
      <c r="G3230">
        <v>3</v>
      </c>
    </row>
    <row r="3231" spans="1:7" x14ac:dyDescent="0.2">
      <c r="A3231" t="s">
        <v>972</v>
      </c>
      <c r="B3231" t="s">
        <v>207</v>
      </c>
      <c r="C3231" t="s">
        <v>108</v>
      </c>
      <c r="D3231" t="s">
        <v>323</v>
      </c>
      <c r="E3231">
        <v>290</v>
      </c>
      <c r="F3231">
        <v>0.1</v>
      </c>
      <c r="G3231">
        <v>29</v>
      </c>
    </row>
    <row r="3232" spans="1:7" x14ac:dyDescent="0.2">
      <c r="A3232" t="s">
        <v>125</v>
      </c>
      <c r="B3232" t="s">
        <v>240</v>
      </c>
      <c r="C3232" t="s">
        <v>94</v>
      </c>
      <c r="D3232" t="s">
        <v>280</v>
      </c>
      <c r="E3232">
        <v>1</v>
      </c>
      <c r="F3232">
        <v>3.5</v>
      </c>
      <c r="G3232">
        <v>3.5</v>
      </c>
    </row>
    <row r="3233" spans="1:7" x14ac:dyDescent="0.2">
      <c r="A3233" t="s">
        <v>125</v>
      </c>
      <c r="B3233" t="s">
        <v>240</v>
      </c>
      <c r="C3233" t="s">
        <v>95</v>
      </c>
      <c r="D3233" t="s">
        <v>281</v>
      </c>
      <c r="E3233">
        <v>2</v>
      </c>
      <c r="F3233">
        <v>2</v>
      </c>
      <c r="G3233">
        <v>4</v>
      </c>
    </row>
    <row r="3234" spans="1:7" x14ac:dyDescent="0.2">
      <c r="A3234" t="s">
        <v>125</v>
      </c>
      <c r="B3234" t="s">
        <v>240</v>
      </c>
      <c r="C3234" t="s">
        <v>45</v>
      </c>
      <c r="D3234" t="s">
        <v>374</v>
      </c>
      <c r="E3234">
        <v>0.25</v>
      </c>
      <c r="F3234">
        <v>65</v>
      </c>
      <c r="G3234">
        <v>16.25</v>
      </c>
    </row>
    <row r="3235" spans="1:7" x14ac:dyDescent="0.2">
      <c r="A3235" t="s">
        <v>125</v>
      </c>
      <c r="B3235" t="s">
        <v>240</v>
      </c>
      <c r="C3235" t="s">
        <v>50</v>
      </c>
      <c r="D3235" t="s">
        <v>357</v>
      </c>
      <c r="E3235">
        <v>0.2</v>
      </c>
      <c r="F3235">
        <v>151</v>
      </c>
      <c r="G3235">
        <v>30.2</v>
      </c>
    </row>
    <row r="3236" spans="1:7" x14ac:dyDescent="0.2">
      <c r="A3236" t="s">
        <v>125</v>
      </c>
      <c r="B3236" t="s">
        <v>240</v>
      </c>
      <c r="C3236" t="s">
        <v>52</v>
      </c>
      <c r="D3236" t="s">
        <v>321</v>
      </c>
      <c r="E3236">
        <v>1.35</v>
      </c>
      <c r="F3236">
        <v>120</v>
      </c>
      <c r="G3236">
        <v>162</v>
      </c>
    </row>
    <row r="3237" spans="1:7" x14ac:dyDescent="0.2">
      <c r="A3237" t="s">
        <v>125</v>
      </c>
      <c r="B3237" t="s">
        <v>240</v>
      </c>
      <c r="C3237" t="s">
        <v>60</v>
      </c>
      <c r="D3237" t="s">
        <v>337</v>
      </c>
      <c r="E3237">
        <v>0.02</v>
      </c>
      <c r="F3237">
        <v>130</v>
      </c>
      <c r="G3237">
        <v>2.6</v>
      </c>
    </row>
    <row r="3238" spans="1:7" x14ac:dyDescent="0.2">
      <c r="A3238" t="s">
        <v>125</v>
      </c>
      <c r="B3238" t="s">
        <v>240</v>
      </c>
      <c r="C3238" t="s">
        <v>61</v>
      </c>
      <c r="D3238" t="s">
        <v>341</v>
      </c>
      <c r="E3238">
        <v>1</v>
      </c>
      <c r="F3238">
        <v>190</v>
      </c>
      <c r="G3238">
        <v>190</v>
      </c>
    </row>
    <row r="3239" spans="1:7" x14ac:dyDescent="0.2">
      <c r="A3239" t="s">
        <v>125</v>
      </c>
      <c r="B3239" t="s">
        <v>240</v>
      </c>
      <c r="C3239" t="s">
        <v>69</v>
      </c>
      <c r="D3239" t="s">
        <v>288</v>
      </c>
      <c r="E3239">
        <v>0.25</v>
      </c>
      <c r="F3239">
        <v>190</v>
      </c>
      <c r="G3239">
        <v>47.5</v>
      </c>
    </row>
    <row r="3240" spans="1:7" x14ac:dyDescent="0.2">
      <c r="A3240" t="s">
        <v>125</v>
      </c>
      <c r="B3240" t="s">
        <v>240</v>
      </c>
      <c r="C3240" t="s">
        <v>93</v>
      </c>
      <c r="D3240" t="s">
        <v>327</v>
      </c>
      <c r="E3240">
        <v>0.19</v>
      </c>
      <c r="F3240">
        <v>70</v>
      </c>
      <c r="G3240">
        <v>13.3</v>
      </c>
    </row>
    <row r="3241" spans="1:7" x14ac:dyDescent="0.2">
      <c r="A3241" t="s">
        <v>125</v>
      </c>
      <c r="B3241" t="s">
        <v>240</v>
      </c>
      <c r="C3241" t="s">
        <v>47</v>
      </c>
      <c r="D3241" t="s">
        <v>328</v>
      </c>
      <c r="E3241">
        <v>0.1</v>
      </c>
      <c r="F3241">
        <v>235</v>
      </c>
      <c r="G3241">
        <v>23.5</v>
      </c>
    </row>
    <row r="3242" spans="1:7" x14ac:dyDescent="0.2">
      <c r="A3242" t="s">
        <v>125</v>
      </c>
      <c r="B3242" t="s">
        <v>240</v>
      </c>
      <c r="C3242" t="s">
        <v>48</v>
      </c>
      <c r="D3242" t="s">
        <v>359</v>
      </c>
      <c r="E3242">
        <v>7.4999999999999997E-2</v>
      </c>
      <c r="F3242">
        <v>412</v>
      </c>
      <c r="G3242">
        <v>30.9</v>
      </c>
    </row>
    <row r="3243" spans="1:7" x14ac:dyDescent="0.2">
      <c r="A3243" t="s">
        <v>125</v>
      </c>
      <c r="B3243" t="s">
        <v>240</v>
      </c>
      <c r="C3243" t="s">
        <v>49</v>
      </c>
      <c r="D3243" t="s">
        <v>290</v>
      </c>
      <c r="E3243">
        <v>6.0000000000000001E-3</v>
      </c>
      <c r="F3243">
        <v>248</v>
      </c>
      <c r="G3243">
        <v>1.488</v>
      </c>
    </row>
    <row r="3244" spans="1:7" x14ac:dyDescent="0.2">
      <c r="A3244" t="s">
        <v>125</v>
      </c>
      <c r="B3244" t="s">
        <v>240</v>
      </c>
      <c r="C3244" t="s">
        <v>17</v>
      </c>
      <c r="D3244" t="s">
        <v>394</v>
      </c>
      <c r="E3244">
        <v>2</v>
      </c>
      <c r="F3244">
        <v>3.5</v>
      </c>
      <c r="G3244">
        <v>7</v>
      </c>
    </row>
    <row r="3245" spans="1:7" x14ac:dyDescent="0.2">
      <c r="A3245" t="s">
        <v>125</v>
      </c>
      <c r="B3245" t="s">
        <v>240</v>
      </c>
      <c r="C3245" t="s">
        <v>18</v>
      </c>
      <c r="D3245" t="s">
        <v>395</v>
      </c>
      <c r="E3245">
        <v>2</v>
      </c>
      <c r="F3245">
        <v>3.5</v>
      </c>
      <c r="G3245">
        <v>7</v>
      </c>
    </row>
    <row r="3246" spans="1:7" x14ac:dyDescent="0.2">
      <c r="A3246" t="s">
        <v>125</v>
      </c>
      <c r="B3246" t="s">
        <v>240</v>
      </c>
      <c r="C3246" t="s">
        <v>19</v>
      </c>
      <c r="D3246" t="s">
        <v>329</v>
      </c>
      <c r="E3246">
        <v>1</v>
      </c>
      <c r="F3246">
        <v>2.9</v>
      </c>
      <c r="G3246">
        <v>2.9</v>
      </c>
    </row>
    <row r="3247" spans="1:7" x14ac:dyDescent="0.2">
      <c r="A3247" t="s">
        <v>125</v>
      </c>
      <c r="B3247" t="s">
        <v>240</v>
      </c>
      <c r="C3247" t="s">
        <v>20</v>
      </c>
      <c r="D3247" t="s">
        <v>330</v>
      </c>
      <c r="E3247">
        <v>1</v>
      </c>
      <c r="F3247">
        <v>2.9</v>
      </c>
      <c r="G3247">
        <v>2.9</v>
      </c>
    </row>
    <row r="3248" spans="1:7" x14ac:dyDescent="0.2">
      <c r="A3248" t="s">
        <v>125</v>
      </c>
      <c r="B3248" t="s">
        <v>240</v>
      </c>
      <c r="C3248" t="s">
        <v>24</v>
      </c>
      <c r="D3248" t="s">
        <v>360</v>
      </c>
      <c r="E3248">
        <v>2</v>
      </c>
      <c r="F3248">
        <v>2.2000000000000002</v>
      </c>
      <c r="G3248">
        <v>4.4000000000000004</v>
      </c>
    </row>
    <row r="3249" spans="1:7" x14ac:dyDescent="0.2">
      <c r="A3249" t="s">
        <v>125</v>
      </c>
      <c r="B3249" t="s">
        <v>240</v>
      </c>
      <c r="C3249" t="s">
        <v>26</v>
      </c>
      <c r="D3249" t="s">
        <v>361</v>
      </c>
      <c r="E3249">
        <v>4</v>
      </c>
      <c r="F3249">
        <v>1.5</v>
      </c>
      <c r="G3249">
        <v>6</v>
      </c>
    </row>
    <row r="3250" spans="1:7" x14ac:dyDescent="0.2">
      <c r="A3250" t="s">
        <v>125</v>
      </c>
      <c r="B3250" t="s">
        <v>240</v>
      </c>
      <c r="C3250" t="s">
        <v>27</v>
      </c>
      <c r="D3250" t="s">
        <v>396</v>
      </c>
      <c r="E3250">
        <v>12</v>
      </c>
      <c r="F3250">
        <v>1.5</v>
      </c>
      <c r="G3250">
        <v>18</v>
      </c>
    </row>
    <row r="3251" spans="1:7" x14ac:dyDescent="0.2">
      <c r="A3251" t="s">
        <v>125</v>
      </c>
      <c r="B3251" t="s">
        <v>240</v>
      </c>
      <c r="C3251" t="s">
        <v>29</v>
      </c>
      <c r="D3251" t="s">
        <v>292</v>
      </c>
      <c r="E3251">
        <v>0.75</v>
      </c>
      <c r="F3251">
        <v>27</v>
      </c>
      <c r="G3251">
        <v>20.25</v>
      </c>
    </row>
    <row r="3252" spans="1:7" x14ac:dyDescent="0.2">
      <c r="A3252" t="s">
        <v>125</v>
      </c>
      <c r="B3252" t="s">
        <v>240</v>
      </c>
      <c r="C3252" t="s">
        <v>30</v>
      </c>
      <c r="D3252" t="s">
        <v>332</v>
      </c>
      <c r="E3252">
        <v>2</v>
      </c>
      <c r="F3252">
        <v>6</v>
      </c>
      <c r="G3252">
        <v>12</v>
      </c>
    </row>
    <row r="3253" spans="1:7" x14ac:dyDescent="0.2">
      <c r="A3253" t="s">
        <v>125</v>
      </c>
      <c r="B3253" t="s">
        <v>240</v>
      </c>
      <c r="C3253" t="s">
        <v>104</v>
      </c>
      <c r="D3253" t="s">
        <v>343</v>
      </c>
      <c r="E3253">
        <v>1.4999999999999999E-2</v>
      </c>
      <c r="F3253">
        <v>890</v>
      </c>
      <c r="G3253">
        <v>13.35</v>
      </c>
    </row>
    <row r="3254" spans="1:7" x14ac:dyDescent="0.2">
      <c r="A3254" t="s">
        <v>125</v>
      </c>
      <c r="B3254" t="s">
        <v>240</v>
      </c>
      <c r="C3254" t="s">
        <v>121</v>
      </c>
      <c r="D3254" t="s">
        <v>301</v>
      </c>
      <c r="E3254">
        <v>1</v>
      </c>
      <c r="F3254">
        <v>0.95</v>
      </c>
      <c r="G3254">
        <v>0.95</v>
      </c>
    </row>
    <row r="3255" spans="1:7" x14ac:dyDescent="0.2">
      <c r="A3255" t="s">
        <v>125</v>
      </c>
      <c r="B3255" t="s">
        <v>240</v>
      </c>
      <c r="C3255" t="s">
        <v>122</v>
      </c>
      <c r="D3255" t="s">
        <v>302</v>
      </c>
      <c r="E3255">
        <v>1</v>
      </c>
      <c r="F3255">
        <v>4.2</v>
      </c>
      <c r="G3255">
        <v>4.2</v>
      </c>
    </row>
    <row r="3256" spans="1:7" x14ac:dyDescent="0.2">
      <c r="A3256" t="s">
        <v>125</v>
      </c>
      <c r="B3256" t="s">
        <v>240</v>
      </c>
      <c r="C3256" t="s">
        <v>4</v>
      </c>
      <c r="D3256" t="s">
        <v>304</v>
      </c>
      <c r="E3256">
        <v>2.1</v>
      </c>
      <c r="F3256">
        <v>10.1</v>
      </c>
      <c r="G3256">
        <v>21.21</v>
      </c>
    </row>
    <row r="3257" spans="1:7" x14ac:dyDescent="0.2">
      <c r="A3257" t="s">
        <v>125</v>
      </c>
      <c r="B3257" t="s">
        <v>240</v>
      </c>
      <c r="C3257" t="s">
        <v>5</v>
      </c>
      <c r="D3257" t="s">
        <v>305</v>
      </c>
      <c r="E3257">
        <v>8.6999999999999993</v>
      </c>
      <c r="F3257">
        <v>11.5</v>
      </c>
      <c r="G3257">
        <v>100.05</v>
      </c>
    </row>
    <row r="3258" spans="1:7" x14ac:dyDescent="0.2">
      <c r="A3258" t="s">
        <v>125</v>
      </c>
      <c r="B3258" t="s">
        <v>240</v>
      </c>
      <c r="C3258" t="s">
        <v>6</v>
      </c>
      <c r="D3258" t="s">
        <v>306</v>
      </c>
      <c r="E3258">
        <v>0.8</v>
      </c>
      <c r="F3258">
        <v>16.8</v>
      </c>
      <c r="G3258">
        <v>13.44</v>
      </c>
    </row>
    <row r="3259" spans="1:7" x14ac:dyDescent="0.2">
      <c r="A3259" t="s">
        <v>125</v>
      </c>
      <c r="B3259" t="s">
        <v>240</v>
      </c>
      <c r="C3259" t="s">
        <v>7</v>
      </c>
      <c r="D3259" t="s">
        <v>307</v>
      </c>
      <c r="E3259">
        <v>0.4</v>
      </c>
      <c r="F3259">
        <v>6.7</v>
      </c>
      <c r="G3259">
        <v>2.68</v>
      </c>
    </row>
    <row r="3260" spans="1:7" x14ac:dyDescent="0.2">
      <c r="A3260" t="s">
        <v>125</v>
      </c>
      <c r="B3260" t="s">
        <v>240</v>
      </c>
      <c r="C3260" t="s">
        <v>12</v>
      </c>
      <c r="D3260" t="s">
        <v>308</v>
      </c>
      <c r="E3260">
        <v>0.45</v>
      </c>
      <c r="F3260">
        <v>7</v>
      </c>
      <c r="G3260">
        <v>3.15</v>
      </c>
    </row>
    <row r="3261" spans="1:7" x14ac:dyDescent="0.2">
      <c r="A3261" t="s">
        <v>125</v>
      </c>
      <c r="B3261" t="s">
        <v>240</v>
      </c>
      <c r="C3261" t="s">
        <v>105</v>
      </c>
      <c r="D3261" t="s">
        <v>313</v>
      </c>
      <c r="E3261">
        <v>250</v>
      </c>
      <c r="F3261">
        <v>0.1</v>
      </c>
      <c r="G3261">
        <v>25</v>
      </c>
    </row>
    <row r="3262" spans="1:7" x14ac:dyDescent="0.2">
      <c r="A3262" t="s">
        <v>125</v>
      </c>
      <c r="B3262" t="s">
        <v>240</v>
      </c>
      <c r="C3262" t="s">
        <v>108</v>
      </c>
      <c r="D3262" t="s">
        <v>323</v>
      </c>
      <c r="E3262">
        <v>40</v>
      </c>
      <c r="F3262">
        <v>0.1</v>
      </c>
      <c r="G3262">
        <v>4</v>
      </c>
    </row>
    <row r="3263" spans="1:7" x14ac:dyDescent="0.2">
      <c r="A3263" t="s">
        <v>124</v>
      </c>
      <c r="B3263" t="s">
        <v>202</v>
      </c>
      <c r="C3263" t="s">
        <v>94</v>
      </c>
      <c r="D3263" t="s">
        <v>280</v>
      </c>
      <c r="E3263">
        <v>1</v>
      </c>
      <c r="F3263">
        <v>3.5</v>
      </c>
      <c r="G3263">
        <v>3.5</v>
      </c>
    </row>
    <row r="3264" spans="1:7" x14ac:dyDescent="0.2">
      <c r="A3264" t="s">
        <v>124</v>
      </c>
      <c r="B3264" t="s">
        <v>202</v>
      </c>
      <c r="C3264" t="s">
        <v>95</v>
      </c>
      <c r="D3264" t="s">
        <v>281</v>
      </c>
      <c r="E3264">
        <v>2</v>
      </c>
      <c r="F3264">
        <v>2</v>
      </c>
      <c r="G3264">
        <v>4</v>
      </c>
    </row>
    <row r="3265" spans="1:7" x14ac:dyDescent="0.2">
      <c r="A3265" t="s">
        <v>124</v>
      </c>
      <c r="B3265" t="s">
        <v>202</v>
      </c>
      <c r="C3265" t="s">
        <v>45</v>
      </c>
      <c r="D3265" t="s">
        <v>374</v>
      </c>
      <c r="E3265">
        <v>0.25</v>
      </c>
      <c r="F3265">
        <v>65</v>
      </c>
      <c r="G3265">
        <v>16.25</v>
      </c>
    </row>
    <row r="3266" spans="1:7" x14ac:dyDescent="0.2">
      <c r="A3266" t="s">
        <v>124</v>
      </c>
      <c r="B3266" t="s">
        <v>202</v>
      </c>
      <c r="C3266" t="s">
        <v>50</v>
      </c>
      <c r="D3266" t="s">
        <v>357</v>
      </c>
      <c r="E3266">
        <v>0.2</v>
      </c>
      <c r="F3266">
        <v>151</v>
      </c>
      <c r="G3266">
        <v>30.2</v>
      </c>
    </row>
    <row r="3267" spans="1:7" x14ac:dyDescent="0.2">
      <c r="A3267" t="s">
        <v>124</v>
      </c>
      <c r="B3267" t="s">
        <v>202</v>
      </c>
      <c r="C3267" t="s">
        <v>52</v>
      </c>
      <c r="D3267" t="s">
        <v>321</v>
      </c>
      <c r="E3267">
        <v>1.35</v>
      </c>
      <c r="F3267">
        <v>120</v>
      </c>
      <c r="G3267">
        <v>162</v>
      </c>
    </row>
    <row r="3268" spans="1:7" x14ac:dyDescent="0.2">
      <c r="A3268" t="s">
        <v>124</v>
      </c>
      <c r="B3268" t="s">
        <v>202</v>
      </c>
      <c r="C3268" t="s">
        <v>60</v>
      </c>
      <c r="D3268" t="s">
        <v>337</v>
      </c>
      <c r="E3268">
        <v>0.02</v>
      </c>
      <c r="F3268">
        <v>130</v>
      </c>
      <c r="G3268">
        <v>2.6</v>
      </c>
    </row>
    <row r="3269" spans="1:7" x14ac:dyDescent="0.2">
      <c r="A3269" t="s">
        <v>124</v>
      </c>
      <c r="B3269" t="s">
        <v>202</v>
      </c>
      <c r="C3269" t="s">
        <v>61</v>
      </c>
      <c r="D3269" t="s">
        <v>341</v>
      </c>
      <c r="E3269">
        <v>1</v>
      </c>
      <c r="F3269">
        <v>190</v>
      </c>
      <c r="G3269">
        <v>190</v>
      </c>
    </row>
    <row r="3270" spans="1:7" x14ac:dyDescent="0.2">
      <c r="A3270" t="s">
        <v>124</v>
      </c>
      <c r="B3270" t="s">
        <v>202</v>
      </c>
      <c r="C3270" t="s">
        <v>69</v>
      </c>
      <c r="D3270" t="s">
        <v>288</v>
      </c>
      <c r="E3270">
        <v>0.25</v>
      </c>
      <c r="F3270">
        <v>190</v>
      </c>
      <c r="G3270">
        <v>47.5</v>
      </c>
    </row>
    <row r="3271" spans="1:7" x14ac:dyDescent="0.2">
      <c r="A3271" t="s">
        <v>124</v>
      </c>
      <c r="B3271" t="s">
        <v>202</v>
      </c>
      <c r="C3271" t="s">
        <v>93</v>
      </c>
      <c r="D3271" t="s">
        <v>327</v>
      </c>
      <c r="E3271">
        <v>0.19</v>
      </c>
      <c r="F3271">
        <v>70</v>
      </c>
      <c r="G3271">
        <v>13.3</v>
      </c>
    </row>
    <row r="3272" spans="1:7" x14ac:dyDescent="0.2">
      <c r="A3272" t="s">
        <v>124</v>
      </c>
      <c r="B3272" t="s">
        <v>202</v>
      </c>
      <c r="C3272" t="s">
        <v>47</v>
      </c>
      <c r="D3272" t="s">
        <v>328</v>
      </c>
      <c r="E3272">
        <v>0.1</v>
      </c>
      <c r="F3272">
        <v>235</v>
      </c>
      <c r="G3272">
        <v>23.5</v>
      </c>
    </row>
    <row r="3273" spans="1:7" x14ac:dyDescent="0.2">
      <c r="A3273" t="s">
        <v>124</v>
      </c>
      <c r="B3273" t="s">
        <v>202</v>
      </c>
      <c r="C3273" t="s">
        <v>48</v>
      </c>
      <c r="D3273" t="s">
        <v>359</v>
      </c>
      <c r="E3273">
        <v>7.4999999999999997E-2</v>
      </c>
      <c r="F3273">
        <v>412</v>
      </c>
      <c r="G3273">
        <v>30.9</v>
      </c>
    </row>
    <row r="3274" spans="1:7" x14ac:dyDescent="0.2">
      <c r="A3274" t="s">
        <v>124</v>
      </c>
      <c r="B3274" t="s">
        <v>202</v>
      </c>
      <c r="C3274" t="s">
        <v>49</v>
      </c>
      <c r="D3274" t="s">
        <v>290</v>
      </c>
      <c r="E3274">
        <v>6.0000000000000001E-3</v>
      </c>
      <c r="F3274">
        <v>248</v>
      </c>
      <c r="G3274">
        <v>1.488</v>
      </c>
    </row>
    <row r="3275" spans="1:7" x14ac:dyDescent="0.2">
      <c r="A3275" t="s">
        <v>124</v>
      </c>
      <c r="B3275" t="s">
        <v>202</v>
      </c>
      <c r="C3275" t="s">
        <v>17</v>
      </c>
      <c r="D3275" t="s">
        <v>394</v>
      </c>
      <c r="E3275">
        <v>2</v>
      </c>
      <c r="F3275">
        <v>3.5</v>
      </c>
      <c r="G3275">
        <v>7</v>
      </c>
    </row>
    <row r="3276" spans="1:7" x14ac:dyDescent="0.2">
      <c r="A3276" t="s">
        <v>124</v>
      </c>
      <c r="B3276" t="s">
        <v>202</v>
      </c>
      <c r="C3276" t="s">
        <v>18</v>
      </c>
      <c r="D3276" t="s">
        <v>395</v>
      </c>
      <c r="E3276">
        <v>2</v>
      </c>
      <c r="F3276">
        <v>3.5</v>
      </c>
      <c r="G3276">
        <v>7</v>
      </c>
    </row>
    <row r="3277" spans="1:7" x14ac:dyDescent="0.2">
      <c r="A3277" t="s">
        <v>124</v>
      </c>
      <c r="B3277" t="s">
        <v>202</v>
      </c>
      <c r="C3277" t="s">
        <v>19</v>
      </c>
      <c r="D3277" t="s">
        <v>329</v>
      </c>
      <c r="E3277">
        <v>1</v>
      </c>
      <c r="F3277">
        <v>2.9</v>
      </c>
      <c r="G3277">
        <v>2.9</v>
      </c>
    </row>
    <row r="3278" spans="1:7" x14ac:dyDescent="0.2">
      <c r="A3278" t="s">
        <v>124</v>
      </c>
      <c r="B3278" t="s">
        <v>202</v>
      </c>
      <c r="C3278" t="s">
        <v>20</v>
      </c>
      <c r="D3278" t="s">
        <v>330</v>
      </c>
      <c r="E3278">
        <v>1</v>
      </c>
      <c r="F3278">
        <v>2.9</v>
      </c>
      <c r="G3278">
        <v>2.9</v>
      </c>
    </row>
    <row r="3279" spans="1:7" x14ac:dyDescent="0.2">
      <c r="A3279" t="s">
        <v>124</v>
      </c>
      <c r="B3279" t="s">
        <v>202</v>
      </c>
      <c r="C3279" t="s">
        <v>24</v>
      </c>
      <c r="D3279" t="s">
        <v>360</v>
      </c>
      <c r="E3279">
        <v>2</v>
      </c>
      <c r="F3279">
        <v>2.2000000000000002</v>
      </c>
      <c r="G3279">
        <v>4.4000000000000004</v>
      </c>
    </row>
    <row r="3280" spans="1:7" x14ac:dyDescent="0.2">
      <c r="A3280" t="s">
        <v>124</v>
      </c>
      <c r="B3280" t="s">
        <v>202</v>
      </c>
      <c r="C3280" t="s">
        <v>26</v>
      </c>
      <c r="D3280" t="s">
        <v>361</v>
      </c>
      <c r="E3280">
        <v>4</v>
      </c>
      <c r="F3280">
        <v>1.5</v>
      </c>
      <c r="G3280">
        <v>6</v>
      </c>
    </row>
    <row r="3281" spans="1:7" x14ac:dyDescent="0.2">
      <c r="A3281" t="s">
        <v>124</v>
      </c>
      <c r="B3281" t="s">
        <v>202</v>
      </c>
      <c r="C3281" t="s">
        <v>27</v>
      </c>
      <c r="D3281" t="s">
        <v>396</v>
      </c>
      <c r="E3281">
        <v>12</v>
      </c>
      <c r="F3281">
        <v>1.5</v>
      </c>
      <c r="G3281">
        <v>18</v>
      </c>
    </row>
    <row r="3282" spans="1:7" x14ac:dyDescent="0.2">
      <c r="A3282" t="s">
        <v>124</v>
      </c>
      <c r="B3282" t="s">
        <v>202</v>
      </c>
      <c r="C3282" t="s">
        <v>29</v>
      </c>
      <c r="D3282" t="s">
        <v>292</v>
      </c>
      <c r="E3282">
        <v>0.75</v>
      </c>
      <c r="F3282">
        <v>27</v>
      </c>
      <c r="G3282">
        <v>20.25</v>
      </c>
    </row>
    <row r="3283" spans="1:7" x14ac:dyDescent="0.2">
      <c r="A3283" t="s">
        <v>124</v>
      </c>
      <c r="B3283" t="s">
        <v>202</v>
      </c>
      <c r="C3283" t="s">
        <v>30</v>
      </c>
      <c r="D3283" t="s">
        <v>332</v>
      </c>
      <c r="E3283">
        <v>2</v>
      </c>
      <c r="F3283">
        <v>6</v>
      </c>
      <c r="G3283">
        <v>12</v>
      </c>
    </row>
    <row r="3284" spans="1:7" x14ac:dyDescent="0.2">
      <c r="A3284" t="s">
        <v>124</v>
      </c>
      <c r="B3284" t="s">
        <v>202</v>
      </c>
      <c r="C3284" t="s">
        <v>41</v>
      </c>
      <c r="D3284" t="s">
        <v>344</v>
      </c>
      <c r="E3284">
        <v>1</v>
      </c>
      <c r="F3284">
        <v>1200</v>
      </c>
      <c r="G3284">
        <v>1200</v>
      </c>
    </row>
    <row r="3285" spans="1:7" x14ac:dyDescent="0.2">
      <c r="A3285" t="s">
        <v>124</v>
      </c>
      <c r="B3285" t="s">
        <v>202</v>
      </c>
      <c r="C3285" t="s">
        <v>104</v>
      </c>
      <c r="D3285" t="s">
        <v>343</v>
      </c>
      <c r="E3285">
        <v>1.4999999999999999E-2</v>
      </c>
      <c r="F3285">
        <v>890</v>
      </c>
      <c r="G3285">
        <v>13.35</v>
      </c>
    </row>
    <row r="3286" spans="1:7" x14ac:dyDescent="0.2">
      <c r="A3286" t="s">
        <v>124</v>
      </c>
      <c r="B3286" t="s">
        <v>202</v>
      </c>
      <c r="C3286" t="s">
        <v>121</v>
      </c>
      <c r="D3286" t="s">
        <v>301</v>
      </c>
      <c r="E3286">
        <v>1</v>
      </c>
      <c r="F3286">
        <v>0.95</v>
      </c>
      <c r="G3286">
        <v>0.95</v>
      </c>
    </row>
    <row r="3287" spans="1:7" x14ac:dyDescent="0.2">
      <c r="A3287" t="s">
        <v>124</v>
      </c>
      <c r="B3287" t="s">
        <v>202</v>
      </c>
      <c r="C3287" t="s">
        <v>122</v>
      </c>
      <c r="D3287" t="s">
        <v>302</v>
      </c>
      <c r="E3287">
        <v>1</v>
      </c>
      <c r="F3287">
        <v>4.2</v>
      </c>
      <c r="G3287">
        <v>4.2</v>
      </c>
    </row>
    <row r="3288" spans="1:7" x14ac:dyDescent="0.2">
      <c r="A3288" t="s">
        <v>124</v>
      </c>
      <c r="B3288" t="s">
        <v>202</v>
      </c>
      <c r="C3288" t="s">
        <v>4</v>
      </c>
      <c r="D3288" t="s">
        <v>304</v>
      </c>
      <c r="E3288">
        <v>2.15</v>
      </c>
      <c r="F3288">
        <v>10.1</v>
      </c>
      <c r="G3288">
        <v>21.715</v>
      </c>
    </row>
    <row r="3289" spans="1:7" x14ac:dyDescent="0.2">
      <c r="A3289" t="s">
        <v>124</v>
      </c>
      <c r="B3289" t="s">
        <v>202</v>
      </c>
      <c r="C3289" t="s">
        <v>5</v>
      </c>
      <c r="D3289" t="s">
        <v>305</v>
      </c>
      <c r="E3289">
        <v>10</v>
      </c>
      <c r="F3289">
        <v>11.5</v>
      </c>
      <c r="G3289">
        <v>115</v>
      </c>
    </row>
    <row r="3290" spans="1:7" x14ac:dyDescent="0.2">
      <c r="A3290" t="s">
        <v>124</v>
      </c>
      <c r="B3290" t="s">
        <v>202</v>
      </c>
      <c r="C3290" t="s">
        <v>6</v>
      </c>
      <c r="D3290" t="s">
        <v>306</v>
      </c>
      <c r="E3290">
        <v>0.8</v>
      </c>
      <c r="F3290">
        <v>16.8</v>
      </c>
      <c r="G3290">
        <v>13.44</v>
      </c>
    </row>
    <row r="3291" spans="1:7" x14ac:dyDescent="0.2">
      <c r="A3291" t="s">
        <v>124</v>
      </c>
      <c r="B3291" t="s">
        <v>202</v>
      </c>
      <c r="C3291" t="s">
        <v>7</v>
      </c>
      <c r="D3291" t="s">
        <v>307</v>
      </c>
      <c r="E3291">
        <v>0.4</v>
      </c>
      <c r="F3291">
        <v>6.7</v>
      </c>
      <c r="G3291">
        <v>2.68</v>
      </c>
    </row>
    <row r="3292" spans="1:7" x14ac:dyDescent="0.2">
      <c r="A3292" t="s">
        <v>124</v>
      </c>
      <c r="B3292" t="s">
        <v>202</v>
      </c>
      <c r="C3292" t="s">
        <v>12</v>
      </c>
      <c r="D3292" t="s">
        <v>308</v>
      </c>
      <c r="E3292">
        <v>0.45</v>
      </c>
      <c r="F3292">
        <v>7</v>
      </c>
      <c r="G3292">
        <v>3.15</v>
      </c>
    </row>
    <row r="3293" spans="1:7" x14ac:dyDescent="0.2">
      <c r="A3293" t="s">
        <v>124</v>
      </c>
      <c r="B3293" t="s">
        <v>202</v>
      </c>
      <c r="C3293" t="s">
        <v>105</v>
      </c>
      <c r="D3293" t="s">
        <v>313</v>
      </c>
      <c r="E3293">
        <v>250</v>
      </c>
      <c r="F3293">
        <v>0.1</v>
      </c>
      <c r="G3293">
        <v>25</v>
      </c>
    </row>
    <row r="3294" spans="1:7" x14ac:dyDescent="0.2">
      <c r="A3294" t="s">
        <v>124</v>
      </c>
      <c r="B3294" t="s">
        <v>202</v>
      </c>
      <c r="C3294" t="s">
        <v>108</v>
      </c>
      <c r="D3294" t="s">
        <v>323</v>
      </c>
      <c r="E3294">
        <v>40</v>
      </c>
      <c r="F3294">
        <v>0.1</v>
      </c>
      <c r="G3294">
        <v>4</v>
      </c>
    </row>
    <row r="3295" spans="1:7" x14ac:dyDescent="0.2">
      <c r="A3295" t="s">
        <v>130</v>
      </c>
      <c r="B3295" t="s">
        <v>192</v>
      </c>
      <c r="C3295" t="s">
        <v>94</v>
      </c>
      <c r="D3295" t="s">
        <v>280</v>
      </c>
      <c r="E3295">
        <v>1</v>
      </c>
      <c r="F3295">
        <v>3.5</v>
      </c>
      <c r="G3295">
        <v>3.5</v>
      </c>
    </row>
    <row r="3296" spans="1:7" x14ac:dyDescent="0.2">
      <c r="A3296" t="s">
        <v>130</v>
      </c>
      <c r="B3296" t="s">
        <v>192</v>
      </c>
      <c r="C3296" t="s">
        <v>95</v>
      </c>
      <c r="D3296" t="s">
        <v>281</v>
      </c>
      <c r="E3296">
        <v>2</v>
      </c>
      <c r="F3296">
        <v>2</v>
      </c>
      <c r="G3296">
        <v>4</v>
      </c>
    </row>
    <row r="3297" spans="1:7" x14ac:dyDescent="0.2">
      <c r="A3297" t="s">
        <v>130</v>
      </c>
      <c r="B3297" t="s">
        <v>192</v>
      </c>
      <c r="C3297" t="s">
        <v>44</v>
      </c>
      <c r="D3297" t="s">
        <v>324</v>
      </c>
      <c r="E3297">
        <v>0.25</v>
      </c>
      <c r="F3297">
        <v>65</v>
      </c>
      <c r="G3297">
        <v>16.25</v>
      </c>
    </row>
    <row r="3298" spans="1:7" x14ac:dyDescent="0.2">
      <c r="A3298" t="s">
        <v>130</v>
      </c>
      <c r="B3298" t="s">
        <v>192</v>
      </c>
      <c r="C3298" t="s">
        <v>50</v>
      </c>
      <c r="D3298" t="s">
        <v>357</v>
      </c>
      <c r="E3298">
        <v>0.2</v>
      </c>
      <c r="F3298">
        <v>151</v>
      </c>
      <c r="G3298">
        <v>30.2</v>
      </c>
    </row>
    <row r="3299" spans="1:7" x14ac:dyDescent="0.2">
      <c r="A3299" t="s">
        <v>130</v>
      </c>
      <c r="B3299" t="s">
        <v>192</v>
      </c>
      <c r="C3299" t="s">
        <v>53</v>
      </c>
      <c r="D3299" t="s">
        <v>325</v>
      </c>
      <c r="E3299">
        <v>1.35</v>
      </c>
      <c r="F3299">
        <v>120</v>
      </c>
      <c r="G3299">
        <v>162</v>
      </c>
    </row>
    <row r="3300" spans="1:7" x14ac:dyDescent="0.2">
      <c r="A3300" t="s">
        <v>130</v>
      </c>
      <c r="B3300" t="s">
        <v>192</v>
      </c>
      <c r="C3300" t="s">
        <v>60</v>
      </c>
      <c r="D3300" t="s">
        <v>337</v>
      </c>
      <c r="E3300">
        <v>0.02</v>
      </c>
      <c r="F3300">
        <v>130</v>
      </c>
      <c r="G3300">
        <v>2.6</v>
      </c>
    </row>
    <row r="3301" spans="1:7" x14ac:dyDescent="0.2">
      <c r="A3301" t="s">
        <v>130</v>
      </c>
      <c r="B3301" t="s">
        <v>192</v>
      </c>
      <c r="C3301" t="s">
        <v>61</v>
      </c>
      <c r="D3301" t="s">
        <v>341</v>
      </c>
      <c r="E3301">
        <v>0.2</v>
      </c>
      <c r="F3301">
        <v>190</v>
      </c>
      <c r="G3301">
        <v>38</v>
      </c>
    </row>
    <row r="3302" spans="1:7" x14ac:dyDescent="0.2">
      <c r="A3302" t="s">
        <v>130</v>
      </c>
      <c r="B3302" t="s">
        <v>192</v>
      </c>
      <c r="C3302" t="s">
        <v>65</v>
      </c>
      <c r="D3302" t="s">
        <v>351</v>
      </c>
      <c r="E3302">
        <v>0.75</v>
      </c>
      <c r="F3302">
        <v>190</v>
      </c>
      <c r="G3302">
        <v>142.5</v>
      </c>
    </row>
    <row r="3303" spans="1:7" x14ac:dyDescent="0.2">
      <c r="A3303" t="s">
        <v>130</v>
      </c>
      <c r="B3303" t="s">
        <v>192</v>
      </c>
      <c r="C3303" t="s">
        <v>69</v>
      </c>
      <c r="D3303" t="s">
        <v>288</v>
      </c>
      <c r="E3303">
        <v>0.25</v>
      </c>
      <c r="F3303">
        <v>190</v>
      </c>
      <c r="G3303">
        <v>47.5</v>
      </c>
    </row>
    <row r="3304" spans="1:7" x14ac:dyDescent="0.2">
      <c r="A3304" t="s">
        <v>130</v>
      </c>
      <c r="B3304" t="s">
        <v>192</v>
      </c>
      <c r="C3304" t="s">
        <v>93</v>
      </c>
      <c r="D3304" t="s">
        <v>327</v>
      </c>
      <c r="E3304">
        <v>0.19</v>
      </c>
      <c r="F3304">
        <v>70</v>
      </c>
      <c r="G3304">
        <v>13.3</v>
      </c>
    </row>
    <row r="3305" spans="1:7" x14ac:dyDescent="0.2">
      <c r="A3305" t="s">
        <v>130</v>
      </c>
      <c r="B3305" t="s">
        <v>192</v>
      </c>
      <c r="C3305" t="s">
        <v>47</v>
      </c>
      <c r="D3305" t="s">
        <v>328</v>
      </c>
      <c r="E3305">
        <v>0.1</v>
      </c>
      <c r="F3305">
        <v>235</v>
      </c>
      <c r="G3305">
        <v>23.5</v>
      </c>
    </row>
    <row r="3306" spans="1:7" x14ac:dyDescent="0.2">
      <c r="A3306" t="s">
        <v>130</v>
      </c>
      <c r="B3306" t="s">
        <v>192</v>
      </c>
      <c r="C3306" t="s">
        <v>48</v>
      </c>
      <c r="D3306" t="s">
        <v>359</v>
      </c>
      <c r="E3306">
        <v>7.4999999999999997E-2</v>
      </c>
      <c r="F3306">
        <v>412</v>
      </c>
      <c r="G3306">
        <v>30.9</v>
      </c>
    </row>
    <row r="3307" spans="1:7" x14ac:dyDescent="0.2">
      <c r="A3307" t="s">
        <v>130</v>
      </c>
      <c r="B3307" t="s">
        <v>192</v>
      </c>
      <c r="C3307" t="s">
        <v>49</v>
      </c>
      <c r="D3307" t="s">
        <v>290</v>
      </c>
      <c r="E3307">
        <v>6.0000000000000001E-3</v>
      </c>
      <c r="F3307">
        <v>248</v>
      </c>
      <c r="G3307">
        <v>1.488</v>
      </c>
    </row>
    <row r="3308" spans="1:7" x14ac:dyDescent="0.2">
      <c r="A3308" t="s">
        <v>130</v>
      </c>
      <c r="B3308" t="s">
        <v>192</v>
      </c>
      <c r="C3308" t="s">
        <v>17</v>
      </c>
      <c r="D3308" t="s">
        <v>394</v>
      </c>
      <c r="E3308">
        <v>2</v>
      </c>
      <c r="F3308">
        <v>3.5</v>
      </c>
      <c r="G3308">
        <v>7</v>
      </c>
    </row>
    <row r="3309" spans="1:7" x14ac:dyDescent="0.2">
      <c r="A3309" t="s">
        <v>130</v>
      </c>
      <c r="B3309" t="s">
        <v>192</v>
      </c>
      <c r="C3309" t="s">
        <v>18</v>
      </c>
      <c r="D3309" t="s">
        <v>395</v>
      </c>
      <c r="E3309">
        <v>2</v>
      </c>
      <c r="F3309">
        <v>3.5</v>
      </c>
      <c r="G3309">
        <v>7</v>
      </c>
    </row>
    <row r="3310" spans="1:7" x14ac:dyDescent="0.2">
      <c r="A3310" t="s">
        <v>130</v>
      </c>
      <c r="B3310" t="s">
        <v>192</v>
      </c>
      <c r="C3310" t="s">
        <v>19</v>
      </c>
      <c r="D3310" t="s">
        <v>329</v>
      </c>
      <c r="E3310">
        <v>1</v>
      </c>
      <c r="F3310">
        <v>2.9</v>
      </c>
      <c r="G3310">
        <v>2.9</v>
      </c>
    </row>
    <row r="3311" spans="1:7" x14ac:dyDescent="0.2">
      <c r="A3311" t="s">
        <v>130</v>
      </c>
      <c r="B3311" t="s">
        <v>192</v>
      </c>
      <c r="C3311" t="s">
        <v>20</v>
      </c>
      <c r="D3311" t="s">
        <v>330</v>
      </c>
      <c r="E3311">
        <v>1</v>
      </c>
      <c r="F3311">
        <v>2.9</v>
      </c>
      <c r="G3311">
        <v>2.9</v>
      </c>
    </row>
    <row r="3312" spans="1:7" x14ac:dyDescent="0.2">
      <c r="A3312" t="s">
        <v>130</v>
      </c>
      <c r="B3312" t="s">
        <v>192</v>
      </c>
      <c r="C3312" t="s">
        <v>24</v>
      </c>
      <c r="D3312" t="s">
        <v>360</v>
      </c>
      <c r="E3312">
        <v>2</v>
      </c>
      <c r="F3312">
        <v>2.2000000000000002</v>
      </c>
      <c r="G3312">
        <v>4.4000000000000004</v>
      </c>
    </row>
    <row r="3313" spans="1:7" x14ac:dyDescent="0.2">
      <c r="A3313" t="s">
        <v>130</v>
      </c>
      <c r="B3313" t="s">
        <v>192</v>
      </c>
      <c r="C3313" t="s">
        <v>26</v>
      </c>
      <c r="D3313" t="s">
        <v>361</v>
      </c>
      <c r="E3313">
        <v>4</v>
      </c>
      <c r="F3313">
        <v>1.5</v>
      </c>
      <c r="G3313">
        <v>6</v>
      </c>
    </row>
    <row r="3314" spans="1:7" x14ac:dyDescent="0.2">
      <c r="A3314" t="s">
        <v>130</v>
      </c>
      <c r="B3314" t="s">
        <v>192</v>
      </c>
      <c r="C3314" t="s">
        <v>27</v>
      </c>
      <c r="D3314" t="s">
        <v>396</v>
      </c>
      <c r="E3314">
        <v>12</v>
      </c>
      <c r="F3314">
        <v>1.5</v>
      </c>
      <c r="G3314">
        <v>18</v>
      </c>
    </row>
    <row r="3315" spans="1:7" x14ac:dyDescent="0.2">
      <c r="A3315" t="s">
        <v>130</v>
      </c>
      <c r="B3315" t="s">
        <v>192</v>
      </c>
      <c r="C3315" t="s">
        <v>29</v>
      </c>
      <c r="D3315" t="s">
        <v>292</v>
      </c>
      <c r="E3315">
        <v>0.75</v>
      </c>
      <c r="F3315">
        <v>27</v>
      </c>
      <c r="G3315">
        <v>20.25</v>
      </c>
    </row>
    <row r="3316" spans="1:7" x14ac:dyDescent="0.2">
      <c r="A3316" t="s">
        <v>130</v>
      </c>
      <c r="B3316" t="s">
        <v>192</v>
      </c>
      <c r="C3316" t="s">
        <v>30</v>
      </c>
      <c r="D3316" t="s">
        <v>332</v>
      </c>
      <c r="E3316">
        <v>2</v>
      </c>
      <c r="F3316">
        <v>6</v>
      </c>
      <c r="G3316">
        <v>12</v>
      </c>
    </row>
    <row r="3317" spans="1:7" x14ac:dyDescent="0.2">
      <c r="A3317" t="s">
        <v>130</v>
      </c>
      <c r="B3317" t="s">
        <v>192</v>
      </c>
      <c r="C3317" t="s">
        <v>104</v>
      </c>
      <c r="D3317" t="s">
        <v>343</v>
      </c>
      <c r="E3317">
        <v>1.4999999999999999E-2</v>
      </c>
      <c r="F3317">
        <v>890</v>
      </c>
      <c r="G3317">
        <v>13.35</v>
      </c>
    </row>
    <row r="3318" spans="1:7" x14ac:dyDescent="0.2">
      <c r="A3318" t="s">
        <v>130</v>
      </c>
      <c r="B3318" t="s">
        <v>192</v>
      </c>
      <c r="C3318" t="s">
        <v>121</v>
      </c>
      <c r="D3318" t="s">
        <v>301</v>
      </c>
      <c r="E3318">
        <v>1</v>
      </c>
      <c r="F3318">
        <v>0.95</v>
      </c>
      <c r="G3318">
        <v>0.95</v>
      </c>
    </row>
    <row r="3319" spans="1:7" x14ac:dyDescent="0.2">
      <c r="A3319" t="s">
        <v>130</v>
      </c>
      <c r="B3319" t="s">
        <v>192</v>
      </c>
      <c r="C3319" t="s">
        <v>122</v>
      </c>
      <c r="D3319" t="s">
        <v>302</v>
      </c>
      <c r="E3319">
        <v>1</v>
      </c>
      <c r="F3319">
        <v>4.2</v>
      </c>
      <c r="G3319">
        <v>4.2</v>
      </c>
    </row>
    <row r="3320" spans="1:7" x14ac:dyDescent="0.2">
      <c r="A3320" t="s">
        <v>130</v>
      </c>
      <c r="B3320" t="s">
        <v>192</v>
      </c>
      <c r="C3320" t="s">
        <v>4</v>
      </c>
      <c r="D3320" t="s">
        <v>304</v>
      </c>
      <c r="E3320">
        <v>2.1</v>
      </c>
      <c r="F3320">
        <v>10.1</v>
      </c>
      <c r="G3320">
        <v>21.21</v>
      </c>
    </row>
    <row r="3321" spans="1:7" x14ac:dyDescent="0.2">
      <c r="A3321" t="s">
        <v>130</v>
      </c>
      <c r="B3321" t="s">
        <v>192</v>
      </c>
      <c r="C3321" t="s">
        <v>5</v>
      </c>
      <c r="D3321" t="s">
        <v>305</v>
      </c>
      <c r="E3321">
        <v>8.6999999999999993</v>
      </c>
      <c r="F3321">
        <v>11.5</v>
      </c>
      <c r="G3321">
        <v>100.05</v>
      </c>
    </row>
    <row r="3322" spans="1:7" x14ac:dyDescent="0.2">
      <c r="A3322" t="s">
        <v>130</v>
      </c>
      <c r="B3322" t="s">
        <v>192</v>
      </c>
      <c r="C3322" t="s">
        <v>6</v>
      </c>
      <c r="D3322" t="s">
        <v>306</v>
      </c>
      <c r="E3322">
        <v>0.8</v>
      </c>
      <c r="F3322">
        <v>16.8</v>
      </c>
      <c r="G3322">
        <v>13.44</v>
      </c>
    </row>
    <row r="3323" spans="1:7" x14ac:dyDescent="0.2">
      <c r="A3323" t="s">
        <v>130</v>
      </c>
      <c r="B3323" t="s">
        <v>192</v>
      </c>
      <c r="C3323" t="s">
        <v>7</v>
      </c>
      <c r="D3323" t="s">
        <v>307</v>
      </c>
      <c r="E3323">
        <v>0.4</v>
      </c>
      <c r="F3323">
        <v>6.7</v>
      </c>
      <c r="G3323">
        <v>2.68</v>
      </c>
    </row>
    <row r="3324" spans="1:7" x14ac:dyDescent="0.2">
      <c r="A3324" t="s">
        <v>130</v>
      </c>
      <c r="B3324" t="s">
        <v>192</v>
      </c>
      <c r="C3324" t="s">
        <v>13</v>
      </c>
      <c r="D3324" t="s">
        <v>309</v>
      </c>
      <c r="E3324">
        <v>0.45</v>
      </c>
      <c r="F3324">
        <v>7</v>
      </c>
      <c r="G3324">
        <v>3.15</v>
      </c>
    </row>
    <row r="3325" spans="1:7" x14ac:dyDescent="0.2">
      <c r="A3325" t="s">
        <v>130</v>
      </c>
      <c r="B3325" t="s">
        <v>192</v>
      </c>
      <c r="C3325" t="s">
        <v>105</v>
      </c>
      <c r="D3325" t="s">
        <v>313</v>
      </c>
      <c r="E3325">
        <v>250</v>
      </c>
      <c r="F3325">
        <v>0.1</v>
      </c>
      <c r="G3325">
        <v>25</v>
      </c>
    </row>
    <row r="3326" spans="1:7" x14ac:dyDescent="0.2">
      <c r="A3326" t="s">
        <v>130</v>
      </c>
      <c r="B3326" t="s">
        <v>192</v>
      </c>
      <c r="C3326" t="s">
        <v>107</v>
      </c>
      <c r="D3326" t="s">
        <v>316</v>
      </c>
      <c r="E3326">
        <v>40</v>
      </c>
      <c r="F3326">
        <v>0.1</v>
      </c>
      <c r="G3326">
        <v>4</v>
      </c>
    </row>
    <row r="3327" spans="1:7" x14ac:dyDescent="0.2">
      <c r="A3327" t="s">
        <v>130</v>
      </c>
      <c r="B3327" t="s">
        <v>192</v>
      </c>
      <c r="C3327" t="s">
        <v>117</v>
      </c>
      <c r="D3327" t="s">
        <v>352</v>
      </c>
      <c r="E3327">
        <v>30</v>
      </c>
      <c r="F3327">
        <v>0.1</v>
      </c>
      <c r="G3327">
        <v>3</v>
      </c>
    </row>
    <row r="3328" spans="1:7" x14ac:dyDescent="0.2">
      <c r="A3328" t="s">
        <v>129</v>
      </c>
      <c r="B3328" t="s">
        <v>206</v>
      </c>
      <c r="C3328" t="s">
        <v>94</v>
      </c>
      <c r="D3328" t="s">
        <v>280</v>
      </c>
      <c r="E3328">
        <v>1</v>
      </c>
      <c r="F3328">
        <v>3.5</v>
      </c>
      <c r="G3328">
        <v>3.5</v>
      </c>
    </row>
    <row r="3329" spans="1:7" x14ac:dyDescent="0.2">
      <c r="A3329" t="s">
        <v>129</v>
      </c>
      <c r="B3329" t="s">
        <v>206</v>
      </c>
      <c r="C3329" t="s">
        <v>95</v>
      </c>
      <c r="D3329" t="s">
        <v>281</v>
      </c>
      <c r="E3329">
        <v>2</v>
      </c>
      <c r="F3329">
        <v>2</v>
      </c>
      <c r="G3329">
        <v>4</v>
      </c>
    </row>
    <row r="3330" spans="1:7" x14ac:dyDescent="0.2">
      <c r="A3330" t="s">
        <v>129</v>
      </c>
      <c r="B3330" t="s">
        <v>206</v>
      </c>
      <c r="C3330" t="s">
        <v>44</v>
      </c>
      <c r="D3330" t="s">
        <v>324</v>
      </c>
      <c r="E3330">
        <v>0.25</v>
      </c>
      <c r="F3330">
        <v>65</v>
      </c>
      <c r="G3330">
        <v>16.25</v>
      </c>
    </row>
    <row r="3331" spans="1:7" x14ac:dyDescent="0.2">
      <c r="A3331" t="s">
        <v>129</v>
      </c>
      <c r="B3331" t="s">
        <v>206</v>
      </c>
      <c r="C3331" t="s">
        <v>50</v>
      </c>
      <c r="D3331" t="s">
        <v>357</v>
      </c>
      <c r="E3331">
        <v>0.2</v>
      </c>
      <c r="F3331">
        <v>151</v>
      </c>
      <c r="G3331">
        <v>30.2</v>
      </c>
    </row>
    <row r="3332" spans="1:7" x14ac:dyDescent="0.2">
      <c r="A3332" t="s">
        <v>129</v>
      </c>
      <c r="B3332" t="s">
        <v>206</v>
      </c>
      <c r="C3332" t="s">
        <v>53</v>
      </c>
      <c r="D3332" t="s">
        <v>325</v>
      </c>
      <c r="E3332">
        <v>1.35</v>
      </c>
      <c r="F3332">
        <v>120</v>
      </c>
      <c r="G3332">
        <v>162</v>
      </c>
    </row>
    <row r="3333" spans="1:7" x14ac:dyDescent="0.2">
      <c r="A3333" t="s">
        <v>129</v>
      </c>
      <c r="B3333" t="s">
        <v>206</v>
      </c>
      <c r="C3333" t="s">
        <v>60</v>
      </c>
      <c r="D3333" t="s">
        <v>337</v>
      </c>
      <c r="E3333">
        <v>0.02</v>
      </c>
      <c r="F3333">
        <v>130</v>
      </c>
      <c r="G3333">
        <v>2.6</v>
      </c>
    </row>
    <row r="3334" spans="1:7" x14ac:dyDescent="0.2">
      <c r="A3334" t="s">
        <v>129</v>
      </c>
      <c r="B3334" t="s">
        <v>206</v>
      </c>
      <c r="C3334" t="s">
        <v>61</v>
      </c>
      <c r="D3334" t="s">
        <v>341</v>
      </c>
      <c r="E3334">
        <v>0.2</v>
      </c>
      <c r="F3334">
        <v>190</v>
      </c>
      <c r="G3334">
        <v>38</v>
      </c>
    </row>
    <row r="3335" spans="1:7" x14ac:dyDescent="0.2">
      <c r="A3335" t="s">
        <v>129</v>
      </c>
      <c r="B3335" t="s">
        <v>206</v>
      </c>
      <c r="C3335" t="s">
        <v>66</v>
      </c>
      <c r="D3335" t="s">
        <v>353</v>
      </c>
      <c r="E3335">
        <v>0.75</v>
      </c>
      <c r="F3335">
        <v>190</v>
      </c>
      <c r="G3335">
        <v>142.5</v>
      </c>
    </row>
    <row r="3336" spans="1:7" x14ac:dyDescent="0.2">
      <c r="A3336" t="s">
        <v>129</v>
      </c>
      <c r="B3336" t="s">
        <v>206</v>
      </c>
      <c r="C3336" t="s">
        <v>69</v>
      </c>
      <c r="D3336" t="s">
        <v>288</v>
      </c>
      <c r="E3336">
        <v>0.25</v>
      </c>
      <c r="F3336">
        <v>190</v>
      </c>
      <c r="G3336">
        <v>47.5</v>
      </c>
    </row>
    <row r="3337" spans="1:7" x14ac:dyDescent="0.2">
      <c r="A3337" t="s">
        <v>129</v>
      </c>
      <c r="B3337" t="s">
        <v>206</v>
      </c>
      <c r="C3337" t="s">
        <v>93</v>
      </c>
      <c r="D3337" t="s">
        <v>327</v>
      </c>
      <c r="E3337">
        <v>0.19</v>
      </c>
      <c r="F3337">
        <v>70</v>
      </c>
      <c r="G3337">
        <v>13.3</v>
      </c>
    </row>
    <row r="3338" spans="1:7" x14ac:dyDescent="0.2">
      <c r="A3338" t="s">
        <v>129</v>
      </c>
      <c r="B3338" t="s">
        <v>206</v>
      </c>
      <c r="C3338" t="s">
        <v>47</v>
      </c>
      <c r="D3338" t="s">
        <v>328</v>
      </c>
      <c r="E3338">
        <v>0.1</v>
      </c>
      <c r="F3338">
        <v>235</v>
      </c>
      <c r="G3338">
        <v>23.5</v>
      </c>
    </row>
    <row r="3339" spans="1:7" x14ac:dyDescent="0.2">
      <c r="A3339" t="s">
        <v>129</v>
      </c>
      <c r="B3339" t="s">
        <v>206</v>
      </c>
      <c r="C3339" t="s">
        <v>48</v>
      </c>
      <c r="D3339" t="s">
        <v>359</v>
      </c>
      <c r="E3339">
        <v>7.4999999999999997E-2</v>
      </c>
      <c r="F3339">
        <v>412</v>
      </c>
      <c r="G3339">
        <v>30.9</v>
      </c>
    </row>
    <row r="3340" spans="1:7" x14ac:dyDescent="0.2">
      <c r="A3340" t="s">
        <v>129</v>
      </c>
      <c r="B3340" t="s">
        <v>206</v>
      </c>
      <c r="C3340" t="s">
        <v>49</v>
      </c>
      <c r="D3340" t="s">
        <v>290</v>
      </c>
      <c r="E3340">
        <v>6.0000000000000001E-3</v>
      </c>
      <c r="F3340">
        <v>248</v>
      </c>
      <c r="G3340">
        <v>1.488</v>
      </c>
    </row>
    <row r="3341" spans="1:7" x14ac:dyDescent="0.2">
      <c r="A3341" t="s">
        <v>129</v>
      </c>
      <c r="B3341" t="s">
        <v>206</v>
      </c>
      <c r="C3341" t="s">
        <v>17</v>
      </c>
      <c r="D3341" t="s">
        <v>394</v>
      </c>
      <c r="E3341">
        <v>2</v>
      </c>
      <c r="F3341">
        <v>3.5</v>
      </c>
      <c r="G3341">
        <v>7</v>
      </c>
    </row>
    <row r="3342" spans="1:7" x14ac:dyDescent="0.2">
      <c r="A3342" t="s">
        <v>129</v>
      </c>
      <c r="B3342" t="s">
        <v>206</v>
      </c>
      <c r="C3342" t="s">
        <v>18</v>
      </c>
      <c r="D3342" t="s">
        <v>395</v>
      </c>
      <c r="E3342">
        <v>2</v>
      </c>
      <c r="F3342">
        <v>3.5</v>
      </c>
      <c r="G3342">
        <v>7</v>
      </c>
    </row>
    <row r="3343" spans="1:7" x14ac:dyDescent="0.2">
      <c r="A3343" t="s">
        <v>129</v>
      </c>
      <c r="B3343" t="s">
        <v>206</v>
      </c>
      <c r="C3343" t="s">
        <v>19</v>
      </c>
      <c r="D3343" t="s">
        <v>329</v>
      </c>
      <c r="E3343">
        <v>1</v>
      </c>
      <c r="F3343">
        <v>2.9</v>
      </c>
      <c r="G3343">
        <v>2.9</v>
      </c>
    </row>
    <row r="3344" spans="1:7" x14ac:dyDescent="0.2">
      <c r="A3344" t="s">
        <v>129</v>
      </c>
      <c r="B3344" t="s">
        <v>206</v>
      </c>
      <c r="C3344" t="s">
        <v>20</v>
      </c>
      <c r="D3344" t="s">
        <v>330</v>
      </c>
      <c r="E3344">
        <v>1</v>
      </c>
      <c r="F3344">
        <v>2.9</v>
      </c>
      <c r="G3344">
        <v>2.9</v>
      </c>
    </row>
    <row r="3345" spans="1:7" x14ac:dyDescent="0.2">
      <c r="A3345" t="s">
        <v>129</v>
      </c>
      <c r="B3345" t="s">
        <v>206</v>
      </c>
      <c r="C3345" t="s">
        <v>24</v>
      </c>
      <c r="D3345" t="s">
        <v>360</v>
      </c>
      <c r="E3345">
        <v>2</v>
      </c>
      <c r="F3345">
        <v>2.2000000000000002</v>
      </c>
      <c r="G3345">
        <v>4.4000000000000004</v>
      </c>
    </row>
    <row r="3346" spans="1:7" x14ac:dyDescent="0.2">
      <c r="A3346" t="s">
        <v>129</v>
      </c>
      <c r="B3346" t="s">
        <v>206</v>
      </c>
      <c r="C3346" t="s">
        <v>26</v>
      </c>
      <c r="D3346" t="s">
        <v>361</v>
      </c>
      <c r="E3346">
        <v>4</v>
      </c>
      <c r="F3346">
        <v>1.5</v>
      </c>
      <c r="G3346">
        <v>6</v>
      </c>
    </row>
    <row r="3347" spans="1:7" x14ac:dyDescent="0.2">
      <c r="A3347" t="s">
        <v>129</v>
      </c>
      <c r="B3347" t="s">
        <v>206</v>
      </c>
      <c r="C3347" t="s">
        <v>27</v>
      </c>
      <c r="D3347" t="s">
        <v>396</v>
      </c>
      <c r="E3347">
        <v>12</v>
      </c>
      <c r="F3347">
        <v>1.5</v>
      </c>
      <c r="G3347">
        <v>18</v>
      </c>
    </row>
    <row r="3348" spans="1:7" x14ac:dyDescent="0.2">
      <c r="A3348" t="s">
        <v>129</v>
      </c>
      <c r="B3348" t="s">
        <v>206</v>
      </c>
      <c r="C3348" t="s">
        <v>29</v>
      </c>
      <c r="D3348" t="s">
        <v>292</v>
      </c>
      <c r="E3348">
        <v>0.75</v>
      </c>
      <c r="F3348">
        <v>27</v>
      </c>
      <c r="G3348">
        <v>20.25</v>
      </c>
    </row>
    <row r="3349" spans="1:7" x14ac:dyDescent="0.2">
      <c r="A3349" t="s">
        <v>129</v>
      </c>
      <c r="B3349" t="s">
        <v>206</v>
      </c>
      <c r="C3349" t="s">
        <v>30</v>
      </c>
      <c r="D3349" t="s">
        <v>332</v>
      </c>
      <c r="E3349">
        <v>2</v>
      </c>
      <c r="F3349">
        <v>6</v>
      </c>
      <c r="G3349">
        <v>12</v>
      </c>
    </row>
    <row r="3350" spans="1:7" x14ac:dyDescent="0.2">
      <c r="A3350" t="s">
        <v>129</v>
      </c>
      <c r="B3350" t="s">
        <v>206</v>
      </c>
      <c r="C3350" t="s">
        <v>104</v>
      </c>
      <c r="D3350" t="s">
        <v>343</v>
      </c>
      <c r="E3350">
        <v>1.4999999999999999E-2</v>
      </c>
      <c r="F3350">
        <v>890</v>
      </c>
      <c r="G3350">
        <v>13.35</v>
      </c>
    </row>
    <row r="3351" spans="1:7" x14ac:dyDescent="0.2">
      <c r="A3351" t="s">
        <v>129</v>
      </c>
      <c r="B3351" t="s">
        <v>206</v>
      </c>
      <c r="C3351" t="s">
        <v>121</v>
      </c>
      <c r="D3351" t="s">
        <v>301</v>
      </c>
      <c r="E3351">
        <v>1</v>
      </c>
      <c r="F3351">
        <v>0.95</v>
      </c>
      <c r="G3351">
        <v>0.95</v>
      </c>
    </row>
    <row r="3352" spans="1:7" x14ac:dyDescent="0.2">
      <c r="A3352" t="s">
        <v>129</v>
      </c>
      <c r="B3352" t="s">
        <v>206</v>
      </c>
      <c r="C3352" t="s">
        <v>122</v>
      </c>
      <c r="D3352" t="s">
        <v>302</v>
      </c>
      <c r="E3352">
        <v>1</v>
      </c>
      <c r="F3352">
        <v>4.2</v>
      </c>
      <c r="G3352">
        <v>4.2</v>
      </c>
    </row>
    <row r="3353" spans="1:7" x14ac:dyDescent="0.2">
      <c r="A3353" t="s">
        <v>129</v>
      </c>
      <c r="B3353" t="s">
        <v>206</v>
      </c>
      <c r="C3353" t="s">
        <v>4</v>
      </c>
      <c r="D3353" t="s">
        <v>304</v>
      </c>
      <c r="E3353">
        <v>2.1</v>
      </c>
      <c r="F3353">
        <v>10.1</v>
      </c>
      <c r="G3353">
        <v>21.21</v>
      </c>
    </row>
    <row r="3354" spans="1:7" x14ac:dyDescent="0.2">
      <c r="A3354" t="s">
        <v>129</v>
      </c>
      <c r="B3354" t="s">
        <v>206</v>
      </c>
      <c r="C3354" t="s">
        <v>5</v>
      </c>
      <c r="D3354" t="s">
        <v>305</v>
      </c>
      <c r="E3354">
        <v>8.6999999999999993</v>
      </c>
      <c r="F3354">
        <v>11.5</v>
      </c>
      <c r="G3354">
        <v>100.05</v>
      </c>
    </row>
    <row r="3355" spans="1:7" x14ac:dyDescent="0.2">
      <c r="A3355" t="s">
        <v>129</v>
      </c>
      <c r="B3355" t="s">
        <v>206</v>
      </c>
      <c r="C3355" t="s">
        <v>6</v>
      </c>
      <c r="D3355" t="s">
        <v>306</v>
      </c>
      <c r="E3355">
        <v>0.8</v>
      </c>
      <c r="F3355">
        <v>16.8</v>
      </c>
      <c r="G3355">
        <v>13.44</v>
      </c>
    </row>
    <row r="3356" spans="1:7" x14ac:dyDescent="0.2">
      <c r="A3356" t="s">
        <v>129</v>
      </c>
      <c r="B3356" t="s">
        <v>206</v>
      </c>
      <c r="C3356" t="s">
        <v>7</v>
      </c>
      <c r="D3356" t="s">
        <v>307</v>
      </c>
      <c r="E3356">
        <v>0.4</v>
      </c>
      <c r="F3356">
        <v>6.7</v>
      </c>
      <c r="G3356">
        <v>2.68</v>
      </c>
    </row>
    <row r="3357" spans="1:7" x14ac:dyDescent="0.2">
      <c r="A3357" t="s">
        <v>129</v>
      </c>
      <c r="B3357" t="s">
        <v>206</v>
      </c>
      <c r="C3357" t="s">
        <v>13</v>
      </c>
      <c r="D3357" t="s">
        <v>309</v>
      </c>
      <c r="E3357">
        <v>0.45</v>
      </c>
      <c r="F3357">
        <v>7</v>
      </c>
      <c r="G3357">
        <v>3.15</v>
      </c>
    </row>
    <row r="3358" spans="1:7" x14ac:dyDescent="0.2">
      <c r="A3358" t="s">
        <v>129</v>
      </c>
      <c r="B3358" t="s">
        <v>206</v>
      </c>
      <c r="C3358" t="s">
        <v>105</v>
      </c>
      <c r="D3358" t="s">
        <v>313</v>
      </c>
      <c r="E3358">
        <v>250</v>
      </c>
      <c r="F3358">
        <v>0.1</v>
      </c>
      <c r="G3358">
        <v>25</v>
      </c>
    </row>
    <row r="3359" spans="1:7" x14ac:dyDescent="0.2">
      <c r="A3359" t="s">
        <v>129</v>
      </c>
      <c r="B3359" t="s">
        <v>206</v>
      </c>
      <c r="C3359" t="s">
        <v>107</v>
      </c>
      <c r="D3359" t="s">
        <v>316</v>
      </c>
      <c r="E3359">
        <v>40</v>
      </c>
      <c r="F3359">
        <v>0.1</v>
      </c>
      <c r="G3359">
        <v>4</v>
      </c>
    </row>
    <row r="3360" spans="1:7" x14ac:dyDescent="0.2">
      <c r="A3360" t="s">
        <v>129</v>
      </c>
      <c r="B3360" t="s">
        <v>206</v>
      </c>
      <c r="C3360" t="s">
        <v>120</v>
      </c>
      <c r="D3360" t="s">
        <v>340</v>
      </c>
      <c r="E3360">
        <v>30</v>
      </c>
      <c r="F3360">
        <v>0.1</v>
      </c>
      <c r="G3360">
        <v>3</v>
      </c>
    </row>
    <row r="3361" spans="1:7" x14ac:dyDescent="0.2">
      <c r="A3361" t="s">
        <v>126</v>
      </c>
      <c r="B3361" t="s">
        <v>208</v>
      </c>
      <c r="C3361" t="s">
        <v>94</v>
      </c>
      <c r="D3361" t="s">
        <v>280</v>
      </c>
      <c r="E3361">
        <v>1</v>
      </c>
      <c r="F3361">
        <v>3.5</v>
      </c>
      <c r="G3361">
        <v>3.5</v>
      </c>
    </row>
    <row r="3362" spans="1:7" x14ac:dyDescent="0.2">
      <c r="A3362" t="s">
        <v>126</v>
      </c>
      <c r="B3362" t="s">
        <v>208</v>
      </c>
      <c r="C3362" t="s">
        <v>95</v>
      </c>
      <c r="D3362" t="s">
        <v>281</v>
      </c>
      <c r="E3362">
        <v>2</v>
      </c>
      <c r="F3362">
        <v>2</v>
      </c>
      <c r="G3362">
        <v>4</v>
      </c>
    </row>
    <row r="3363" spans="1:7" x14ac:dyDescent="0.2">
      <c r="A3363" t="s">
        <v>126</v>
      </c>
      <c r="B3363" t="s">
        <v>208</v>
      </c>
      <c r="C3363" t="s">
        <v>44</v>
      </c>
      <c r="D3363" t="s">
        <v>324</v>
      </c>
      <c r="E3363">
        <v>0.25</v>
      </c>
      <c r="F3363">
        <v>65</v>
      </c>
      <c r="G3363">
        <v>16.25</v>
      </c>
    </row>
    <row r="3364" spans="1:7" x14ac:dyDescent="0.2">
      <c r="A3364" t="s">
        <v>126</v>
      </c>
      <c r="B3364" t="s">
        <v>208</v>
      </c>
      <c r="C3364" t="s">
        <v>50</v>
      </c>
      <c r="D3364" t="s">
        <v>357</v>
      </c>
      <c r="E3364">
        <v>0.2</v>
      </c>
      <c r="F3364">
        <v>151</v>
      </c>
      <c r="G3364">
        <v>30.2</v>
      </c>
    </row>
    <row r="3365" spans="1:7" x14ac:dyDescent="0.2">
      <c r="A3365" t="s">
        <v>126</v>
      </c>
      <c r="B3365" t="s">
        <v>208</v>
      </c>
      <c r="C3365" t="s">
        <v>54</v>
      </c>
      <c r="D3365" t="s">
        <v>358</v>
      </c>
      <c r="E3365">
        <v>1.35</v>
      </c>
      <c r="F3365">
        <v>120</v>
      </c>
      <c r="G3365">
        <v>162</v>
      </c>
    </row>
    <row r="3366" spans="1:7" x14ac:dyDescent="0.2">
      <c r="A3366" t="s">
        <v>126</v>
      </c>
      <c r="B3366" t="s">
        <v>208</v>
      </c>
      <c r="C3366" t="s">
        <v>60</v>
      </c>
      <c r="D3366" t="s">
        <v>337</v>
      </c>
      <c r="E3366">
        <v>0.02</v>
      </c>
      <c r="F3366">
        <v>130</v>
      </c>
      <c r="G3366">
        <v>2.6</v>
      </c>
    </row>
    <row r="3367" spans="1:7" x14ac:dyDescent="0.2">
      <c r="A3367" t="s">
        <v>126</v>
      </c>
      <c r="B3367" t="s">
        <v>208</v>
      </c>
      <c r="C3367" t="s">
        <v>62</v>
      </c>
      <c r="D3367" t="s">
        <v>363</v>
      </c>
      <c r="E3367">
        <v>0.2</v>
      </c>
      <c r="F3367">
        <v>190</v>
      </c>
      <c r="G3367">
        <v>38</v>
      </c>
    </row>
    <row r="3368" spans="1:7" x14ac:dyDescent="0.2">
      <c r="A3368" t="s">
        <v>126</v>
      </c>
      <c r="B3368" t="s">
        <v>208</v>
      </c>
      <c r="C3368" t="s">
        <v>69</v>
      </c>
      <c r="D3368" t="s">
        <v>288</v>
      </c>
      <c r="E3368">
        <v>0.25</v>
      </c>
      <c r="F3368">
        <v>190</v>
      </c>
      <c r="G3368">
        <v>47.5</v>
      </c>
    </row>
    <row r="3369" spans="1:7" x14ac:dyDescent="0.2">
      <c r="A3369" t="s">
        <v>126</v>
      </c>
      <c r="B3369" t="s">
        <v>208</v>
      </c>
      <c r="C3369" t="s">
        <v>71</v>
      </c>
      <c r="D3369" t="s">
        <v>385</v>
      </c>
      <c r="E3369">
        <v>0.75</v>
      </c>
      <c r="F3369">
        <v>145</v>
      </c>
      <c r="G3369">
        <v>108.75</v>
      </c>
    </row>
    <row r="3370" spans="1:7" x14ac:dyDescent="0.2">
      <c r="A3370" t="s">
        <v>126</v>
      </c>
      <c r="B3370" t="s">
        <v>208</v>
      </c>
      <c r="C3370" t="s">
        <v>93</v>
      </c>
      <c r="D3370" t="s">
        <v>327</v>
      </c>
      <c r="E3370">
        <v>0.19</v>
      </c>
      <c r="F3370">
        <v>70</v>
      </c>
      <c r="G3370">
        <v>13.3</v>
      </c>
    </row>
    <row r="3371" spans="1:7" x14ac:dyDescent="0.2">
      <c r="A3371" t="s">
        <v>126</v>
      </c>
      <c r="B3371" t="s">
        <v>208</v>
      </c>
      <c r="C3371" t="s">
        <v>47</v>
      </c>
      <c r="D3371" t="s">
        <v>328</v>
      </c>
      <c r="E3371">
        <v>0.1</v>
      </c>
      <c r="F3371">
        <v>235</v>
      </c>
      <c r="G3371">
        <v>23.5</v>
      </c>
    </row>
    <row r="3372" spans="1:7" x14ac:dyDescent="0.2">
      <c r="A3372" t="s">
        <v>126</v>
      </c>
      <c r="B3372" t="s">
        <v>208</v>
      </c>
      <c r="C3372" t="s">
        <v>48</v>
      </c>
      <c r="D3372" t="s">
        <v>359</v>
      </c>
      <c r="E3372">
        <v>7.4999999999999997E-2</v>
      </c>
      <c r="F3372">
        <v>412</v>
      </c>
      <c r="G3372">
        <v>30.9</v>
      </c>
    </row>
    <row r="3373" spans="1:7" x14ac:dyDescent="0.2">
      <c r="A3373" t="s">
        <v>126</v>
      </c>
      <c r="B3373" t="s">
        <v>208</v>
      </c>
      <c r="C3373" t="s">
        <v>49</v>
      </c>
      <c r="D3373" t="s">
        <v>290</v>
      </c>
      <c r="E3373">
        <v>6.0000000000000001E-3</v>
      </c>
      <c r="F3373">
        <v>248</v>
      </c>
      <c r="G3373">
        <v>1.488</v>
      </c>
    </row>
    <row r="3374" spans="1:7" x14ac:dyDescent="0.2">
      <c r="A3374" t="s">
        <v>126</v>
      </c>
      <c r="B3374" t="s">
        <v>208</v>
      </c>
      <c r="C3374" t="s">
        <v>19</v>
      </c>
      <c r="D3374" t="s">
        <v>329</v>
      </c>
      <c r="E3374">
        <v>3</v>
      </c>
      <c r="F3374">
        <v>2.9</v>
      </c>
      <c r="G3374">
        <v>8.6999999999999993</v>
      </c>
    </row>
    <row r="3375" spans="1:7" x14ac:dyDescent="0.2">
      <c r="A3375" t="s">
        <v>126</v>
      </c>
      <c r="B3375" t="s">
        <v>208</v>
      </c>
      <c r="C3375" t="s">
        <v>20</v>
      </c>
      <c r="D3375" t="s">
        <v>330</v>
      </c>
      <c r="E3375">
        <v>3</v>
      </c>
      <c r="F3375">
        <v>2.9</v>
      </c>
      <c r="G3375">
        <v>8.6999999999999993</v>
      </c>
    </row>
    <row r="3376" spans="1:7" x14ac:dyDescent="0.2">
      <c r="A3376" t="s">
        <v>126</v>
      </c>
      <c r="B3376" t="s">
        <v>208</v>
      </c>
      <c r="C3376" t="s">
        <v>24</v>
      </c>
      <c r="D3376" t="s">
        <v>360</v>
      </c>
      <c r="E3376">
        <v>2</v>
      </c>
      <c r="F3376">
        <v>2.2000000000000002</v>
      </c>
      <c r="G3376">
        <v>4.4000000000000004</v>
      </c>
    </row>
    <row r="3377" spans="1:7" x14ac:dyDescent="0.2">
      <c r="A3377" t="s">
        <v>126</v>
      </c>
      <c r="B3377" t="s">
        <v>208</v>
      </c>
      <c r="C3377" t="s">
        <v>26</v>
      </c>
      <c r="D3377" t="s">
        <v>361</v>
      </c>
      <c r="E3377">
        <v>16</v>
      </c>
      <c r="F3377">
        <v>1.5</v>
      </c>
      <c r="G3377">
        <v>24</v>
      </c>
    </row>
    <row r="3378" spans="1:7" x14ac:dyDescent="0.2">
      <c r="A3378" t="s">
        <v>126</v>
      </c>
      <c r="B3378" t="s">
        <v>208</v>
      </c>
      <c r="C3378" t="s">
        <v>29</v>
      </c>
      <c r="D3378" t="s">
        <v>292</v>
      </c>
      <c r="E3378">
        <v>0.75</v>
      </c>
      <c r="F3378">
        <v>27</v>
      </c>
      <c r="G3378">
        <v>20.25</v>
      </c>
    </row>
    <row r="3379" spans="1:7" x14ac:dyDescent="0.2">
      <c r="A3379" t="s">
        <v>126</v>
      </c>
      <c r="B3379" t="s">
        <v>208</v>
      </c>
      <c r="C3379" t="s">
        <v>30</v>
      </c>
      <c r="D3379" t="s">
        <v>332</v>
      </c>
      <c r="E3379">
        <v>2</v>
      </c>
      <c r="F3379">
        <v>6</v>
      </c>
      <c r="G3379">
        <v>12</v>
      </c>
    </row>
    <row r="3380" spans="1:7" x14ac:dyDescent="0.2">
      <c r="A3380" t="s">
        <v>126</v>
      </c>
      <c r="B3380" t="s">
        <v>208</v>
      </c>
      <c r="C3380" t="s">
        <v>104</v>
      </c>
      <c r="D3380" t="s">
        <v>343</v>
      </c>
      <c r="E3380">
        <v>1.4999999999999999E-2</v>
      </c>
      <c r="F3380">
        <v>890</v>
      </c>
      <c r="G3380">
        <v>13.35</v>
      </c>
    </row>
    <row r="3381" spans="1:7" x14ac:dyDescent="0.2">
      <c r="A3381" t="s">
        <v>126</v>
      </c>
      <c r="B3381" t="s">
        <v>208</v>
      </c>
      <c r="C3381" t="s">
        <v>121</v>
      </c>
      <c r="D3381" t="s">
        <v>301</v>
      </c>
      <c r="E3381">
        <v>1</v>
      </c>
      <c r="F3381">
        <v>0.95</v>
      </c>
      <c r="G3381">
        <v>0.95</v>
      </c>
    </row>
    <row r="3382" spans="1:7" x14ac:dyDescent="0.2">
      <c r="A3382" t="s">
        <v>126</v>
      </c>
      <c r="B3382" t="s">
        <v>208</v>
      </c>
      <c r="C3382" t="s">
        <v>122</v>
      </c>
      <c r="D3382" t="s">
        <v>302</v>
      </c>
      <c r="E3382">
        <v>1</v>
      </c>
      <c r="F3382">
        <v>4.2</v>
      </c>
      <c r="G3382">
        <v>4.2</v>
      </c>
    </row>
    <row r="3383" spans="1:7" x14ac:dyDescent="0.2">
      <c r="A3383" t="s">
        <v>126</v>
      </c>
      <c r="B3383" t="s">
        <v>208</v>
      </c>
      <c r="C3383" t="s">
        <v>4</v>
      </c>
      <c r="D3383" t="s">
        <v>304</v>
      </c>
      <c r="E3383">
        <v>5.3</v>
      </c>
      <c r="F3383">
        <v>10.1</v>
      </c>
      <c r="G3383">
        <v>53.53</v>
      </c>
    </row>
    <row r="3384" spans="1:7" x14ac:dyDescent="0.2">
      <c r="A3384" t="s">
        <v>126</v>
      </c>
      <c r="B3384" t="s">
        <v>208</v>
      </c>
      <c r="C3384" t="s">
        <v>5</v>
      </c>
      <c r="D3384" t="s">
        <v>305</v>
      </c>
      <c r="E3384">
        <v>2.4</v>
      </c>
      <c r="F3384">
        <v>11.5</v>
      </c>
      <c r="G3384">
        <v>27.6</v>
      </c>
    </row>
    <row r="3385" spans="1:7" x14ac:dyDescent="0.2">
      <c r="A3385" t="s">
        <v>126</v>
      </c>
      <c r="B3385" t="s">
        <v>208</v>
      </c>
      <c r="C3385" t="s">
        <v>6</v>
      </c>
      <c r="D3385" t="s">
        <v>306</v>
      </c>
      <c r="E3385">
        <v>0.8</v>
      </c>
      <c r="F3385">
        <v>16.8</v>
      </c>
      <c r="G3385">
        <v>13.44</v>
      </c>
    </row>
    <row r="3386" spans="1:7" x14ac:dyDescent="0.2">
      <c r="A3386" t="s">
        <v>126</v>
      </c>
      <c r="B3386" t="s">
        <v>208</v>
      </c>
      <c r="C3386" t="s">
        <v>7</v>
      </c>
      <c r="D3386" t="s">
        <v>307</v>
      </c>
      <c r="E3386">
        <v>0.4</v>
      </c>
      <c r="F3386">
        <v>6.7</v>
      </c>
      <c r="G3386">
        <v>2.68</v>
      </c>
    </row>
    <row r="3387" spans="1:7" x14ac:dyDescent="0.2">
      <c r="A3387" t="s">
        <v>126</v>
      </c>
      <c r="B3387" t="s">
        <v>208</v>
      </c>
      <c r="C3387" t="s">
        <v>10</v>
      </c>
      <c r="D3387" t="s">
        <v>397</v>
      </c>
      <c r="E3387">
        <v>5.2</v>
      </c>
      <c r="F3387">
        <v>11.5</v>
      </c>
      <c r="G3387">
        <v>59.8</v>
      </c>
    </row>
    <row r="3388" spans="1:7" x14ac:dyDescent="0.2">
      <c r="A3388" t="s">
        <v>126</v>
      </c>
      <c r="B3388" t="s">
        <v>208</v>
      </c>
      <c r="C3388" t="s">
        <v>13</v>
      </c>
      <c r="D3388" t="s">
        <v>309</v>
      </c>
      <c r="E3388">
        <v>0.45</v>
      </c>
      <c r="F3388">
        <v>7</v>
      </c>
      <c r="G3388">
        <v>3.15</v>
      </c>
    </row>
    <row r="3389" spans="1:7" x14ac:dyDescent="0.2">
      <c r="A3389" t="s">
        <v>126</v>
      </c>
      <c r="B3389" t="s">
        <v>208</v>
      </c>
      <c r="C3389" t="s">
        <v>105</v>
      </c>
      <c r="D3389" t="s">
        <v>313</v>
      </c>
      <c r="E3389">
        <v>120</v>
      </c>
      <c r="F3389">
        <v>0.1</v>
      </c>
      <c r="G3389">
        <v>12</v>
      </c>
    </row>
    <row r="3390" spans="1:7" x14ac:dyDescent="0.2">
      <c r="A3390" t="s">
        <v>126</v>
      </c>
      <c r="B3390" t="s">
        <v>208</v>
      </c>
      <c r="C3390" t="s">
        <v>106</v>
      </c>
      <c r="D3390" t="s">
        <v>364</v>
      </c>
      <c r="E3390">
        <v>250</v>
      </c>
      <c r="F3390">
        <v>0.1</v>
      </c>
      <c r="G3390">
        <v>25</v>
      </c>
    </row>
    <row r="3391" spans="1:7" x14ac:dyDescent="0.2">
      <c r="A3391" t="s">
        <v>126</v>
      </c>
      <c r="B3391" t="s">
        <v>208</v>
      </c>
      <c r="C3391" t="s">
        <v>112</v>
      </c>
      <c r="D3391" t="s">
        <v>362</v>
      </c>
      <c r="E3391">
        <v>40</v>
      </c>
      <c r="F3391">
        <v>0.1</v>
      </c>
      <c r="G3391">
        <v>4</v>
      </c>
    </row>
    <row r="3392" spans="1:7" x14ac:dyDescent="0.2">
      <c r="A3392" t="s">
        <v>131</v>
      </c>
      <c r="B3392" t="s">
        <v>205</v>
      </c>
      <c r="C3392" t="s">
        <v>94</v>
      </c>
      <c r="D3392" t="s">
        <v>280</v>
      </c>
      <c r="E3392">
        <v>1</v>
      </c>
      <c r="F3392">
        <v>3.5</v>
      </c>
      <c r="G3392">
        <v>3.5</v>
      </c>
    </row>
    <row r="3393" spans="1:7" x14ac:dyDescent="0.2">
      <c r="A3393" t="s">
        <v>131</v>
      </c>
      <c r="B3393" t="s">
        <v>205</v>
      </c>
      <c r="C3393" t="s">
        <v>95</v>
      </c>
      <c r="D3393" t="s">
        <v>281</v>
      </c>
      <c r="E3393">
        <v>2</v>
      </c>
      <c r="F3393">
        <v>2</v>
      </c>
      <c r="G3393">
        <v>4</v>
      </c>
    </row>
    <row r="3394" spans="1:7" x14ac:dyDescent="0.2">
      <c r="A3394" t="s">
        <v>131</v>
      </c>
      <c r="B3394" t="s">
        <v>205</v>
      </c>
      <c r="C3394" t="s">
        <v>44</v>
      </c>
      <c r="D3394" t="s">
        <v>324</v>
      </c>
      <c r="E3394">
        <v>0.25</v>
      </c>
      <c r="F3394">
        <v>65</v>
      </c>
      <c r="G3394">
        <v>16.25</v>
      </c>
    </row>
    <row r="3395" spans="1:7" x14ac:dyDescent="0.2">
      <c r="A3395" t="s">
        <v>131</v>
      </c>
      <c r="B3395" t="s">
        <v>205</v>
      </c>
      <c r="C3395" t="s">
        <v>50</v>
      </c>
      <c r="D3395" t="s">
        <v>357</v>
      </c>
      <c r="E3395">
        <v>0.2</v>
      </c>
      <c r="F3395">
        <v>151</v>
      </c>
      <c r="G3395">
        <v>30.2</v>
      </c>
    </row>
    <row r="3396" spans="1:7" x14ac:dyDescent="0.2">
      <c r="A3396" t="s">
        <v>131</v>
      </c>
      <c r="B3396" t="s">
        <v>205</v>
      </c>
      <c r="C3396" t="s">
        <v>53</v>
      </c>
      <c r="D3396" t="s">
        <v>325</v>
      </c>
      <c r="E3396">
        <v>1.35</v>
      </c>
      <c r="F3396">
        <v>120</v>
      </c>
      <c r="G3396">
        <v>162</v>
      </c>
    </row>
    <row r="3397" spans="1:7" x14ac:dyDescent="0.2">
      <c r="A3397" t="s">
        <v>131</v>
      </c>
      <c r="B3397" t="s">
        <v>205</v>
      </c>
      <c r="C3397" t="s">
        <v>60</v>
      </c>
      <c r="D3397" t="s">
        <v>337</v>
      </c>
      <c r="E3397">
        <v>0.02</v>
      </c>
      <c r="F3397">
        <v>130</v>
      </c>
      <c r="G3397">
        <v>2.6</v>
      </c>
    </row>
    <row r="3398" spans="1:7" x14ac:dyDescent="0.2">
      <c r="A3398" t="s">
        <v>131</v>
      </c>
      <c r="B3398" t="s">
        <v>205</v>
      </c>
      <c r="C3398" t="s">
        <v>61</v>
      </c>
      <c r="D3398" t="s">
        <v>341</v>
      </c>
      <c r="E3398">
        <v>0.2</v>
      </c>
      <c r="F3398">
        <v>190</v>
      </c>
      <c r="G3398">
        <v>38</v>
      </c>
    </row>
    <row r="3399" spans="1:7" x14ac:dyDescent="0.2">
      <c r="A3399" t="s">
        <v>131</v>
      </c>
      <c r="B3399" t="s">
        <v>205</v>
      </c>
      <c r="C3399" t="s">
        <v>62</v>
      </c>
      <c r="D3399" t="s">
        <v>363</v>
      </c>
      <c r="E3399">
        <v>0.75</v>
      </c>
      <c r="F3399">
        <v>190</v>
      </c>
      <c r="G3399">
        <v>142.5</v>
      </c>
    </row>
    <row r="3400" spans="1:7" x14ac:dyDescent="0.2">
      <c r="A3400" t="s">
        <v>131</v>
      </c>
      <c r="B3400" t="s">
        <v>205</v>
      </c>
      <c r="C3400" t="s">
        <v>69</v>
      </c>
      <c r="D3400" t="s">
        <v>288</v>
      </c>
      <c r="E3400">
        <v>0.25</v>
      </c>
      <c r="F3400">
        <v>190</v>
      </c>
      <c r="G3400">
        <v>47.5</v>
      </c>
    </row>
    <row r="3401" spans="1:7" x14ac:dyDescent="0.2">
      <c r="A3401" t="s">
        <v>131</v>
      </c>
      <c r="B3401" t="s">
        <v>205</v>
      </c>
      <c r="C3401" t="s">
        <v>93</v>
      </c>
      <c r="D3401" t="s">
        <v>327</v>
      </c>
      <c r="E3401">
        <v>0.19</v>
      </c>
      <c r="F3401">
        <v>70</v>
      </c>
      <c r="G3401">
        <v>13.3</v>
      </c>
    </row>
    <row r="3402" spans="1:7" x14ac:dyDescent="0.2">
      <c r="A3402" t="s">
        <v>131</v>
      </c>
      <c r="B3402" t="s">
        <v>205</v>
      </c>
      <c r="C3402" t="s">
        <v>47</v>
      </c>
      <c r="D3402" t="s">
        <v>328</v>
      </c>
      <c r="E3402">
        <v>0.1</v>
      </c>
      <c r="F3402">
        <v>235</v>
      </c>
      <c r="G3402">
        <v>23.5</v>
      </c>
    </row>
    <row r="3403" spans="1:7" x14ac:dyDescent="0.2">
      <c r="A3403" t="s">
        <v>131</v>
      </c>
      <c r="B3403" t="s">
        <v>205</v>
      </c>
      <c r="C3403" t="s">
        <v>48</v>
      </c>
      <c r="D3403" t="s">
        <v>359</v>
      </c>
      <c r="E3403">
        <v>7.4999999999999997E-2</v>
      </c>
      <c r="F3403">
        <v>412</v>
      </c>
      <c r="G3403">
        <v>30.9</v>
      </c>
    </row>
    <row r="3404" spans="1:7" x14ac:dyDescent="0.2">
      <c r="A3404" t="s">
        <v>131</v>
      </c>
      <c r="B3404" t="s">
        <v>205</v>
      </c>
      <c r="C3404" t="s">
        <v>49</v>
      </c>
      <c r="D3404" t="s">
        <v>290</v>
      </c>
      <c r="E3404">
        <v>6.0000000000000001E-3</v>
      </c>
      <c r="F3404">
        <v>248</v>
      </c>
      <c r="G3404">
        <v>1.488</v>
      </c>
    </row>
    <row r="3405" spans="1:7" x14ac:dyDescent="0.2">
      <c r="A3405" t="s">
        <v>131</v>
      </c>
      <c r="B3405" t="s">
        <v>205</v>
      </c>
      <c r="C3405" t="s">
        <v>17</v>
      </c>
      <c r="D3405" t="s">
        <v>394</v>
      </c>
      <c r="E3405">
        <v>2</v>
      </c>
      <c r="F3405">
        <v>3.5</v>
      </c>
      <c r="G3405">
        <v>7</v>
      </c>
    </row>
    <row r="3406" spans="1:7" x14ac:dyDescent="0.2">
      <c r="A3406" t="s">
        <v>131</v>
      </c>
      <c r="B3406" t="s">
        <v>205</v>
      </c>
      <c r="C3406" t="s">
        <v>18</v>
      </c>
      <c r="D3406" t="s">
        <v>395</v>
      </c>
      <c r="E3406">
        <v>2</v>
      </c>
      <c r="F3406">
        <v>3.5</v>
      </c>
      <c r="G3406">
        <v>7</v>
      </c>
    </row>
    <row r="3407" spans="1:7" x14ac:dyDescent="0.2">
      <c r="A3407" t="s">
        <v>131</v>
      </c>
      <c r="B3407" t="s">
        <v>205</v>
      </c>
      <c r="C3407" t="s">
        <v>19</v>
      </c>
      <c r="D3407" t="s">
        <v>329</v>
      </c>
      <c r="E3407">
        <v>1</v>
      </c>
      <c r="F3407">
        <v>2.9</v>
      </c>
      <c r="G3407">
        <v>2.9</v>
      </c>
    </row>
    <row r="3408" spans="1:7" x14ac:dyDescent="0.2">
      <c r="A3408" t="s">
        <v>131</v>
      </c>
      <c r="B3408" t="s">
        <v>205</v>
      </c>
      <c r="C3408" t="s">
        <v>20</v>
      </c>
      <c r="D3408" t="s">
        <v>330</v>
      </c>
      <c r="E3408">
        <v>1</v>
      </c>
      <c r="F3408">
        <v>2.9</v>
      </c>
      <c r="G3408">
        <v>2.9</v>
      </c>
    </row>
    <row r="3409" spans="1:7" x14ac:dyDescent="0.2">
      <c r="A3409" t="s">
        <v>131</v>
      </c>
      <c r="B3409" t="s">
        <v>205</v>
      </c>
      <c r="C3409" t="s">
        <v>24</v>
      </c>
      <c r="D3409" t="s">
        <v>360</v>
      </c>
      <c r="E3409">
        <v>2</v>
      </c>
      <c r="F3409">
        <v>2.2000000000000002</v>
      </c>
      <c r="G3409">
        <v>4.4000000000000004</v>
      </c>
    </row>
    <row r="3410" spans="1:7" x14ac:dyDescent="0.2">
      <c r="A3410" t="s">
        <v>131</v>
      </c>
      <c r="B3410" t="s">
        <v>205</v>
      </c>
      <c r="C3410" t="s">
        <v>26</v>
      </c>
      <c r="D3410" t="s">
        <v>361</v>
      </c>
      <c r="E3410">
        <v>4</v>
      </c>
      <c r="F3410">
        <v>1.5</v>
      </c>
      <c r="G3410">
        <v>6</v>
      </c>
    </row>
    <row r="3411" spans="1:7" x14ac:dyDescent="0.2">
      <c r="A3411" t="s">
        <v>131</v>
      </c>
      <c r="B3411" t="s">
        <v>205</v>
      </c>
      <c r="C3411" t="s">
        <v>27</v>
      </c>
      <c r="D3411" t="s">
        <v>396</v>
      </c>
      <c r="E3411">
        <v>12</v>
      </c>
      <c r="F3411">
        <v>1.5</v>
      </c>
      <c r="G3411">
        <v>18</v>
      </c>
    </row>
    <row r="3412" spans="1:7" x14ac:dyDescent="0.2">
      <c r="A3412" t="s">
        <v>131</v>
      </c>
      <c r="B3412" t="s">
        <v>205</v>
      </c>
      <c r="C3412" t="s">
        <v>29</v>
      </c>
      <c r="D3412" t="s">
        <v>292</v>
      </c>
      <c r="E3412">
        <v>0.75</v>
      </c>
      <c r="F3412">
        <v>27</v>
      </c>
      <c r="G3412">
        <v>20.25</v>
      </c>
    </row>
    <row r="3413" spans="1:7" x14ac:dyDescent="0.2">
      <c r="A3413" t="s">
        <v>131</v>
      </c>
      <c r="B3413" t="s">
        <v>205</v>
      </c>
      <c r="C3413" t="s">
        <v>30</v>
      </c>
      <c r="D3413" t="s">
        <v>332</v>
      </c>
      <c r="E3413">
        <v>2</v>
      </c>
      <c r="F3413">
        <v>6</v>
      </c>
      <c r="G3413">
        <v>12</v>
      </c>
    </row>
    <row r="3414" spans="1:7" x14ac:dyDescent="0.2">
      <c r="A3414" t="s">
        <v>131</v>
      </c>
      <c r="B3414" t="s">
        <v>205</v>
      </c>
      <c r="C3414" t="s">
        <v>104</v>
      </c>
      <c r="D3414" t="s">
        <v>343</v>
      </c>
      <c r="E3414">
        <v>1.4999999999999999E-2</v>
      </c>
      <c r="F3414">
        <v>890</v>
      </c>
      <c r="G3414">
        <v>13.35</v>
      </c>
    </row>
    <row r="3415" spans="1:7" x14ac:dyDescent="0.2">
      <c r="A3415" t="s">
        <v>131</v>
      </c>
      <c r="B3415" t="s">
        <v>205</v>
      </c>
      <c r="C3415" t="s">
        <v>121</v>
      </c>
      <c r="D3415" t="s">
        <v>301</v>
      </c>
      <c r="E3415">
        <v>1</v>
      </c>
      <c r="F3415">
        <v>0.95</v>
      </c>
      <c r="G3415">
        <v>0.95</v>
      </c>
    </row>
    <row r="3416" spans="1:7" x14ac:dyDescent="0.2">
      <c r="A3416" t="s">
        <v>131</v>
      </c>
      <c r="B3416" t="s">
        <v>205</v>
      </c>
      <c r="C3416" t="s">
        <v>122</v>
      </c>
      <c r="D3416" t="s">
        <v>302</v>
      </c>
      <c r="E3416">
        <v>1</v>
      </c>
      <c r="F3416">
        <v>4.2</v>
      </c>
      <c r="G3416">
        <v>4.2</v>
      </c>
    </row>
    <row r="3417" spans="1:7" x14ac:dyDescent="0.2">
      <c r="A3417" t="s">
        <v>131</v>
      </c>
      <c r="B3417" t="s">
        <v>205</v>
      </c>
      <c r="C3417" t="s">
        <v>4</v>
      </c>
      <c r="D3417" t="s">
        <v>304</v>
      </c>
      <c r="E3417">
        <v>2.1</v>
      </c>
      <c r="F3417">
        <v>10.1</v>
      </c>
      <c r="G3417">
        <v>21.21</v>
      </c>
    </row>
    <row r="3418" spans="1:7" x14ac:dyDescent="0.2">
      <c r="A3418" t="s">
        <v>131</v>
      </c>
      <c r="B3418" t="s">
        <v>205</v>
      </c>
      <c r="C3418" t="s">
        <v>5</v>
      </c>
      <c r="D3418" t="s">
        <v>305</v>
      </c>
      <c r="E3418">
        <v>8.6999999999999993</v>
      </c>
      <c r="F3418">
        <v>11.5</v>
      </c>
      <c r="G3418">
        <v>100.05</v>
      </c>
    </row>
    <row r="3419" spans="1:7" x14ac:dyDescent="0.2">
      <c r="A3419" t="s">
        <v>131</v>
      </c>
      <c r="B3419" t="s">
        <v>205</v>
      </c>
      <c r="C3419" t="s">
        <v>6</v>
      </c>
      <c r="D3419" t="s">
        <v>306</v>
      </c>
      <c r="E3419">
        <v>0.8</v>
      </c>
      <c r="F3419">
        <v>16.8</v>
      </c>
      <c r="G3419">
        <v>13.44</v>
      </c>
    </row>
    <row r="3420" spans="1:7" x14ac:dyDescent="0.2">
      <c r="A3420" t="s">
        <v>131</v>
      </c>
      <c r="B3420" t="s">
        <v>205</v>
      </c>
      <c r="C3420" t="s">
        <v>7</v>
      </c>
      <c r="D3420" t="s">
        <v>307</v>
      </c>
      <c r="E3420">
        <v>0.4</v>
      </c>
      <c r="F3420">
        <v>6.7</v>
      </c>
      <c r="G3420">
        <v>2.68</v>
      </c>
    </row>
    <row r="3421" spans="1:7" x14ac:dyDescent="0.2">
      <c r="A3421" t="s">
        <v>131</v>
      </c>
      <c r="B3421" t="s">
        <v>205</v>
      </c>
      <c r="C3421" t="s">
        <v>13</v>
      </c>
      <c r="D3421" t="s">
        <v>309</v>
      </c>
      <c r="E3421">
        <v>0.45</v>
      </c>
      <c r="F3421">
        <v>7</v>
      </c>
      <c r="G3421">
        <v>3.15</v>
      </c>
    </row>
    <row r="3422" spans="1:7" x14ac:dyDescent="0.2">
      <c r="A3422" t="s">
        <v>131</v>
      </c>
      <c r="B3422" t="s">
        <v>205</v>
      </c>
      <c r="C3422" t="s">
        <v>105</v>
      </c>
      <c r="D3422" t="s">
        <v>313</v>
      </c>
      <c r="E3422">
        <v>250</v>
      </c>
      <c r="F3422">
        <v>0.1</v>
      </c>
      <c r="G3422">
        <v>25</v>
      </c>
    </row>
    <row r="3423" spans="1:7" x14ac:dyDescent="0.2">
      <c r="A3423" t="s">
        <v>131</v>
      </c>
      <c r="B3423" t="s">
        <v>205</v>
      </c>
      <c r="C3423" t="s">
        <v>106</v>
      </c>
      <c r="D3423" t="s">
        <v>364</v>
      </c>
      <c r="E3423">
        <v>30</v>
      </c>
      <c r="F3423">
        <v>0.1</v>
      </c>
      <c r="G3423">
        <v>3</v>
      </c>
    </row>
    <row r="3424" spans="1:7" x14ac:dyDescent="0.2">
      <c r="A3424" t="s">
        <v>131</v>
      </c>
      <c r="B3424" t="s">
        <v>205</v>
      </c>
      <c r="C3424" t="s">
        <v>107</v>
      </c>
      <c r="D3424" t="s">
        <v>316</v>
      </c>
      <c r="E3424">
        <v>40</v>
      </c>
      <c r="F3424">
        <v>0.1</v>
      </c>
      <c r="G3424">
        <v>4</v>
      </c>
    </row>
    <row r="3425" spans="1:7" x14ac:dyDescent="0.2">
      <c r="A3425" t="s">
        <v>127</v>
      </c>
      <c r="B3425" t="s">
        <v>241</v>
      </c>
      <c r="C3425" t="s">
        <v>94</v>
      </c>
      <c r="D3425" t="s">
        <v>280</v>
      </c>
      <c r="E3425">
        <v>1</v>
      </c>
      <c r="F3425">
        <v>3.5</v>
      </c>
      <c r="G3425">
        <v>3.5</v>
      </c>
    </row>
    <row r="3426" spans="1:7" x14ac:dyDescent="0.2">
      <c r="A3426" t="s">
        <v>127</v>
      </c>
      <c r="B3426" t="s">
        <v>241</v>
      </c>
      <c r="C3426" t="s">
        <v>95</v>
      </c>
      <c r="D3426" t="s">
        <v>281</v>
      </c>
      <c r="E3426">
        <v>2</v>
      </c>
      <c r="F3426">
        <v>2</v>
      </c>
      <c r="G3426">
        <v>4</v>
      </c>
    </row>
    <row r="3427" spans="1:7" x14ac:dyDescent="0.2">
      <c r="A3427" t="s">
        <v>127</v>
      </c>
      <c r="B3427" t="s">
        <v>241</v>
      </c>
      <c r="C3427" t="s">
        <v>44</v>
      </c>
      <c r="D3427" t="s">
        <v>324</v>
      </c>
      <c r="E3427">
        <v>0.25</v>
      </c>
      <c r="F3427">
        <v>65</v>
      </c>
      <c r="G3427">
        <v>16.25</v>
      </c>
    </row>
    <row r="3428" spans="1:7" x14ac:dyDescent="0.2">
      <c r="A3428" t="s">
        <v>127</v>
      </c>
      <c r="B3428" t="s">
        <v>241</v>
      </c>
      <c r="C3428" t="s">
        <v>50</v>
      </c>
      <c r="D3428" t="s">
        <v>357</v>
      </c>
      <c r="E3428">
        <v>0.2</v>
      </c>
      <c r="F3428">
        <v>151</v>
      </c>
      <c r="G3428">
        <v>30.2</v>
      </c>
    </row>
    <row r="3429" spans="1:7" x14ac:dyDescent="0.2">
      <c r="A3429" t="s">
        <v>127</v>
      </c>
      <c r="B3429" t="s">
        <v>241</v>
      </c>
      <c r="C3429" t="s">
        <v>53</v>
      </c>
      <c r="D3429" t="s">
        <v>325</v>
      </c>
      <c r="E3429">
        <v>1.35</v>
      </c>
      <c r="F3429">
        <v>120</v>
      </c>
      <c r="G3429">
        <v>162</v>
      </c>
    </row>
    <row r="3430" spans="1:7" x14ac:dyDescent="0.2">
      <c r="A3430" t="s">
        <v>127</v>
      </c>
      <c r="B3430" t="s">
        <v>241</v>
      </c>
      <c r="C3430" t="s">
        <v>60</v>
      </c>
      <c r="D3430" t="s">
        <v>337</v>
      </c>
      <c r="E3430">
        <v>0.02</v>
      </c>
      <c r="F3430">
        <v>130</v>
      </c>
      <c r="G3430">
        <v>2.6</v>
      </c>
    </row>
    <row r="3431" spans="1:7" x14ac:dyDescent="0.2">
      <c r="A3431" t="s">
        <v>127</v>
      </c>
      <c r="B3431" t="s">
        <v>241</v>
      </c>
      <c r="C3431" t="s">
        <v>61</v>
      </c>
      <c r="D3431" t="s">
        <v>341</v>
      </c>
      <c r="E3431">
        <v>0.2</v>
      </c>
      <c r="F3431">
        <v>190</v>
      </c>
      <c r="G3431">
        <v>38</v>
      </c>
    </row>
    <row r="3432" spans="1:7" x14ac:dyDescent="0.2">
      <c r="A3432" t="s">
        <v>127</v>
      </c>
      <c r="B3432" t="s">
        <v>241</v>
      </c>
      <c r="C3432" t="s">
        <v>63</v>
      </c>
      <c r="D3432" t="s">
        <v>354</v>
      </c>
      <c r="E3432">
        <v>0.75</v>
      </c>
      <c r="F3432">
        <v>190</v>
      </c>
      <c r="G3432">
        <v>142.5</v>
      </c>
    </row>
    <row r="3433" spans="1:7" x14ac:dyDescent="0.2">
      <c r="A3433" t="s">
        <v>127</v>
      </c>
      <c r="B3433" t="s">
        <v>241</v>
      </c>
      <c r="C3433" t="s">
        <v>69</v>
      </c>
      <c r="D3433" t="s">
        <v>288</v>
      </c>
      <c r="E3433">
        <v>0.25</v>
      </c>
      <c r="F3433">
        <v>190</v>
      </c>
      <c r="G3433">
        <v>47.5</v>
      </c>
    </row>
    <row r="3434" spans="1:7" x14ac:dyDescent="0.2">
      <c r="A3434" t="s">
        <v>127</v>
      </c>
      <c r="B3434" t="s">
        <v>241</v>
      </c>
      <c r="C3434" t="s">
        <v>93</v>
      </c>
      <c r="D3434" t="s">
        <v>327</v>
      </c>
      <c r="E3434">
        <v>0.19</v>
      </c>
      <c r="F3434">
        <v>70</v>
      </c>
      <c r="G3434">
        <v>13.3</v>
      </c>
    </row>
    <row r="3435" spans="1:7" x14ac:dyDescent="0.2">
      <c r="A3435" t="s">
        <v>127</v>
      </c>
      <c r="B3435" t="s">
        <v>241</v>
      </c>
      <c r="C3435" t="s">
        <v>47</v>
      </c>
      <c r="D3435" t="s">
        <v>328</v>
      </c>
      <c r="E3435">
        <v>0.1</v>
      </c>
      <c r="F3435">
        <v>235</v>
      </c>
      <c r="G3435">
        <v>23.5</v>
      </c>
    </row>
    <row r="3436" spans="1:7" x14ac:dyDescent="0.2">
      <c r="A3436" t="s">
        <v>127</v>
      </c>
      <c r="B3436" t="s">
        <v>241</v>
      </c>
      <c r="C3436" t="s">
        <v>48</v>
      </c>
      <c r="D3436" t="s">
        <v>359</v>
      </c>
      <c r="E3436">
        <v>7.4999999999999997E-2</v>
      </c>
      <c r="F3436">
        <v>412</v>
      </c>
      <c r="G3436">
        <v>30.9</v>
      </c>
    </row>
    <row r="3437" spans="1:7" x14ac:dyDescent="0.2">
      <c r="A3437" t="s">
        <v>127</v>
      </c>
      <c r="B3437" t="s">
        <v>241</v>
      </c>
      <c r="C3437" t="s">
        <v>49</v>
      </c>
      <c r="D3437" t="s">
        <v>290</v>
      </c>
      <c r="E3437">
        <v>6.0000000000000001E-3</v>
      </c>
      <c r="F3437">
        <v>248</v>
      </c>
      <c r="G3437">
        <v>1.488</v>
      </c>
    </row>
    <row r="3438" spans="1:7" x14ac:dyDescent="0.2">
      <c r="A3438" t="s">
        <v>127</v>
      </c>
      <c r="B3438" t="s">
        <v>241</v>
      </c>
      <c r="C3438" t="s">
        <v>17</v>
      </c>
      <c r="D3438" t="s">
        <v>394</v>
      </c>
      <c r="E3438">
        <v>2</v>
      </c>
      <c r="F3438">
        <v>3.5</v>
      </c>
      <c r="G3438">
        <v>7</v>
      </c>
    </row>
    <row r="3439" spans="1:7" x14ac:dyDescent="0.2">
      <c r="A3439" t="s">
        <v>127</v>
      </c>
      <c r="B3439" t="s">
        <v>241</v>
      </c>
      <c r="C3439" t="s">
        <v>18</v>
      </c>
      <c r="D3439" t="s">
        <v>395</v>
      </c>
      <c r="E3439">
        <v>2</v>
      </c>
      <c r="F3439">
        <v>3.5</v>
      </c>
      <c r="G3439">
        <v>7</v>
      </c>
    </row>
    <row r="3440" spans="1:7" x14ac:dyDescent="0.2">
      <c r="A3440" t="s">
        <v>127</v>
      </c>
      <c r="B3440" t="s">
        <v>241</v>
      </c>
      <c r="C3440" t="s">
        <v>19</v>
      </c>
      <c r="D3440" t="s">
        <v>329</v>
      </c>
      <c r="E3440">
        <v>1</v>
      </c>
      <c r="F3440">
        <v>2.9</v>
      </c>
      <c r="G3440">
        <v>2.9</v>
      </c>
    </row>
    <row r="3441" spans="1:7" x14ac:dyDescent="0.2">
      <c r="A3441" t="s">
        <v>127</v>
      </c>
      <c r="B3441" t="s">
        <v>241</v>
      </c>
      <c r="C3441" t="s">
        <v>20</v>
      </c>
      <c r="D3441" t="s">
        <v>330</v>
      </c>
      <c r="E3441">
        <v>1</v>
      </c>
      <c r="F3441">
        <v>2.9</v>
      </c>
      <c r="G3441">
        <v>2.9</v>
      </c>
    </row>
    <row r="3442" spans="1:7" x14ac:dyDescent="0.2">
      <c r="A3442" t="s">
        <v>127</v>
      </c>
      <c r="B3442" t="s">
        <v>241</v>
      </c>
      <c r="C3442" t="s">
        <v>24</v>
      </c>
      <c r="D3442" t="s">
        <v>360</v>
      </c>
      <c r="E3442">
        <v>2</v>
      </c>
      <c r="F3442">
        <v>2.2000000000000002</v>
      </c>
      <c r="G3442">
        <v>4.4000000000000004</v>
      </c>
    </row>
    <row r="3443" spans="1:7" x14ac:dyDescent="0.2">
      <c r="A3443" t="s">
        <v>127</v>
      </c>
      <c r="B3443" t="s">
        <v>241</v>
      </c>
      <c r="C3443" t="s">
        <v>26</v>
      </c>
      <c r="D3443" t="s">
        <v>361</v>
      </c>
      <c r="E3443">
        <v>4</v>
      </c>
      <c r="F3443">
        <v>1.5</v>
      </c>
      <c r="G3443">
        <v>6</v>
      </c>
    </row>
    <row r="3444" spans="1:7" x14ac:dyDescent="0.2">
      <c r="A3444" t="s">
        <v>127</v>
      </c>
      <c r="B3444" t="s">
        <v>241</v>
      </c>
      <c r="C3444" t="s">
        <v>27</v>
      </c>
      <c r="D3444" t="s">
        <v>396</v>
      </c>
      <c r="E3444">
        <v>12</v>
      </c>
      <c r="F3444">
        <v>1.5</v>
      </c>
      <c r="G3444">
        <v>18</v>
      </c>
    </row>
    <row r="3445" spans="1:7" x14ac:dyDescent="0.2">
      <c r="A3445" t="s">
        <v>127</v>
      </c>
      <c r="B3445" t="s">
        <v>241</v>
      </c>
      <c r="C3445" t="s">
        <v>29</v>
      </c>
      <c r="D3445" t="s">
        <v>292</v>
      </c>
      <c r="E3445">
        <v>0.75</v>
      </c>
      <c r="F3445">
        <v>27</v>
      </c>
      <c r="G3445">
        <v>20.25</v>
      </c>
    </row>
    <row r="3446" spans="1:7" x14ac:dyDescent="0.2">
      <c r="A3446" t="s">
        <v>127</v>
      </c>
      <c r="B3446" t="s">
        <v>241</v>
      </c>
      <c r="C3446" t="s">
        <v>30</v>
      </c>
      <c r="D3446" t="s">
        <v>332</v>
      </c>
      <c r="E3446">
        <v>2</v>
      </c>
      <c r="F3446">
        <v>6</v>
      </c>
      <c r="G3446">
        <v>12</v>
      </c>
    </row>
    <row r="3447" spans="1:7" x14ac:dyDescent="0.2">
      <c r="A3447" t="s">
        <v>127</v>
      </c>
      <c r="B3447" t="s">
        <v>241</v>
      </c>
      <c r="C3447" t="s">
        <v>104</v>
      </c>
      <c r="D3447" t="s">
        <v>343</v>
      </c>
      <c r="E3447">
        <v>1.4999999999999999E-2</v>
      </c>
      <c r="F3447">
        <v>890</v>
      </c>
      <c r="G3447">
        <v>13.35</v>
      </c>
    </row>
    <row r="3448" spans="1:7" x14ac:dyDescent="0.2">
      <c r="A3448" t="s">
        <v>127</v>
      </c>
      <c r="B3448" t="s">
        <v>241</v>
      </c>
      <c r="C3448" t="s">
        <v>121</v>
      </c>
      <c r="D3448" t="s">
        <v>301</v>
      </c>
      <c r="E3448">
        <v>1</v>
      </c>
      <c r="F3448">
        <v>0.95</v>
      </c>
      <c r="G3448">
        <v>0.95</v>
      </c>
    </row>
    <row r="3449" spans="1:7" x14ac:dyDescent="0.2">
      <c r="A3449" t="s">
        <v>127</v>
      </c>
      <c r="B3449" t="s">
        <v>241</v>
      </c>
      <c r="C3449" t="s">
        <v>122</v>
      </c>
      <c r="D3449" t="s">
        <v>302</v>
      </c>
      <c r="E3449">
        <v>1</v>
      </c>
      <c r="F3449">
        <v>4.2</v>
      </c>
      <c r="G3449">
        <v>4.2</v>
      </c>
    </row>
    <row r="3450" spans="1:7" x14ac:dyDescent="0.2">
      <c r="A3450" t="s">
        <v>127</v>
      </c>
      <c r="B3450" t="s">
        <v>241</v>
      </c>
      <c r="C3450" t="s">
        <v>4</v>
      </c>
      <c r="D3450" t="s">
        <v>304</v>
      </c>
      <c r="E3450">
        <v>2.1</v>
      </c>
      <c r="F3450">
        <v>10.1</v>
      </c>
      <c r="G3450">
        <v>21.21</v>
      </c>
    </row>
    <row r="3451" spans="1:7" x14ac:dyDescent="0.2">
      <c r="A3451" t="s">
        <v>127</v>
      </c>
      <c r="B3451" t="s">
        <v>241</v>
      </c>
      <c r="C3451" t="s">
        <v>5</v>
      </c>
      <c r="D3451" t="s">
        <v>305</v>
      </c>
      <c r="E3451">
        <v>8.6999999999999993</v>
      </c>
      <c r="F3451">
        <v>11.5</v>
      </c>
      <c r="G3451">
        <v>100.05</v>
      </c>
    </row>
    <row r="3452" spans="1:7" x14ac:dyDescent="0.2">
      <c r="A3452" t="s">
        <v>127</v>
      </c>
      <c r="B3452" t="s">
        <v>241</v>
      </c>
      <c r="C3452" t="s">
        <v>6</v>
      </c>
      <c r="D3452" t="s">
        <v>306</v>
      </c>
      <c r="E3452">
        <v>0.8</v>
      </c>
      <c r="F3452">
        <v>16.8</v>
      </c>
      <c r="G3452">
        <v>13.44</v>
      </c>
    </row>
    <row r="3453" spans="1:7" x14ac:dyDescent="0.2">
      <c r="A3453" t="s">
        <v>127</v>
      </c>
      <c r="B3453" t="s">
        <v>241</v>
      </c>
      <c r="C3453" t="s">
        <v>7</v>
      </c>
      <c r="D3453" t="s">
        <v>307</v>
      </c>
      <c r="E3453">
        <v>0.4</v>
      </c>
      <c r="F3453">
        <v>6.7</v>
      </c>
      <c r="G3453">
        <v>2.68</v>
      </c>
    </row>
    <row r="3454" spans="1:7" x14ac:dyDescent="0.2">
      <c r="A3454" t="s">
        <v>127</v>
      </c>
      <c r="B3454" t="s">
        <v>241</v>
      </c>
      <c r="C3454" t="s">
        <v>13</v>
      </c>
      <c r="D3454" t="s">
        <v>309</v>
      </c>
      <c r="E3454">
        <v>0.45</v>
      </c>
      <c r="F3454">
        <v>7</v>
      </c>
      <c r="G3454">
        <v>3.15</v>
      </c>
    </row>
    <row r="3455" spans="1:7" x14ac:dyDescent="0.2">
      <c r="A3455" t="s">
        <v>127</v>
      </c>
      <c r="B3455" t="s">
        <v>241</v>
      </c>
      <c r="C3455" t="s">
        <v>105</v>
      </c>
      <c r="D3455" t="s">
        <v>313</v>
      </c>
      <c r="E3455">
        <v>250</v>
      </c>
      <c r="F3455">
        <v>0.1</v>
      </c>
      <c r="G3455">
        <v>25</v>
      </c>
    </row>
    <row r="3456" spans="1:7" x14ac:dyDescent="0.2">
      <c r="A3456" t="s">
        <v>127</v>
      </c>
      <c r="B3456" t="s">
        <v>241</v>
      </c>
      <c r="C3456" t="s">
        <v>107</v>
      </c>
      <c r="D3456" t="s">
        <v>316</v>
      </c>
      <c r="E3456">
        <v>40</v>
      </c>
      <c r="F3456">
        <v>0.1</v>
      </c>
      <c r="G3456">
        <v>4</v>
      </c>
    </row>
    <row r="3457" spans="1:7" x14ac:dyDescent="0.2">
      <c r="A3457" t="s">
        <v>127</v>
      </c>
      <c r="B3457" t="s">
        <v>241</v>
      </c>
      <c r="C3457" t="s">
        <v>119</v>
      </c>
      <c r="D3457" t="s">
        <v>334</v>
      </c>
      <c r="E3457">
        <v>30</v>
      </c>
      <c r="F3457">
        <v>0.1</v>
      </c>
      <c r="G3457">
        <v>3</v>
      </c>
    </row>
    <row r="3458" spans="1:7" x14ac:dyDescent="0.2">
      <c r="A3458" t="s">
        <v>128</v>
      </c>
      <c r="B3458" t="s">
        <v>242</v>
      </c>
      <c r="C3458" t="s">
        <v>94</v>
      </c>
      <c r="D3458" t="s">
        <v>280</v>
      </c>
      <c r="E3458">
        <v>1</v>
      </c>
      <c r="F3458">
        <v>3.5</v>
      </c>
      <c r="G3458">
        <v>3.5</v>
      </c>
    </row>
    <row r="3459" spans="1:7" x14ac:dyDescent="0.2">
      <c r="A3459" t="s">
        <v>128</v>
      </c>
      <c r="B3459" t="s">
        <v>242</v>
      </c>
      <c r="C3459" t="s">
        <v>95</v>
      </c>
      <c r="D3459" t="s">
        <v>281</v>
      </c>
      <c r="E3459">
        <v>2</v>
      </c>
      <c r="F3459">
        <v>2</v>
      </c>
      <c r="G3459">
        <v>4</v>
      </c>
    </row>
    <row r="3460" spans="1:7" x14ac:dyDescent="0.2">
      <c r="A3460" t="s">
        <v>128</v>
      </c>
      <c r="B3460" t="s">
        <v>242</v>
      </c>
      <c r="C3460" t="s">
        <v>44</v>
      </c>
      <c r="D3460" t="s">
        <v>324</v>
      </c>
      <c r="E3460">
        <v>0.25</v>
      </c>
      <c r="F3460">
        <v>65</v>
      </c>
      <c r="G3460">
        <v>16.25</v>
      </c>
    </row>
    <row r="3461" spans="1:7" x14ac:dyDescent="0.2">
      <c r="A3461" t="s">
        <v>128</v>
      </c>
      <c r="B3461" t="s">
        <v>242</v>
      </c>
      <c r="C3461" t="s">
        <v>50</v>
      </c>
      <c r="D3461" t="s">
        <v>357</v>
      </c>
      <c r="E3461">
        <v>0.2</v>
      </c>
      <c r="F3461">
        <v>151</v>
      </c>
      <c r="G3461">
        <v>30.2</v>
      </c>
    </row>
    <row r="3462" spans="1:7" x14ac:dyDescent="0.2">
      <c r="A3462" t="s">
        <v>128</v>
      </c>
      <c r="B3462" t="s">
        <v>242</v>
      </c>
      <c r="C3462" t="s">
        <v>53</v>
      </c>
      <c r="D3462" t="s">
        <v>325</v>
      </c>
      <c r="E3462">
        <v>1.25</v>
      </c>
      <c r="F3462">
        <v>120</v>
      </c>
      <c r="G3462">
        <v>150</v>
      </c>
    </row>
    <row r="3463" spans="1:7" x14ac:dyDescent="0.2">
      <c r="A3463" t="s">
        <v>128</v>
      </c>
      <c r="B3463" t="s">
        <v>242</v>
      </c>
      <c r="C3463" t="s">
        <v>60</v>
      </c>
      <c r="D3463" t="s">
        <v>337</v>
      </c>
      <c r="E3463">
        <v>0.02</v>
      </c>
      <c r="F3463">
        <v>130</v>
      </c>
      <c r="G3463">
        <v>2.6</v>
      </c>
    </row>
    <row r="3464" spans="1:7" x14ac:dyDescent="0.2">
      <c r="A3464" t="s">
        <v>128</v>
      </c>
      <c r="B3464" t="s">
        <v>242</v>
      </c>
      <c r="C3464" t="s">
        <v>61</v>
      </c>
      <c r="D3464" t="s">
        <v>341</v>
      </c>
      <c r="E3464">
        <v>0.2</v>
      </c>
      <c r="F3464">
        <v>190</v>
      </c>
      <c r="G3464">
        <v>38</v>
      </c>
    </row>
    <row r="3465" spans="1:7" x14ac:dyDescent="0.2">
      <c r="A3465" t="s">
        <v>128</v>
      </c>
      <c r="B3465" t="s">
        <v>242</v>
      </c>
      <c r="C3465" t="s">
        <v>67</v>
      </c>
      <c r="D3465" t="s">
        <v>355</v>
      </c>
      <c r="E3465">
        <v>0.75</v>
      </c>
      <c r="F3465">
        <v>190</v>
      </c>
      <c r="G3465">
        <v>142.5</v>
      </c>
    </row>
    <row r="3466" spans="1:7" x14ac:dyDescent="0.2">
      <c r="A3466" t="s">
        <v>128</v>
      </c>
      <c r="B3466" t="s">
        <v>242</v>
      </c>
      <c r="C3466" t="s">
        <v>69</v>
      </c>
      <c r="D3466" t="s">
        <v>288</v>
      </c>
      <c r="E3466">
        <v>0.25</v>
      </c>
      <c r="F3466">
        <v>190</v>
      </c>
      <c r="G3466">
        <v>47.5</v>
      </c>
    </row>
    <row r="3467" spans="1:7" x14ac:dyDescent="0.2">
      <c r="A3467" t="s">
        <v>128</v>
      </c>
      <c r="B3467" t="s">
        <v>242</v>
      </c>
      <c r="C3467" t="s">
        <v>93</v>
      </c>
      <c r="D3467" t="s">
        <v>327</v>
      </c>
      <c r="E3467">
        <v>0.19</v>
      </c>
      <c r="F3467">
        <v>70</v>
      </c>
      <c r="G3467">
        <v>13.3</v>
      </c>
    </row>
    <row r="3468" spans="1:7" x14ac:dyDescent="0.2">
      <c r="A3468" t="s">
        <v>128</v>
      </c>
      <c r="B3468" t="s">
        <v>242</v>
      </c>
      <c r="C3468" t="s">
        <v>47</v>
      </c>
      <c r="D3468" t="s">
        <v>328</v>
      </c>
      <c r="E3468">
        <v>0.1</v>
      </c>
      <c r="F3468">
        <v>235</v>
      </c>
      <c r="G3468">
        <v>23.5</v>
      </c>
    </row>
    <row r="3469" spans="1:7" x14ac:dyDescent="0.2">
      <c r="A3469" t="s">
        <v>128</v>
      </c>
      <c r="B3469" t="s">
        <v>242</v>
      </c>
      <c r="C3469" t="s">
        <v>48</v>
      </c>
      <c r="D3469" t="s">
        <v>359</v>
      </c>
      <c r="E3469">
        <v>7.4999999999999997E-2</v>
      </c>
      <c r="F3469">
        <v>412</v>
      </c>
      <c r="G3469">
        <v>30.9</v>
      </c>
    </row>
    <row r="3470" spans="1:7" x14ac:dyDescent="0.2">
      <c r="A3470" t="s">
        <v>128</v>
      </c>
      <c r="B3470" t="s">
        <v>242</v>
      </c>
      <c r="C3470" t="s">
        <v>49</v>
      </c>
      <c r="D3470" t="s">
        <v>290</v>
      </c>
      <c r="E3470">
        <v>6.0000000000000001E-3</v>
      </c>
      <c r="F3470">
        <v>248</v>
      </c>
      <c r="G3470">
        <v>1.488</v>
      </c>
    </row>
    <row r="3471" spans="1:7" x14ac:dyDescent="0.2">
      <c r="A3471" t="s">
        <v>128</v>
      </c>
      <c r="B3471" t="s">
        <v>242</v>
      </c>
      <c r="C3471" t="s">
        <v>17</v>
      </c>
      <c r="D3471" t="s">
        <v>394</v>
      </c>
      <c r="E3471">
        <v>2</v>
      </c>
      <c r="F3471">
        <v>3.5</v>
      </c>
      <c r="G3471">
        <v>7</v>
      </c>
    </row>
    <row r="3472" spans="1:7" x14ac:dyDescent="0.2">
      <c r="A3472" t="s">
        <v>128</v>
      </c>
      <c r="B3472" t="s">
        <v>242</v>
      </c>
      <c r="C3472" t="s">
        <v>18</v>
      </c>
      <c r="D3472" t="s">
        <v>395</v>
      </c>
      <c r="E3472">
        <v>2</v>
      </c>
      <c r="F3472">
        <v>3.5</v>
      </c>
      <c r="G3472">
        <v>7</v>
      </c>
    </row>
    <row r="3473" spans="1:7" x14ac:dyDescent="0.2">
      <c r="A3473" t="s">
        <v>128</v>
      </c>
      <c r="B3473" t="s">
        <v>242</v>
      </c>
      <c r="C3473" t="s">
        <v>19</v>
      </c>
      <c r="D3473" t="s">
        <v>329</v>
      </c>
      <c r="E3473">
        <v>1</v>
      </c>
      <c r="F3473">
        <v>2.9</v>
      </c>
      <c r="G3473">
        <v>2.9</v>
      </c>
    </row>
    <row r="3474" spans="1:7" x14ac:dyDescent="0.2">
      <c r="A3474" t="s">
        <v>128</v>
      </c>
      <c r="B3474" t="s">
        <v>242</v>
      </c>
      <c r="C3474" t="s">
        <v>20</v>
      </c>
      <c r="D3474" t="s">
        <v>330</v>
      </c>
      <c r="E3474">
        <v>1</v>
      </c>
      <c r="F3474">
        <v>2.9</v>
      </c>
      <c r="G3474">
        <v>2.9</v>
      </c>
    </row>
    <row r="3475" spans="1:7" x14ac:dyDescent="0.2">
      <c r="A3475" t="s">
        <v>128</v>
      </c>
      <c r="B3475" t="s">
        <v>242</v>
      </c>
      <c r="C3475" t="s">
        <v>24</v>
      </c>
      <c r="D3475" t="s">
        <v>360</v>
      </c>
      <c r="E3475">
        <v>2</v>
      </c>
      <c r="F3475">
        <v>2.2000000000000002</v>
      </c>
      <c r="G3475">
        <v>4.4000000000000004</v>
      </c>
    </row>
    <row r="3476" spans="1:7" x14ac:dyDescent="0.2">
      <c r="A3476" t="s">
        <v>128</v>
      </c>
      <c r="B3476" t="s">
        <v>242</v>
      </c>
      <c r="C3476" t="s">
        <v>26</v>
      </c>
      <c r="D3476" t="s">
        <v>361</v>
      </c>
      <c r="E3476">
        <v>4</v>
      </c>
      <c r="F3476">
        <v>1.5</v>
      </c>
      <c r="G3476">
        <v>6</v>
      </c>
    </row>
    <row r="3477" spans="1:7" x14ac:dyDescent="0.2">
      <c r="A3477" t="s">
        <v>128</v>
      </c>
      <c r="B3477" t="s">
        <v>242</v>
      </c>
      <c r="C3477" t="s">
        <v>27</v>
      </c>
      <c r="D3477" t="s">
        <v>396</v>
      </c>
      <c r="E3477">
        <v>12</v>
      </c>
      <c r="F3477">
        <v>1.5</v>
      </c>
      <c r="G3477">
        <v>18</v>
      </c>
    </row>
    <row r="3478" spans="1:7" x14ac:dyDescent="0.2">
      <c r="A3478" t="s">
        <v>128</v>
      </c>
      <c r="B3478" t="s">
        <v>242</v>
      </c>
      <c r="C3478" t="s">
        <v>29</v>
      </c>
      <c r="D3478" t="s">
        <v>292</v>
      </c>
      <c r="E3478">
        <v>0.75</v>
      </c>
      <c r="F3478">
        <v>27</v>
      </c>
      <c r="G3478">
        <v>20.25</v>
      </c>
    </row>
    <row r="3479" spans="1:7" x14ac:dyDescent="0.2">
      <c r="A3479" t="s">
        <v>128</v>
      </c>
      <c r="B3479" t="s">
        <v>242</v>
      </c>
      <c r="C3479" t="s">
        <v>104</v>
      </c>
      <c r="D3479" t="s">
        <v>343</v>
      </c>
      <c r="E3479">
        <v>1.4999999999999999E-2</v>
      </c>
      <c r="F3479">
        <v>890</v>
      </c>
      <c r="G3479">
        <v>13.35</v>
      </c>
    </row>
    <row r="3480" spans="1:7" x14ac:dyDescent="0.2">
      <c r="A3480" t="s">
        <v>128</v>
      </c>
      <c r="B3480" t="s">
        <v>242</v>
      </c>
      <c r="C3480" t="s">
        <v>121</v>
      </c>
      <c r="D3480" t="s">
        <v>301</v>
      </c>
      <c r="E3480">
        <v>1</v>
      </c>
      <c r="F3480">
        <v>0.95</v>
      </c>
      <c r="G3480">
        <v>0.95</v>
      </c>
    </row>
    <row r="3481" spans="1:7" x14ac:dyDescent="0.2">
      <c r="A3481" t="s">
        <v>128</v>
      </c>
      <c r="B3481" t="s">
        <v>242</v>
      </c>
      <c r="C3481" t="s">
        <v>122</v>
      </c>
      <c r="D3481" t="s">
        <v>302</v>
      </c>
      <c r="E3481">
        <v>1</v>
      </c>
      <c r="F3481">
        <v>4.2</v>
      </c>
      <c r="G3481">
        <v>4.2</v>
      </c>
    </row>
    <row r="3482" spans="1:7" x14ac:dyDescent="0.2">
      <c r="A3482" t="s">
        <v>128</v>
      </c>
      <c r="B3482" t="s">
        <v>242</v>
      </c>
      <c r="C3482" t="s">
        <v>4</v>
      </c>
      <c r="D3482" t="s">
        <v>304</v>
      </c>
      <c r="E3482">
        <v>2.1</v>
      </c>
      <c r="F3482">
        <v>10.1</v>
      </c>
      <c r="G3482">
        <v>21.21</v>
      </c>
    </row>
    <row r="3483" spans="1:7" x14ac:dyDescent="0.2">
      <c r="A3483" t="s">
        <v>128</v>
      </c>
      <c r="B3483" t="s">
        <v>242</v>
      </c>
      <c r="C3483" t="s">
        <v>5</v>
      </c>
      <c r="D3483" t="s">
        <v>305</v>
      </c>
      <c r="E3483">
        <v>8.6999999999999993</v>
      </c>
      <c r="F3483">
        <v>11.5</v>
      </c>
      <c r="G3483">
        <v>100.05</v>
      </c>
    </row>
    <row r="3484" spans="1:7" x14ac:dyDescent="0.2">
      <c r="A3484" t="s">
        <v>128</v>
      </c>
      <c r="B3484" t="s">
        <v>242</v>
      </c>
      <c r="C3484" t="s">
        <v>6</v>
      </c>
      <c r="D3484" t="s">
        <v>306</v>
      </c>
      <c r="E3484">
        <v>0.8</v>
      </c>
      <c r="F3484">
        <v>16.8</v>
      </c>
      <c r="G3484">
        <v>13.44</v>
      </c>
    </row>
    <row r="3485" spans="1:7" x14ac:dyDescent="0.2">
      <c r="A3485" t="s">
        <v>128</v>
      </c>
      <c r="B3485" t="s">
        <v>242</v>
      </c>
      <c r="C3485" t="s">
        <v>7</v>
      </c>
      <c r="D3485" t="s">
        <v>307</v>
      </c>
      <c r="E3485">
        <v>0.4</v>
      </c>
      <c r="F3485">
        <v>6.7</v>
      </c>
      <c r="G3485">
        <v>2.68</v>
      </c>
    </row>
    <row r="3486" spans="1:7" x14ac:dyDescent="0.2">
      <c r="A3486" t="s">
        <v>128</v>
      </c>
      <c r="B3486" t="s">
        <v>242</v>
      </c>
      <c r="C3486" t="s">
        <v>13</v>
      </c>
      <c r="D3486" t="s">
        <v>309</v>
      </c>
      <c r="E3486">
        <v>0.45</v>
      </c>
      <c r="F3486">
        <v>7</v>
      </c>
      <c r="G3486">
        <v>3.15</v>
      </c>
    </row>
    <row r="3487" spans="1:7" x14ac:dyDescent="0.2">
      <c r="A3487" t="s">
        <v>128</v>
      </c>
      <c r="B3487" t="s">
        <v>242</v>
      </c>
      <c r="C3487" t="s">
        <v>105</v>
      </c>
      <c r="D3487" t="s">
        <v>313</v>
      </c>
      <c r="E3487">
        <v>250</v>
      </c>
      <c r="F3487">
        <v>0.1</v>
      </c>
      <c r="G3487">
        <v>25</v>
      </c>
    </row>
    <row r="3488" spans="1:7" x14ac:dyDescent="0.2">
      <c r="A3488" t="s">
        <v>128</v>
      </c>
      <c r="B3488" t="s">
        <v>242</v>
      </c>
      <c r="C3488" t="s">
        <v>107</v>
      </c>
      <c r="D3488" t="s">
        <v>316</v>
      </c>
      <c r="E3488">
        <v>40</v>
      </c>
      <c r="F3488">
        <v>0.1</v>
      </c>
      <c r="G3488">
        <v>4</v>
      </c>
    </row>
    <row r="3489" spans="1:7" x14ac:dyDescent="0.2">
      <c r="A3489" t="s">
        <v>128</v>
      </c>
      <c r="B3489" t="s">
        <v>242</v>
      </c>
      <c r="C3489" t="s">
        <v>118</v>
      </c>
      <c r="D3489" t="s">
        <v>356</v>
      </c>
      <c r="E3489">
        <v>30</v>
      </c>
      <c r="F3489">
        <v>0.1</v>
      </c>
      <c r="G3489">
        <v>3</v>
      </c>
    </row>
    <row r="3490" spans="1:7" x14ac:dyDescent="0.2">
      <c r="A3490" t="s">
        <v>140</v>
      </c>
      <c r="B3490" t="s">
        <v>203</v>
      </c>
      <c r="C3490" t="s">
        <v>94</v>
      </c>
      <c r="D3490" t="s">
        <v>280</v>
      </c>
      <c r="E3490">
        <v>1</v>
      </c>
      <c r="F3490">
        <v>3.5</v>
      </c>
      <c r="G3490">
        <v>3.5</v>
      </c>
    </row>
    <row r="3491" spans="1:7" x14ac:dyDescent="0.2">
      <c r="A3491" t="s">
        <v>140</v>
      </c>
      <c r="B3491" t="s">
        <v>203</v>
      </c>
      <c r="C3491" t="s">
        <v>95</v>
      </c>
      <c r="D3491" t="s">
        <v>281</v>
      </c>
      <c r="E3491">
        <v>2</v>
      </c>
      <c r="F3491">
        <v>2</v>
      </c>
      <c r="G3491">
        <v>4</v>
      </c>
    </row>
    <row r="3492" spans="1:7" x14ac:dyDescent="0.2">
      <c r="A3492" t="s">
        <v>140</v>
      </c>
      <c r="B3492" t="s">
        <v>203</v>
      </c>
      <c r="C3492" t="s">
        <v>45</v>
      </c>
      <c r="D3492" t="s">
        <v>374</v>
      </c>
      <c r="E3492">
        <v>0.25</v>
      </c>
      <c r="F3492">
        <v>65</v>
      </c>
      <c r="G3492">
        <v>16.25</v>
      </c>
    </row>
    <row r="3493" spans="1:7" x14ac:dyDescent="0.2">
      <c r="A3493" t="s">
        <v>140</v>
      </c>
      <c r="B3493" t="s">
        <v>203</v>
      </c>
      <c r="C3493" t="s">
        <v>50</v>
      </c>
      <c r="D3493" t="s">
        <v>357</v>
      </c>
      <c r="E3493">
        <v>0.2</v>
      </c>
      <c r="F3493">
        <v>151</v>
      </c>
      <c r="G3493">
        <v>30.2</v>
      </c>
    </row>
    <row r="3494" spans="1:7" x14ac:dyDescent="0.2">
      <c r="A3494" t="s">
        <v>140</v>
      </c>
      <c r="B3494" t="s">
        <v>203</v>
      </c>
      <c r="C3494" t="s">
        <v>53</v>
      </c>
      <c r="D3494" t="s">
        <v>325</v>
      </c>
      <c r="E3494">
        <v>1.35</v>
      </c>
      <c r="F3494">
        <v>120</v>
      </c>
      <c r="G3494">
        <v>162</v>
      </c>
    </row>
    <row r="3495" spans="1:7" x14ac:dyDescent="0.2">
      <c r="A3495" t="s">
        <v>140</v>
      </c>
      <c r="B3495" t="s">
        <v>203</v>
      </c>
      <c r="C3495" t="s">
        <v>60</v>
      </c>
      <c r="D3495" t="s">
        <v>337</v>
      </c>
      <c r="E3495">
        <v>0.02</v>
      </c>
      <c r="F3495">
        <v>130</v>
      </c>
      <c r="G3495">
        <v>2.6</v>
      </c>
    </row>
    <row r="3496" spans="1:7" x14ac:dyDescent="0.2">
      <c r="A3496" t="s">
        <v>140</v>
      </c>
      <c r="B3496" t="s">
        <v>203</v>
      </c>
      <c r="C3496" t="s">
        <v>69</v>
      </c>
      <c r="D3496" t="s">
        <v>288</v>
      </c>
      <c r="E3496">
        <v>0.25</v>
      </c>
      <c r="F3496">
        <v>190</v>
      </c>
      <c r="G3496">
        <v>47.5</v>
      </c>
    </row>
    <row r="3497" spans="1:7" x14ac:dyDescent="0.2">
      <c r="A3497" t="s">
        <v>140</v>
      </c>
      <c r="B3497" t="s">
        <v>203</v>
      </c>
      <c r="C3497" t="s">
        <v>79</v>
      </c>
      <c r="D3497" t="s">
        <v>289</v>
      </c>
      <c r="E3497">
        <v>1</v>
      </c>
      <c r="F3497">
        <v>380</v>
      </c>
      <c r="G3497">
        <v>380</v>
      </c>
    </row>
    <row r="3498" spans="1:7" x14ac:dyDescent="0.2">
      <c r="A3498" t="s">
        <v>140</v>
      </c>
      <c r="B3498" t="s">
        <v>203</v>
      </c>
      <c r="C3498" t="s">
        <v>93</v>
      </c>
      <c r="D3498" t="s">
        <v>327</v>
      </c>
      <c r="E3498">
        <v>0.19</v>
      </c>
      <c r="F3498">
        <v>70</v>
      </c>
      <c r="G3498">
        <v>13.3</v>
      </c>
    </row>
    <row r="3499" spans="1:7" x14ac:dyDescent="0.2">
      <c r="A3499" t="s">
        <v>140</v>
      </c>
      <c r="B3499" t="s">
        <v>203</v>
      </c>
      <c r="C3499" t="s">
        <v>47</v>
      </c>
      <c r="D3499" t="s">
        <v>328</v>
      </c>
      <c r="E3499">
        <v>0.1</v>
      </c>
      <c r="F3499">
        <v>235</v>
      </c>
      <c r="G3499">
        <v>23.5</v>
      </c>
    </row>
    <row r="3500" spans="1:7" x14ac:dyDescent="0.2">
      <c r="A3500" t="s">
        <v>140</v>
      </c>
      <c r="B3500" t="s">
        <v>203</v>
      </c>
      <c r="C3500" t="s">
        <v>48</v>
      </c>
      <c r="D3500" t="s">
        <v>359</v>
      </c>
      <c r="E3500">
        <v>7.4999999999999997E-2</v>
      </c>
      <c r="F3500">
        <v>412</v>
      </c>
      <c r="G3500">
        <v>30.9</v>
      </c>
    </row>
    <row r="3501" spans="1:7" x14ac:dyDescent="0.2">
      <c r="A3501" t="s">
        <v>140</v>
      </c>
      <c r="B3501" t="s">
        <v>203</v>
      </c>
      <c r="C3501" t="s">
        <v>49</v>
      </c>
      <c r="D3501" t="s">
        <v>290</v>
      </c>
      <c r="E3501">
        <v>6.0000000000000001E-3</v>
      </c>
      <c r="F3501">
        <v>248</v>
      </c>
      <c r="G3501">
        <v>1.488</v>
      </c>
    </row>
    <row r="3502" spans="1:7" x14ac:dyDescent="0.2">
      <c r="A3502" t="s">
        <v>140</v>
      </c>
      <c r="B3502" t="s">
        <v>203</v>
      </c>
      <c r="C3502" t="s">
        <v>19</v>
      </c>
      <c r="D3502" t="s">
        <v>329</v>
      </c>
      <c r="E3502">
        <v>1</v>
      </c>
      <c r="F3502">
        <v>2.9</v>
      </c>
      <c r="G3502">
        <v>2.9</v>
      </c>
    </row>
    <row r="3503" spans="1:7" x14ac:dyDescent="0.2">
      <c r="A3503" t="s">
        <v>140</v>
      </c>
      <c r="B3503" t="s">
        <v>203</v>
      </c>
      <c r="C3503" t="s">
        <v>20</v>
      </c>
      <c r="D3503" t="s">
        <v>330</v>
      </c>
      <c r="E3503">
        <v>1</v>
      </c>
      <c r="F3503">
        <v>2.9</v>
      </c>
      <c r="G3503">
        <v>2.9</v>
      </c>
    </row>
    <row r="3504" spans="1:7" x14ac:dyDescent="0.2">
      <c r="A3504" t="s">
        <v>140</v>
      </c>
      <c r="B3504" t="s">
        <v>203</v>
      </c>
      <c r="C3504" t="s">
        <v>24</v>
      </c>
      <c r="D3504" t="s">
        <v>360</v>
      </c>
      <c r="E3504">
        <v>2</v>
      </c>
      <c r="F3504">
        <v>2.2000000000000002</v>
      </c>
      <c r="G3504">
        <v>4.4000000000000004</v>
      </c>
    </row>
    <row r="3505" spans="1:7" x14ac:dyDescent="0.2">
      <c r="A3505" t="s">
        <v>140</v>
      </c>
      <c r="B3505" t="s">
        <v>203</v>
      </c>
      <c r="C3505" t="s">
        <v>26</v>
      </c>
      <c r="D3505" t="s">
        <v>361</v>
      </c>
      <c r="E3505">
        <v>16</v>
      </c>
      <c r="F3505">
        <v>1.5</v>
      </c>
      <c r="G3505">
        <v>24</v>
      </c>
    </row>
    <row r="3506" spans="1:7" x14ac:dyDescent="0.2">
      <c r="A3506" t="s">
        <v>140</v>
      </c>
      <c r="B3506" t="s">
        <v>203</v>
      </c>
      <c r="C3506" t="s">
        <v>29</v>
      </c>
      <c r="D3506" t="s">
        <v>292</v>
      </c>
      <c r="E3506">
        <v>0.8</v>
      </c>
      <c r="F3506">
        <v>27</v>
      </c>
      <c r="G3506">
        <v>21.6</v>
      </c>
    </row>
    <row r="3507" spans="1:7" x14ac:dyDescent="0.2">
      <c r="A3507" t="s">
        <v>140</v>
      </c>
      <c r="B3507" t="s">
        <v>203</v>
      </c>
      <c r="C3507" t="s">
        <v>30</v>
      </c>
      <c r="D3507" t="s">
        <v>332</v>
      </c>
      <c r="E3507">
        <v>2</v>
      </c>
      <c r="F3507">
        <v>6</v>
      </c>
      <c r="G3507">
        <v>12</v>
      </c>
    </row>
    <row r="3508" spans="1:7" x14ac:dyDescent="0.2">
      <c r="A3508" t="s">
        <v>140</v>
      </c>
      <c r="B3508" t="s">
        <v>203</v>
      </c>
      <c r="C3508" t="s">
        <v>32</v>
      </c>
      <c r="D3508" t="s">
        <v>345</v>
      </c>
      <c r="E3508">
        <v>2</v>
      </c>
      <c r="F3508">
        <v>100</v>
      </c>
      <c r="G3508">
        <v>200</v>
      </c>
    </row>
    <row r="3509" spans="1:7" x14ac:dyDescent="0.2">
      <c r="A3509" t="s">
        <v>140</v>
      </c>
      <c r="B3509" t="s">
        <v>203</v>
      </c>
      <c r="C3509" t="s">
        <v>104</v>
      </c>
      <c r="D3509" t="s">
        <v>343</v>
      </c>
      <c r="E3509">
        <v>1.4999999999999999E-2</v>
      </c>
      <c r="F3509">
        <v>890</v>
      </c>
      <c r="G3509">
        <v>13.35</v>
      </c>
    </row>
    <row r="3510" spans="1:7" x14ac:dyDescent="0.2">
      <c r="A3510" t="s">
        <v>140</v>
      </c>
      <c r="B3510" t="s">
        <v>203</v>
      </c>
      <c r="C3510" t="s">
        <v>121</v>
      </c>
      <c r="D3510" t="s">
        <v>301</v>
      </c>
      <c r="E3510">
        <v>1</v>
      </c>
      <c r="F3510">
        <v>0.95</v>
      </c>
      <c r="G3510">
        <v>0.95</v>
      </c>
    </row>
    <row r="3511" spans="1:7" x14ac:dyDescent="0.2">
      <c r="A3511" t="s">
        <v>140</v>
      </c>
      <c r="B3511" t="s">
        <v>203</v>
      </c>
      <c r="C3511" t="s">
        <v>122</v>
      </c>
      <c r="D3511" t="s">
        <v>302</v>
      </c>
      <c r="E3511">
        <v>1</v>
      </c>
      <c r="F3511">
        <v>4.2</v>
      </c>
      <c r="G3511">
        <v>4.2</v>
      </c>
    </row>
    <row r="3512" spans="1:7" x14ac:dyDescent="0.2">
      <c r="A3512" t="s">
        <v>140</v>
      </c>
      <c r="B3512" t="s">
        <v>203</v>
      </c>
      <c r="C3512" t="s">
        <v>4</v>
      </c>
      <c r="D3512" t="s">
        <v>304</v>
      </c>
      <c r="E3512">
        <v>9.5</v>
      </c>
      <c r="F3512">
        <v>10.1</v>
      </c>
      <c r="G3512">
        <v>95.95</v>
      </c>
    </row>
    <row r="3513" spans="1:7" x14ac:dyDescent="0.2">
      <c r="A3513" t="s">
        <v>140</v>
      </c>
      <c r="B3513" t="s">
        <v>203</v>
      </c>
      <c r="C3513" t="s">
        <v>5</v>
      </c>
      <c r="D3513" t="s">
        <v>305</v>
      </c>
      <c r="E3513">
        <v>2.4</v>
      </c>
      <c r="F3513">
        <v>11.5</v>
      </c>
      <c r="G3513">
        <v>27.6</v>
      </c>
    </row>
    <row r="3514" spans="1:7" x14ac:dyDescent="0.2">
      <c r="A3514" t="s">
        <v>140</v>
      </c>
      <c r="B3514" t="s">
        <v>203</v>
      </c>
      <c r="C3514" t="s">
        <v>6</v>
      </c>
      <c r="D3514" t="s">
        <v>306</v>
      </c>
      <c r="E3514">
        <v>0.8</v>
      </c>
      <c r="F3514">
        <v>16.8</v>
      </c>
      <c r="G3514">
        <v>13.44</v>
      </c>
    </row>
    <row r="3515" spans="1:7" x14ac:dyDescent="0.2">
      <c r="A3515" t="s">
        <v>140</v>
      </c>
      <c r="B3515" t="s">
        <v>203</v>
      </c>
      <c r="C3515" t="s">
        <v>7</v>
      </c>
      <c r="D3515" t="s">
        <v>307</v>
      </c>
      <c r="E3515">
        <v>0.35</v>
      </c>
      <c r="F3515">
        <v>6.7</v>
      </c>
      <c r="G3515">
        <v>2.3450000000000002</v>
      </c>
    </row>
    <row r="3516" spans="1:7" x14ac:dyDescent="0.2">
      <c r="A3516" t="s">
        <v>140</v>
      </c>
      <c r="B3516" t="s">
        <v>203</v>
      </c>
      <c r="C3516" t="s">
        <v>12</v>
      </c>
      <c r="D3516" t="s">
        <v>308</v>
      </c>
      <c r="E3516">
        <v>0.45</v>
      </c>
      <c r="F3516">
        <v>7</v>
      </c>
      <c r="G3516">
        <v>3.15</v>
      </c>
    </row>
    <row r="3517" spans="1:7" x14ac:dyDescent="0.2">
      <c r="A3517" t="s">
        <v>140</v>
      </c>
      <c r="B3517" t="s">
        <v>203</v>
      </c>
      <c r="C3517" t="s">
        <v>105</v>
      </c>
      <c r="D3517" t="s">
        <v>313</v>
      </c>
      <c r="E3517">
        <v>250</v>
      </c>
      <c r="F3517">
        <v>0.1</v>
      </c>
      <c r="G3517">
        <v>25</v>
      </c>
    </row>
    <row r="3518" spans="1:7" x14ac:dyDescent="0.2">
      <c r="A3518" t="s">
        <v>140</v>
      </c>
      <c r="B3518" t="s">
        <v>203</v>
      </c>
      <c r="C3518" t="s">
        <v>107</v>
      </c>
      <c r="D3518" t="s">
        <v>316</v>
      </c>
      <c r="E3518">
        <v>40</v>
      </c>
      <c r="F3518">
        <v>0.1</v>
      </c>
      <c r="G3518">
        <v>4</v>
      </c>
    </row>
    <row r="3519" spans="1:7" x14ac:dyDescent="0.2">
      <c r="A3519" t="s">
        <v>142</v>
      </c>
      <c r="B3519" t="s">
        <v>229</v>
      </c>
      <c r="C3519" t="s">
        <v>94</v>
      </c>
      <c r="D3519" t="s">
        <v>280</v>
      </c>
      <c r="E3519">
        <v>1</v>
      </c>
      <c r="F3519">
        <v>3.5</v>
      </c>
      <c r="G3519">
        <v>3.5</v>
      </c>
    </row>
    <row r="3520" spans="1:7" x14ac:dyDescent="0.2">
      <c r="A3520" t="s">
        <v>142</v>
      </c>
      <c r="B3520" t="s">
        <v>229</v>
      </c>
      <c r="C3520" t="s">
        <v>95</v>
      </c>
      <c r="D3520" t="s">
        <v>281</v>
      </c>
      <c r="E3520">
        <v>2</v>
      </c>
      <c r="F3520">
        <v>2</v>
      </c>
      <c r="G3520">
        <v>4</v>
      </c>
    </row>
    <row r="3521" spans="1:7" x14ac:dyDescent="0.2">
      <c r="A3521" t="s">
        <v>142</v>
      </c>
      <c r="B3521" t="s">
        <v>229</v>
      </c>
      <c r="C3521" t="s">
        <v>44</v>
      </c>
      <c r="D3521" t="s">
        <v>324</v>
      </c>
      <c r="E3521">
        <v>0.25</v>
      </c>
      <c r="F3521">
        <v>65</v>
      </c>
      <c r="G3521">
        <v>16.25</v>
      </c>
    </row>
    <row r="3522" spans="1:7" x14ac:dyDescent="0.2">
      <c r="A3522" t="s">
        <v>142</v>
      </c>
      <c r="B3522" t="s">
        <v>229</v>
      </c>
      <c r="C3522" t="s">
        <v>50</v>
      </c>
      <c r="D3522" t="s">
        <v>357</v>
      </c>
      <c r="E3522">
        <v>0.2</v>
      </c>
      <c r="F3522">
        <v>151</v>
      </c>
      <c r="G3522">
        <v>30.2</v>
      </c>
    </row>
    <row r="3523" spans="1:7" x14ac:dyDescent="0.2">
      <c r="A3523" t="s">
        <v>142</v>
      </c>
      <c r="B3523" t="s">
        <v>229</v>
      </c>
      <c r="C3523" t="s">
        <v>56</v>
      </c>
      <c r="D3523" t="s">
        <v>287</v>
      </c>
      <c r="E3523">
        <v>1.35</v>
      </c>
      <c r="F3523">
        <v>90</v>
      </c>
      <c r="G3523">
        <v>121.5</v>
      </c>
    </row>
    <row r="3524" spans="1:7" x14ac:dyDescent="0.2">
      <c r="A3524" t="s">
        <v>142</v>
      </c>
      <c r="B3524" t="s">
        <v>229</v>
      </c>
      <c r="C3524" t="s">
        <v>60</v>
      </c>
      <c r="D3524" t="s">
        <v>337</v>
      </c>
      <c r="E3524">
        <v>0.02</v>
      </c>
      <c r="F3524">
        <v>130</v>
      </c>
      <c r="G3524">
        <v>2.6</v>
      </c>
    </row>
    <row r="3525" spans="1:7" x14ac:dyDescent="0.2">
      <c r="A3525" t="s">
        <v>142</v>
      </c>
      <c r="B3525" t="s">
        <v>229</v>
      </c>
      <c r="C3525" t="s">
        <v>69</v>
      </c>
      <c r="D3525" t="s">
        <v>288</v>
      </c>
      <c r="E3525">
        <v>0.25</v>
      </c>
      <c r="F3525">
        <v>190</v>
      </c>
      <c r="G3525">
        <v>47.5</v>
      </c>
    </row>
    <row r="3526" spans="1:7" x14ac:dyDescent="0.2">
      <c r="A3526" t="s">
        <v>142</v>
      </c>
      <c r="B3526" t="s">
        <v>229</v>
      </c>
      <c r="C3526" t="s">
        <v>79</v>
      </c>
      <c r="D3526" t="s">
        <v>289</v>
      </c>
      <c r="E3526">
        <v>0.25</v>
      </c>
      <c r="F3526">
        <v>380</v>
      </c>
      <c r="G3526">
        <v>95</v>
      </c>
    </row>
    <row r="3527" spans="1:7" x14ac:dyDescent="0.2">
      <c r="A3527" t="s">
        <v>142</v>
      </c>
      <c r="B3527" t="s">
        <v>229</v>
      </c>
      <c r="C3527" t="s">
        <v>80</v>
      </c>
      <c r="D3527" t="s">
        <v>317</v>
      </c>
      <c r="E3527">
        <v>0.75</v>
      </c>
      <c r="F3527">
        <v>380</v>
      </c>
      <c r="G3527">
        <v>285</v>
      </c>
    </row>
    <row r="3528" spans="1:7" x14ac:dyDescent="0.2">
      <c r="A3528" t="s">
        <v>142</v>
      </c>
      <c r="B3528" t="s">
        <v>229</v>
      </c>
      <c r="C3528" t="s">
        <v>93</v>
      </c>
      <c r="D3528" t="s">
        <v>327</v>
      </c>
      <c r="E3528">
        <v>0.19</v>
      </c>
      <c r="F3528">
        <v>70</v>
      </c>
      <c r="G3528">
        <v>13.3</v>
      </c>
    </row>
    <row r="3529" spans="1:7" x14ac:dyDescent="0.2">
      <c r="A3529" t="s">
        <v>142</v>
      </c>
      <c r="B3529" t="s">
        <v>229</v>
      </c>
      <c r="C3529" t="s">
        <v>47</v>
      </c>
      <c r="D3529" t="s">
        <v>328</v>
      </c>
      <c r="E3529">
        <v>0.1</v>
      </c>
      <c r="F3529">
        <v>235</v>
      </c>
      <c r="G3529">
        <v>23.5</v>
      </c>
    </row>
    <row r="3530" spans="1:7" x14ac:dyDescent="0.2">
      <c r="A3530" t="s">
        <v>142</v>
      </c>
      <c r="B3530" t="s">
        <v>229</v>
      </c>
      <c r="C3530" t="s">
        <v>48</v>
      </c>
      <c r="D3530" t="s">
        <v>359</v>
      </c>
      <c r="E3530">
        <v>7.4999999999999997E-2</v>
      </c>
      <c r="F3530">
        <v>412</v>
      </c>
      <c r="G3530">
        <v>30.9</v>
      </c>
    </row>
    <row r="3531" spans="1:7" x14ac:dyDescent="0.2">
      <c r="A3531" t="s">
        <v>142</v>
      </c>
      <c r="B3531" t="s">
        <v>229</v>
      </c>
      <c r="C3531" t="s">
        <v>49</v>
      </c>
      <c r="D3531" t="s">
        <v>290</v>
      </c>
      <c r="E3531">
        <v>6.0000000000000001E-3</v>
      </c>
      <c r="F3531">
        <v>248</v>
      </c>
      <c r="G3531">
        <v>1.488</v>
      </c>
    </row>
    <row r="3532" spans="1:7" x14ac:dyDescent="0.2">
      <c r="A3532" t="s">
        <v>142</v>
      </c>
      <c r="B3532" t="s">
        <v>229</v>
      </c>
      <c r="C3532" t="s">
        <v>19</v>
      </c>
      <c r="D3532" t="s">
        <v>329</v>
      </c>
      <c r="E3532">
        <v>1</v>
      </c>
      <c r="F3532">
        <v>2.9</v>
      </c>
      <c r="G3532">
        <v>2.9</v>
      </c>
    </row>
    <row r="3533" spans="1:7" x14ac:dyDescent="0.2">
      <c r="A3533" t="s">
        <v>142</v>
      </c>
      <c r="B3533" t="s">
        <v>229</v>
      </c>
      <c r="C3533" t="s">
        <v>20</v>
      </c>
      <c r="D3533" t="s">
        <v>330</v>
      </c>
      <c r="E3533">
        <v>1</v>
      </c>
      <c r="F3533">
        <v>2.9</v>
      </c>
      <c r="G3533">
        <v>2.9</v>
      </c>
    </row>
    <row r="3534" spans="1:7" x14ac:dyDescent="0.2">
      <c r="A3534" t="s">
        <v>142</v>
      </c>
      <c r="B3534" t="s">
        <v>229</v>
      </c>
      <c r="C3534" t="s">
        <v>24</v>
      </c>
      <c r="D3534" t="s">
        <v>360</v>
      </c>
      <c r="E3534">
        <v>2</v>
      </c>
      <c r="F3534">
        <v>2.2000000000000002</v>
      </c>
      <c r="G3534">
        <v>4.4000000000000004</v>
      </c>
    </row>
    <row r="3535" spans="1:7" x14ac:dyDescent="0.2">
      <c r="A3535" t="s">
        <v>142</v>
      </c>
      <c r="B3535" t="s">
        <v>229</v>
      </c>
      <c r="C3535" t="s">
        <v>26</v>
      </c>
      <c r="D3535" t="s">
        <v>361</v>
      </c>
      <c r="E3535">
        <v>16</v>
      </c>
      <c r="F3535">
        <v>1.5</v>
      </c>
      <c r="G3535">
        <v>24</v>
      </c>
    </row>
    <row r="3536" spans="1:7" x14ac:dyDescent="0.2">
      <c r="A3536" t="s">
        <v>142</v>
      </c>
      <c r="B3536" t="s">
        <v>229</v>
      </c>
      <c r="C3536" t="s">
        <v>29</v>
      </c>
      <c r="D3536" t="s">
        <v>292</v>
      </c>
      <c r="E3536">
        <v>0.8</v>
      </c>
      <c r="F3536">
        <v>27</v>
      </c>
      <c r="G3536">
        <v>21.6</v>
      </c>
    </row>
    <row r="3537" spans="1:7" x14ac:dyDescent="0.2">
      <c r="A3537" t="s">
        <v>142</v>
      </c>
      <c r="B3537" t="s">
        <v>229</v>
      </c>
      <c r="C3537" t="s">
        <v>30</v>
      </c>
      <c r="D3537" t="s">
        <v>332</v>
      </c>
      <c r="E3537">
        <v>2</v>
      </c>
      <c r="F3537">
        <v>6</v>
      </c>
      <c r="G3537">
        <v>12</v>
      </c>
    </row>
    <row r="3538" spans="1:7" x14ac:dyDescent="0.2">
      <c r="A3538" t="s">
        <v>142</v>
      </c>
      <c r="B3538" t="s">
        <v>229</v>
      </c>
      <c r="C3538" t="s">
        <v>32</v>
      </c>
      <c r="D3538" t="s">
        <v>345</v>
      </c>
      <c r="E3538">
        <v>2</v>
      </c>
      <c r="F3538">
        <v>100</v>
      </c>
      <c r="G3538">
        <v>200</v>
      </c>
    </row>
    <row r="3539" spans="1:7" x14ac:dyDescent="0.2">
      <c r="A3539" t="s">
        <v>142</v>
      </c>
      <c r="B3539" t="s">
        <v>229</v>
      </c>
      <c r="C3539" t="s">
        <v>104</v>
      </c>
      <c r="D3539" t="s">
        <v>343</v>
      </c>
      <c r="E3539">
        <v>1.4999999999999999E-2</v>
      </c>
      <c r="F3539">
        <v>890</v>
      </c>
      <c r="G3539">
        <v>13.35</v>
      </c>
    </row>
    <row r="3540" spans="1:7" x14ac:dyDescent="0.2">
      <c r="A3540" t="s">
        <v>142</v>
      </c>
      <c r="B3540" t="s">
        <v>229</v>
      </c>
      <c r="C3540" t="s">
        <v>121</v>
      </c>
      <c r="D3540" t="s">
        <v>301</v>
      </c>
      <c r="E3540">
        <v>1</v>
      </c>
      <c r="F3540">
        <v>0.95</v>
      </c>
      <c r="G3540">
        <v>0.95</v>
      </c>
    </row>
    <row r="3541" spans="1:7" x14ac:dyDescent="0.2">
      <c r="A3541" t="s">
        <v>142</v>
      </c>
      <c r="B3541" t="s">
        <v>229</v>
      </c>
      <c r="C3541" t="s">
        <v>122</v>
      </c>
      <c r="D3541" t="s">
        <v>302</v>
      </c>
      <c r="E3541">
        <v>1</v>
      </c>
      <c r="F3541">
        <v>4.2</v>
      </c>
      <c r="G3541">
        <v>4.2</v>
      </c>
    </row>
    <row r="3542" spans="1:7" x14ac:dyDescent="0.2">
      <c r="A3542" t="s">
        <v>142</v>
      </c>
      <c r="B3542" t="s">
        <v>229</v>
      </c>
      <c r="C3542" t="s">
        <v>4</v>
      </c>
      <c r="D3542" t="s">
        <v>304</v>
      </c>
      <c r="E3542">
        <v>9.5</v>
      </c>
      <c r="F3542">
        <v>10.1</v>
      </c>
      <c r="G3542">
        <v>95.95</v>
      </c>
    </row>
    <row r="3543" spans="1:7" x14ac:dyDescent="0.2">
      <c r="A3543" t="s">
        <v>142</v>
      </c>
      <c r="B3543" t="s">
        <v>229</v>
      </c>
      <c r="C3543" t="s">
        <v>5</v>
      </c>
      <c r="D3543" t="s">
        <v>305</v>
      </c>
      <c r="E3543">
        <v>2.4</v>
      </c>
      <c r="F3543">
        <v>11.5</v>
      </c>
      <c r="G3543">
        <v>27.6</v>
      </c>
    </row>
    <row r="3544" spans="1:7" x14ac:dyDescent="0.2">
      <c r="A3544" t="s">
        <v>142</v>
      </c>
      <c r="B3544" t="s">
        <v>229</v>
      </c>
      <c r="C3544" t="s">
        <v>6</v>
      </c>
      <c r="D3544" t="s">
        <v>306</v>
      </c>
      <c r="E3544">
        <v>0.8</v>
      </c>
      <c r="F3544">
        <v>16.8</v>
      </c>
      <c r="G3544">
        <v>13.44</v>
      </c>
    </row>
    <row r="3545" spans="1:7" x14ac:dyDescent="0.2">
      <c r="A3545" t="s">
        <v>142</v>
      </c>
      <c r="B3545" t="s">
        <v>229</v>
      </c>
      <c r="C3545" t="s">
        <v>7</v>
      </c>
      <c r="D3545" t="s">
        <v>307</v>
      </c>
      <c r="E3545">
        <v>0.35</v>
      </c>
      <c r="F3545">
        <v>6.7</v>
      </c>
      <c r="G3545">
        <v>2.3450000000000002</v>
      </c>
    </row>
    <row r="3546" spans="1:7" x14ac:dyDescent="0.2">
      <c r="A3546" t="s">
        <v>142</v>
      </c>
      <c r="B3546" t="s">
        <v>229</v>
      </c>
      <c r="C3546" t="s">
        <v>12</v>
      </c>
      <c r="D3546" t="s">
        <v>308</v>
      </c>
      <c r="E3546">
        <v>0.45</v>
      </c>
      <c r="F3546">
        <v>7</v>
      </c>
      <c r="G3546">
        <v>3.15</v>
      </c>
    </row>
    <row r="3547" spans="1:7" x14ac:dyDescent="0.2">
      <c r="A3547" t="s">
        <v>142</v>
      </c>
      <c r="B3547" t="s">
        <v>229</v>
      </c>
      <c r="C3547" t="s">
        <v>105</v>
      </c>
      <c r="D3547" t="s">
        <v>313</v>
      </c>
      <c r="E3547">
        <v>30</v>
      </c>
      <c r="F3547">
        <v>0.1</v>
      </c>
      <c r="G3547">
        <v>3</v>
      </c>
    </row>
    <row r="3548" spans="1:7" x14ac:dyDescent="0.2">
      <c r="A3548" t="s">
        <v>142</v>
      </c>
      <c r="B3548" t="s">
        <v>229</v>
      </c>
      <c r="C3548" t="s">
        <v>110</v>
      </c>
      <c r="D3548" t="s">
        <v>314</v>
      </c>
      <c r="E3548">
        <v>40</v>
      </c>
      <c r="F3548">
        <v>0.1</v>
      </c>
      <c r="G3548">
        <v>4</v>
      </c>
    </row>
    <row r="3549" spans="1:7" x14ac:dyDescent="0.2">
      <c r="A3549" t="s">
        <v>142</v>
      </c>
      <c r="B3549" t="s">
        <v>229</v>
      </c>
      <c r="C3549" t="s">
        <v>113</v>
      </c>
      <c r="D3549" t="s">
        <v>318</v>
      </c>
      <c r="E3549">
        <v>250</v>
      </c>
      <c r="F3549">
        <v>0.1</v>
      </c>
      <c r="G3549">
        <v>25</v>
      </c>
    </row>
    <row r="3550" spans="1:7" x14ac:dyDescent="0.2">
      <c r="A3550" t="s">
        <v>141</v>
      </c>
      <c r="B3550" t="s">
        <v>230</v>
      </c>
      <c r="C3550" t="s">
        <v>94</v>
      </c>
      <c r="D3550" t="s">
        <v>280</v>
      </c>
      <c r="E3550">
        <v>1</v>
      </c>
      <c r="F3550">
        <v>3.5</v>
      </c>
      <c r="G3550">
        <v>3.5</v>
      </c>
    </row>
    <row r="3551" spans="1:7" x14ac:dyDescent="0.2">
      <c r="A3551" t="s">
        <v>141</v>
      </c>
      <c r="B3551" t="s">
        <v>230</v>
      </c>
      <c r="C3551" t="s">
        <v>95</v>
      </c>
      <c r="D3551" t="s">
        <v>281</v>
      </c>
      <c r="E3551">
        <v>2</v>
      </c>
      <c r="F3551">
        <v>2</v>
      </c>
      <c r="G3551">
        <v>4</v>
      </c>
    </row>
    <row r="3552" spans="1:7" x14ac:dyDescent="0.2">
      <c r="A3552" t="s">
        <v>141</v>
      </c>
      <c r="B3552" t="s">
        <v>230</v>
      </c>
      <c r="C3552" t="s">
        <v>46</v>
      </c>
      <c r="D3552" t="s">
        <v>398</v>
      </c>
      <c r="E3552">
        <v>0.25</v>
      </c>
      <c r="F3552">
        <v>65</v>
      </c>
      <c r="G3552">
        <v>16.25</v>
      </c>
    </row>
    <row r="3553" spans="1:7" x14ac:dyDescent="0.2">
      <c r="A3553" t="s">
        <v>141</v>
      </c>
      <c r="B3553" t="s">
        <v>230</v>
      </c>
      <c r="C3553" t="s">
        <v>50</v>
      </c>
      <c r="D3553" t="s">
        <v>357</v>
      </c>
      <c r="E3553">
        <v>0.2</v>
      </c>
      <c r="F3553">
        <v>151</v>
      </c>
      <c r="G3553">
        <v>30.2</v>
      </c>
    </row>
    <row r="3554" spans="1:7" x14ac:dyDescent="0.2">
      <c r="A3554" t="s">
        <v>141</v>
      </c>
      <c r="B3554" t="s">
        <v>230</v>
      </c>
      <c r="C3554" t="s">
        <v>55</v>
      </c>
      <c r="D3554" t="s">
        <v>371</v>
      </c>
      <c r="E3554">
        <v>1.35</v>
      </c>
      <c r="F3554">
        <v>120</v>
      </c>
      <c r="G3554">
        <v>162</v>
      </c>
    </row>
    <row r="3555" spans="1:7" x14ac:dyDescent="0.2">
      <c r="A3555" t="s">
        <v>141</v>
      </c>
      <c r="B3555" t="s">
        <v>230</v>
      </c>
      <c r="C3555" t="s">
        <v>60</v>
      </c>
      <c r="D3555" t="s">
        <v>337</v>
      </c>
      <c r="E3555">
        <v>0.02</v>
      </c>
      <c r="F3555">
        <v>130</v>
      </c>
      <c r="G3555">
        <v>2.6</v>
      </c>
    </row>
    <row r="3556" spans="1:7" x14ac:dyDescent="0.2">
      <c r="A3556" t="s">
        <v>141</v>
      </c>
      <c r="B3556" t="s">
        <v>230</v>
      </c>
      <c r="C3556" t="s">
        <v>69</v>
      </c>
      <c r="D3556" t="s">
        <v>288</v>
      </c>
      <c r="E3556">
        <v>0.25</v>
      </c>
      <c r="F3556">
        <v>190</v>
      </c>
      <c r="G3556">
        <v>47.5</v>
      </c>
    </row>
    <row r="3557" spans="1:7" x14ac:dyDescent="0.2">
      <c r="A3557" t="s">
        <v>141</v>
      </c>
      <c r="B3557" t="s">
        <v>230</v>
      </c>
      <c r="C3557" t="s">
        <v>79</v>
      </c>
      <c r="D3557" t="s">
        <v>289</v>
      </c>
      <c r="E3557">
        <v>0.25</v>
      </c>
      <c r="F3557">
        <v>380</v>
      </c>
      <c r="G3557">
        <v>95</v>
      </c>
    </row>
    <row r="3558" spans="1:7" x14ac:dyDescent="0.2">
      <c r="A3558" t="s">
        <v>141</v>
      </c>
      <c r="B3558" t="s">
        <v>230</v>
      </c>
      <c r="C3558" t="s">
        <v>82</v>
      </c>
      <c r="D3558" t="s">
        <v>319</v>
      </c>
      <c r="E3558">
        <v>0.75</v>
      </c>
      <c r="F3558">
        <v>380</v>
      </c>
      <c r="G3558">
        <v>285</v>
      </c>
    </row>
    <row r="3559" spans="1:7" x14ac:dyDescent="0.2">
      <c r="A3559" t="s">
        <v>141</v>
      </c>
      <c r="B3559" t="s">
        <v>230</v>
      </c>
      <c r="C3559" t="s">
        <v>93</v>
      </c>
      <c r="D3559" t="s">
        <v>327</v>
      </c>
      <c r="E3559">
        <v>0.19</v>
      </c>
      <c r="F3559">
        <v>70</v>
      </c>
      <c r="G3559">
        <v>13.3</v>
      </c>
    </row>
    <row r="3560" spans="1:7" x14ac:dyDescent="0.2">
      <c r="A3560" t="s">
        <v>141</v>
      </c>
      <c r="B3560" t="s">
        <v>230</v>
      </c>
      <c r="C3560" t="s">
        <v>47</v>
      </c>
      <c r="D3560" t="s">
        <v>328</v>
      </c>
      <c r="E3560">
        <v>0.1</v>
      </c>
      <c r="F3560">
        <v>235</v>
      </c>
      <c r="G3560">
        <v>23.5</v>
      </c>
    </row>
    <row r="3561" spans="1:7" x14ac:dyDescent="0.2">
      <c r="A3561" t="s">
        <v>141</v>
      </c>
      <c r="B3561" t="s">
        <v>230</v>
      </c>
      <c r="C3561" t="s">
        <v>48</v>
      </c>
      <c r="D3561" t="s">
        <v>359</v>
      </c>
      <c r="E3561">
        <v>7.4999999999999997E-2</v>
      </c>
      <c r="F3561">
        <v>412</v>
      </c>
      <c r="G3561">
        <v>30.9</v>
      </c>
    </row>
    <row r="3562" spans="1:7" x14ac:dyDescent="0.2">
      <c r="A3562" t="s">
        <v>141</v>
      </c>
      <c r="B3562" t="s">
        <v>230</v>
      </c>
      <c r="C3562" t="s">
        <v>49</v>
      </c>
      <c r="D3562" t="s">
        <v>290</v>
      </c>
      <c r="E3562">
        <v>6.0000000000000001E-3</v>
      </c>
      <c r="F3562">
        <v>248</v>
      </c>
      <c r="G3562">
        <v>1.488</v>
      </c>
    </row>
    <row r="3563" spans="1:7" x14ac:dyDescent="0.2">
      <c r="A3563" t="s">
        <v>141</v>
      </c>
      <c r="B3563" t="s">
        <v>230</v>
      </c>
      <c r="C3563" t="s">
        <v>19</v>
      </c>
      <c r="D3563" t="s">
        <v>329</v>
      </c>
      <c r="E3563">
        <v>1</v>
      </c>
      <c r="F3563">
        <v>2.9</v>
      </c>
      <c r="G3563">
        <v>2.9</v>
      </c>
    </row>
    <row r="3564" spans="1:7" x14ac:dyDescent="0.2">
      <c r="A3564" t="s">
        <v>141</v>
      </c>
      <c r="B3564" t="s">
        <v>230</v>
      </c>
      <c r="C3564" t="s">
        <v>20</v>
      </c>
      <c r="D3564" t="s">
        <v>330</v>
      </c>
      <c r="E3564">
        <v>1</v>
      </c>
      <c r="F3564">
        <v>2.9</v>
      </c>
      <c r="G3564">
        <v>2.9</v>
      </c>
    </row>
    <row r="3565" spans="1:7" x14ac:dyDescent="0.2">
      <c r="A3565" t="s">
        <v>141</v>
      </c>
      <c r="B3565" t="s">
        <v>230</v>
      </c>
      <c r="C3565" t="s">
        <v>24</v>
      </c>
      <c r="D3565" t="s">
        <v>360</v>
      </c>
      <c r="E3565">
        <v>2</v>
      </c>
      <c r="F3565">
        <v>2.2000000000000002</v>
      </c>
      <c r="G3565">
        <v>4.4000000000000004</v>
      </c>
    </row>
    <row r="3566" spans="1:7" x14ac:dyDescent="0.2">
      <c r="A3566" t="s">
        <v>141</v>
      </c>
      <c r="B3566" t="s">
        <v>230</v>
      </c>
      <c r="C3566" t="s">
        <v>26</v>
      </c>
      <c r="D3566" t="s">
        <v>361</v>
      </c>
      <c r="E3566">
        <v>16</v>
      </c>
      <c r="F3566">
        <v>1.5</v>
      </c>
      <c r="G3566">
        <v>24</v>
      </c>
    </row>
    <row r="3567" spans="1:7" x14ac:dyDescent="0.2">
      <c r="A3567" t="s">
        <v>141</v>
      </c>
      <c r="B3567" t="s">
        <v>230</v>
      </c>
      <c r="C3567" t="s">
        <v>29</v>
      </c>
      <c r="D3567" t="s">
        <v>292</v>
      </c>
      <c r="E3567">
        <v>0.8</v>
      </c>
      <c r="F3567">
        <v>27</v>
      </c>
      <c r="G3567">
        <v>21.6</v>
      </c>
    </row>
    <row r="3568" spans="1:7" x14ac:dyDescent="0.2">
      <c r="A3568" t="s">
        <v>141</v>
      </c>
      <c r="B3568" t="s">
        <v>230</v>
      </c>
      <c r="C3568" t="s">
        <v>30</v>
      </c>
      <c r="D3568" t="s">
        <v>332</v>
      </c>
      <c r="E3568">
        <v>2</v>
      </c>
      <c r="F3568">
        <v>6</v>
      </c>
      <c r="G3568">
        <v>12</v>
      </c>
    </row>
    <row r="3569" spans="1:7" x14ac:dyDescent="0.2">
      <c r="A3569" t="s">
        <v>141</v>
      </c>
      <c r="B3569" t="s">
        <v>230</v>
      </c>
      <c r="C3569" t="s">
        <v>32</v>
      </c>
      <c r="D3569" t="s">
        <v>345</v>
      </c>
      <c r="E3569">
        <v>2</v>
      </c>
      <c r="F3569">
        <v>100</v>
      </c>
      <c r="G3569">
        <v>200</v>
      </c>
    </row>
    <row r="3570" spans="1:7" x14ac:dyDescent="0.2">
      <c r="A3570" t="s">
        <v>141</v>
      </c>
      <c r="B3570" t="s">
        <v>230</v>
      </c>
      <c r="C3570" t="s">
        <v>104</v>
      </c>
      <c r="D3570" t="s">
        <v>343</v>
      </c>
      <c r="E3570">
        <v>1.4999999999999999E-2</v>
      </c>
      <c r="F3570">
        <v>890</v>
      </c>
      <c r="G3570">
        <v>13.35</v>
      </c>
    </row>
    <row r="3571" spans="1:7" x14ac:dyDescent="0.2">
      <c r="A3571" t="s">
        <v>141</v>
      </c>
      <c r="B3571" t="s">
        <v>230</v>
      </c>
      <c r="C3571" t="s">
        <v>121</v>
      </c>
      <c r="D3571" t="s">
        <v>301</v>
      </c>
      <c r="E3571">
        <v>1</v>
      </c>
      <c r="F3571">
        <v>0.95</v>
      </c>
      <c r="G3571">
        <v>0.95</v>
      </c>
    </row>
    <row r="3572" spans="1:7" x14ac:dyDescent="0.2">
      <c r="A3572" t="s">
        <v>141</v>
      </c>
      <c r="B3572" t="s">
        <v>230</v>
      </c>
      <c r="C3572" t="s">
        <v>122</v>
      </c>
      <c r="D3572" t="s">
        <v>302</v>
      </c>
      <c r="E3572">
        <v>1</v>
      </c>
      <c r="F3572">
        <v>4.2</v>
      </c>
      <c r="G3572">
        <v>4.2</v>
      </c>
    </row>
    <row r="3573" spans="1:7" x14ac:dyDescent="0.2">
      <c r="A3573" t="s">
        <v>141</v>
      </c>
      <c r="B3573" t="s">
        <v>230</v>
      </c>
      <c r="C3573" t="s">
        <v>4</v>
      </c>
      <c r="D3573" t="s">
        <v>304</v>
      </c>
      <c r="E3573">
        <v>9.5</v>
      </c>
      <c r="F3573">
        <v>10.1</v>
      </c>
      <c r="G3573">
        <v>95.95</v>
      </c>
    </row>
    <row r="3574" spans="1:7" x14ac:dyDescent="0.2">
      <c r="A3574" t="s">
        <v>141</v>
      </c>
      <c r="B3574" t="s">
        <v>230</v>
      </c>
      <c r="C3574" t="s">
        <v>5</v>
      </c>
      <c r="D3574" t="s">
        <v>305</v>
      </c>
      <c r="E3574">
        <v>2.4</v>
      </c>
      <c r="F3574">
        <v>11.5</v>
      </c>
      <c r="G3574">
        <v>27.6</v>
      </c>
    </row>
    <row r="3575" spans="1:7" x14ac:dyDescent="0.2">
      <c r="A3575" t="s">
        <v>141</v>
      </c>
      <c r="B3575" t="s">
        <v>230</v>
      </c>
      <c r="C3575" t="s">
        <v>6</v>
      </c>
      <c r="D3575" t="s">
        <v>306</v>
      </c>
      <c r="E3575">
        <v>0.8</v>
      </c>
      <c r="F3575">
        <v>16.8</v>
      </c>
      <c r="G3575">
        <v>13.44</v>
      </c>
    </row>
    <row r="3576" spans="1:7" x14ac:dyDescent="0.2">
      <c r="A3576" t="s">
        <v>141</v>
      </c>
      <c r="B3576" t="s">
        <v>230</v>
      </c>
      <c r="C3576" t="s">
        <v>7</v>
      </c>
      <c r="D3576" t="s">
        <v>307</v>
      </c>
      <c r="E3576">
        <v>0.35</v>
      </c>
      <c r="F3576">
        <v>6.7</v>
      </c>
      <c r="G3576">
        <v>2.3450000000000002</v>
      </c>
    </row>
    <row r="3577" spans="1:7" x14ac:dyDescent="0.2">
      <c r="A3577" t="s">
        <v>141</v>
      </c>
      <c r="B3577" t="s">
        <v>230</v>
      </c>
      <c r="C3577" t="s">
        <v>12</v>
      </c>
      <c r="D3577" t="s">
        <v>308</v>
      </c>
      <c r="E3577">
        <v>0.45</v>
      </c>
      <c r="F3577">
        <v>7</v>
      </c>
      <c r="G3577">
        <v>3.15</v>
      </c>
    </row>
    <row r="3578" spans="1:7" x14ac:dyDescent="0.2">
      <c r="A3578" t="s">
        <v>141</v>
      </c>
      <c r="B3578" t="s">
        <v>230</v>
      </c>
      <c r="C3578" t="s">
        <v>105</v>
      </c>
      <c r="D3578" t="s">
        <v>313</v>
      </c>
      <c r="E3578">
        <v>30</v>
      </c>
      <c r="F3578">
        <v>0.1</v>
      </c>
      <c r="G3578">
        <v>3</v>
      </c>
    </row>
    <row r="3579" spans="1:7" x14ac:dyDescent="0.2">
      <c r="A3579" t="s">
        <v>141</v>
      </c>
      <c r="B3579" t="s">
        <v>230</v>
      </c>
      <c r="C3579" t="s">
        <v>111</v>
      </c>
      <c r="D3579" t="s">
        <v>320</v>
      </c>
      <c r="E3579">
        <v>290</v>
      </c>
      <c r="F3579">
        <v>0.1</v>
      </c>
      <c r="G3579">
        <v>29</v>
      </c>
    </row>
    <row r="3580" spans="1:7" x14ac:dyDescent="0.2">
      <c r="A3580" t="s">
        <v>143</v>
      </c>
      <c r="B3580" t="s">
        <v>204</v>
      </c>
      <c r="C3580" t="s">
        <v>94</v>
      </c>
      <c r="D3580" t="s">
        <v>280</v>
      </c>
      <c r="E3580">
        <v>1</v>
      </c>
      <c r="F3580">
        <v>3.5</v>
      </c>
      <c r="G3580">
        <v>3.5</v>
      </c>
    </row>
    <row r="3581" spans="1:7" x14ac:dyDescent="0.2">
      <c r="A3581" t="s">
        <v>143</v>
      </c>
      <c r="B3581" t="s">
        <v>204</v>
      </c>
      <c r="C3581" t="s">
        <v>95</v>
      </c>
      <c r="D3581" t="s">
        <v>281</v>
      </c>
      <c r="E3581">
        <v>2</v>
      </c>
      <c r="F3581">
        <v>2</v>
      </c>
      <c r="G3581">
        <v>4</v>
      </c>
    </row>
    <row r="3582" spans="1:7" x14ac:dyDescent="0.2">
      <c r="A3582" t="s">
        <v>143</v>
      </c>
      <c r="B3582" t="s">
        <v>204</v>
      </c>
      <c r="C3582" t="s">
        <v>45</v>
      </c>
      <c r="D3582" t="s">
        <v>374</v>
      </c>
      <c r="E3582">
        <v>0.25</v>
      </c>
      <c r="F3582">
        <v>65</v>
      </c>
      <c r="G3582">
        <v>16.25</v>
      </c>
    </row>
    <row r="3583" spans="1:7" x14ac:dyDescent="0.2">
      <c r="A3583" t="s">
        <v>143</v>
      </c>
      <c r="B3583" t="s">
        <v>204</v>
      </c>
      <c r="C3583" t="s">
        <v>50</v>
      </c>
      <c r="D3583" t="s">
        <v>357</v>
      </c>
      <c r="E3583">
        <v>0.2</v>
      </c>
      <c r="F3583">
        <v>151</v>
      </c>
      <c r="G3583">
        <v>30.2</v>
      </c>
    </row>
    <row r="3584" spans="1:7" x14ac:dyDescent="0.2">
      <c r="A3584" t="s">
        <v>143</v>
      </c>
      <c r="B3584" t="s">
        <v>204</v>
      </c>
      <c r="C3584" t="s">
        <v>52</v>
      </c>
      <c r="D3584" t="s">
        <v>321</v>
      </c>
      <c r="E3584">
        <v>1.35</v>
      </c>
      <c r="F3584">
        <v>120</v>
      </c>
      <c r="G3584">
        <v>162</v>
      </c>
    </row>
    <row r="3585" spans="1:7" x14ac:dyDescent="0.2">
      <c r="A3585" t="s">
        <v>143</v>
      </c>
      <c r="B3585" t="s">
        <v>204</v>
      </c>
      <c r="C3585" t="s">
        <v>60</v>
      </c>
      <c r="D3585" t="s">
        <v>337</v>
      </c>
      <c r="E3585">
        <v>0.02</v>
      </c>
      <c r="F3585">
        <v>130</v>
      </c>
      <c r="G3585">
        <v>2.6</v>
      </c>
    </row>
    <row r="3586" spans="1:7" x14ac:dyDescent="0.2">
      <c r="A3586" t="s">
        <v>143</v>
      </c>
      <c r="B3586" t="s">
        <v>204</v>
      </c>
      <c r="C3586" t="s">
        <v>69</v>
      </c>
      <c r="D3586" t="s">
        <v>288</v>
      </c>
      <c r="E3586">
        <v>0.25</v>
      </c>
      <c r="F3586">
        <v>190</v>
      </c>
      <c r="G3586">
        <v>47.5</v>
      </c>
    </row>
    <row r="3587" spans="1:7" x14ac:dyDescent="0.2">
      <c r="A3587" t="s">
        <v>143</v>
      </c>
      <c r="B3587" t="s">
        <v>204</v>
      </c>
      <c r="C3587" t="s">
        <v>79</v>
      </c>
      <c r="D3587" t="s">
        <v>289</v>
      </c>
      <c r="E3587">
        <v>0.25</v>
      </c>
      <c r="F3587">
        <v>380</v>
      </c>
      <c r="G3587">
        <v>95</v>
      </c>
    </row>
    <row r="3588" spans="1:7" x14ac:dyDescent="0.2">
      <c r="A3588" t="s">
        <v>143</v>
      </c>
      <c r="B3588" t="s">
        <v>204</v>
      </c>
      <c r="C3588" t="s">
        <v>81</v>
      </c>
      <c r="D3588" t="s">
        <v>322</v>
      </c>
      <c r="E3588">
        <v>0.75</v>
      </c>
      <c r="F3588">
        <v>380</v>
      </c>
      <c r="G3588">
        <v>285</v>
      </c>
    </row>
    <row r="3589" spans="1:7" x14ac:dyDescent="0.2">
      <c r="A3589" t="s">
        <v>143</v>
      </c>
      <c r="B3589" t="s">
        <v>204</v>
      </c>
      <c r="C3589" t="s">
        <v>93</v>
      </c>
      <c r="D3589" t="s">
        <v>327</v>
      </c>
      <c r="E3589">
        <v>0.19</v>
      </c>
      <c r="F3589">
        <v>70</v>
      </c>
      <c r="G3589">
        <v>13.3</v>
      </c>
    </row>
    <row r="3590" spans="1:7" x14ac:dyDescent="0.2">
      <c r="A3590" t="s">
        <v>143</v>
      </c>
      <c r="B3590" t="s">
        <v>204</v>
      </c>
      <c r="C3590" t="s">
        <v>47</v>
      </c>
      <c r="D3590" t="s">
        <v>328</v>
      </c>
      <c r="E3590">
        <v>0.1</v>
      </c>
      <c r="F3590">
        <v>235</v>
      </c>
      <c r="G3590">
        <v>23.5</v>
      </c>
    </row>
    <row r="3591" spans="1:7" x14ac:dyDescent="0.2">
      <c r="A3591" t="s">
        <v>143</v>
      </c>
      <c r="B3591" t="s">
        <v>204</v>
      </c>
      <c r="C3591" t="s">
        <v>48</v>
      </c>
      <c r="D3591" t="s">
        <v>359</v>
      </c>
      <c r="E3591">
        <v>7.4999999999999997E-2</v>
      </c>
      <c r="F3591">
        <v>412</v>
      </c>
      <c r="G3591">
        <v>30.9</v>
      </c>
    </row>
    <row r="3592" spans="1:7" x14ac:dyDescent="0.2">
      <c r="A3592" t="s">
        <v>143</v>
      </c>
      <c r="B3592" t="s">
        <v>204</v>
      </c>
      <c r="C3592" t="s">
        <v>49</v>
      </c>
      <c r="D3592" t="s">
        <v>290</v>
      </c>
      <c r="E3592">
        <v>6.0000000000000001E-3</v>
      </c>
      <c r="F3592">
        <v>248</v>
      </c>
      <c r="G3592">
        <v>1.488</v>
      </c>
    </row>
    <row r="3593" spans="1:7" x14ac:dyDescent="0.2">
      <c r="A3593" t="s">
        <v>143</v>
      </c>
      <c r="B3593" t="s">
        <v>204</v>
      </c>
      <c r="C3593" t="s">
        <v>19</v>
      </c>
      <c r="D3593" t="s">
        <v>329</v>
      </c>
      <c r="E3593">
        <v>1</v>
      </c>
      <c r="F3593">
        <v>2.9</v>
      </c>
      <c r="G3593">
        <v>2.9</v>
      </c>
    </row>
    <row r="3594" spans="1:7" x14ac:dyDescent="0.2">
      <c r="A3594" t="s">
        <v>143</v>
      </c>
      <c r="B3594" t="s">
        <v>204</v>
      </c>
      <c r="C3594" t="s">
        <v>20</v>
      </c>
      <c r="D3594" t="s">
        <v>330</v>
      </c>
      <c r="E3594">
        <v>1</v>
      </c>
      <c r="F3594">
        <v>2.9</v>
      </c>
      <c r="G3594">
        <v>2.9</v>
      </c>
    </row>
    <row r="3595" spans="1:7" x14ac:dyDescent="0.2">
      <c r="A3595" t="s">
        <v>143</v>
      </c>
      <c r="B3595" t="s">
        <v>204</v>
      </c>
      <c r="C3595" t="s">
        <v>24</v>
      </c>
      <c r="D3595" t="s">
        <v>360</v>
      </c>
      <c r="E3595">
        <v>2</v>
      </c>
      <c r="F3595">
        <v>2.2000000000000002</v>
      </c>
      <c r="G3595">
        <v>4.4000000000000004</v>
      </c>
    </row>
    <row r="3596" spans="1:7" x14ac:dyDescent="0.2">
      <c r="A3596" t="s">
        <v>143</v>
      </c>
      <c r="B3596" t="s">
        <v>204</v>
      </c>
      <c r="C3596" t="s">
        <v>26</v>
      </c>
      <c r="D3596" t="s">
        <v>361</v>
      </c>
      <c r="E3596">
        <v>16</v>
      </c>
      <c r="F3596">
        <v>1.5</v>
      </c>
      <c r="G3596">
        <v>24</v>
      </c>
    </row>
    <row r="3597" spans="1:7" x14ac:dyDescent="0.2">
      <c r="A3597" t="s">
        <v>143</v>
      </c>
      <c r="B3597" t="s">
        <v>204</v>
      </c>
      <c r="C3597" t="s">
        <v>29</v>
      </c>
      <c r="D3597" t="s">
        <v>292</v>
      </c>
      <c r="E3597">
        <v>0.8</v>
      </c>
      <c r="F3597">
        <v>27</v>
      </c>
      <c r="G3597">
        <v>21.6</v>
      </c>
    </row>
    <row r="3598" spans="1:7" x14ac:dyDescent="0.2">
      <c r="A3598" t="s">
        <v>143</v>
      </c>
      <c r="B3598" t="s">
        <v>204</v>
      </c>
      <c r="C3598" t="s">
        <v>30</v>
      </c>
      <c r="D3598" t="s">
        <v>332</v>
      </c>
      <c r="E3598">
        <v>2</v>
      </c>
      <c r="F3598">
        <v>6</v>
      </c>
      <c r="G3598">
        <v>12</v>
      </c>
    </row>
    <row r="3599" spans="1:7" x14ac:dyDescent="0.2">
      <c r="A3599" t="s">
        <v>143</v>
      </c>
      <c r="B3599" t="s">
        <v>204</v>
      </c>
      <c r="C3599" t="s">
        <v>32</v>
      </c>
      <c r="D3599" t="s">
        <v>345</v>
      </c>
      <c r="E3599">
        <v>2</v>
      </c>
      <c r="F3599">
        <v>100</v>
      </c>
      <c r="G3599">
        <v>200</v>
      </c>
    </row>
    <row r="3600" spans="1:7" x14ac:dyDescent="0.2">
      <c r="A3600" t="s">
        <v>143</v>
      </c>
      <c r="B3600" t="s">
        <v>204</v>
      </c>
      <c r="C3600" t="s">
        <v>104</v>
      </c>
      <c r="D3600" t="s">
        <v>343</v>
      </c>
      <c r="E3600">
        <v>1.4999999999999999E-2</v>
      </c>
      <c r="F3600">
        <v>890</v>
      </c>
      <c r="G3600">
        <v>13.35</v>
      </c>
    </row>
    <row r="3601" spans="1:7" x14ac:dyDescent="0.2">
      <c r="A3601" t="s">
        <v>143</v>
      </c>
      <c r="B3601" t="s">
        <v>204</v>
      </c>
      <c r="C3601" t="s">
        <v>121</v>
      </c>
      <c r="D3601" t="s">
        <v>301</v>
      </c>
      <c r="E3601">
        <v>1</v>
      </c>
      <c r="F3601">
        <v>0.95</v>
      </c>
      <c r="G3601">
        <v>0.95</v>
      </c>
    </row>
    <row r="3602" spans="1:7" x14ac:dyDescent="0.2">
      <c r="A3602" t="s">
        <v>143</v>
      </c>
      <c r="B3602" t="s">
        <v>204</v>
      </c>
      <c r="C3602" t="s">
        <v>122</v>
      </c>
      <c r="D3602" t="s">
        <v>302</v>
      </c>
      <c r="E3602">
        <v>1</v>
      </c>
      <c r="F3602">
        <v>4.2</v>
      </c>
      <c r="G3602">
        <v>4.2</v>
      </c>
    </row>
    <row r="3603" spans="1:7" x14ac:dyDescent="0.2">
      <c r="A3603" t="s">
        <v>143</v>
      </c>
      <c r="B3603" t="s">
        <v>204</v>
      </c>
      <c r="C3603" t="s">
        <v>4</v>
      </c>
      <c r="D3603" t="s">
        <v>304</v>
      </c>
      <c r="E3603">
        <v>9.5</v>
      </c>
      <c r="F3603">
        <v>10.1</v>
      </c>
      <c r="G3603">
        <v>95.95</v>
      </c>
    </row>
    <row r="3604" spans="1:7" x14ac:dyDescent="0.2">
      <c r="A3604" t="s">
        <v>143</v>
      </c>
      <c r="B3604" t="s">
        <v>204</v>
      </c>
      <c r="C3604" t="s">
        <v>5</v>
      </c>
      <c r="D3604" t="s">
        <v>305</v>
      </c>
      <c r="E3604">
        <v>2.4</v>
      </c>
      <c r="F3604">
        <v>11.5</v>
      </c>
      <c r="G3604">
        <v>27.6</v>
      </c>
    </row>
    <row r="3605" spans="1:7" x14ac:dyDescent="0.2">
      <c r="A3605" t="s">
        <v>143</v>
      </c>
      <c r="B3605" t="s">
        <v>204</v>
      </c>
      <c r="C3605" t="s">
        <v>6</v>
      </c>
      <c r="D3605" t="s">
        <v>306</v>
      </c>
      <c r="E3605">
        <v>0.8</v>
      </c>
      <c r="F3605">
        <v>16.8</v>
      </c>
      <c r="G3605">
        <v>13.44</v>
      </c>
    </row>
    <row r="3606" spans="1:7" x14ac:dyDescent="0.2">
      <c r="A3606" t="s">
        <v>143</v>
      </c>
      <c r="B3606" t="s">
        <v>204</v>
      </c>
      <c r="C3606" t="s">
        <v>7</v>
      </c>
      <c r="D3606" t="s">
        <v>307</v>
      </c>
      <c r="E3606">
        <v>0.35</v>
      </c>
      <c r="F3606">
        <v>6.7</v>
      </c>
      <c r="G3606">
        <v>2.3450000000000002</v>
      </c>
    </row>
    <row r="3607" spans="1:7" x14ac:dyDescent="0.2">
      <c r="A3607" t="s">
        <v>143</v>
      </c>
      <c r="B3607" t="s">
        <v>204</v>
      </c>
      <c r="C3607" t="s">
        <v>12</v>
      </c>
      <c r="D3607" t="s">
        <v>308</v>
      </c>
      <c r="E3607">
        <v>0.45</v>
      </c>
      <c r="F3607">
        <v>7</v>
      </c>
      <c r="G3607">
        <v>3.15</v>
      </c>
    </row>
    <row r="3608" spans="1:7" x14ac:dyDescent="0.2">
      <c r="A3608" t="s">
        <v>143</v>
      </c>
      <c r="B3608" t="s">
        <v>204</v>
      </c>
      <c r="C3608" t="s">
        <v>105</v>
      </c>
      <c r="D3608" t="s">
        <v>313</v>
      </c>
      <c r="E3608">
        <v>30</v>
      </c>
      <c r="F3608">
        <v>0.1</v>
      </c>
      <c r="G3608">
        <v>3</v>
      </c>
    </row>
    <row r="3609" spans="1:7" x14ac:dyDescent="0.2">
      <c r="A3609" t="s">
        <v>143</v>
      </c>
      <c r="B3609" t="s">
        <v>204</v>
      </c>
      <c r="C3609" t="s">
        <v>108</v>
      </c>
      <c r="D3609" t="s">
        <v>323</v>
      </c>
      <c r="E3609">
        <v>290</v>
      </c>
      <c r="F3609">
        <v>0.1</v>
      </c>
      <c r="G3609">
        <v>29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A045FA-128D-45AE-97EF-58B3E7ADF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Calc</vt:lpstr>
      <vt:lpstr>Calc_overview</vt:lpstr>
      <vt:lpstr>material_value</vt:lpstr>
      <vt:lpstr>product_value</vt:lpstr>
      <vt:lpstr>source_data!Criteria</vt:lpstr>
      <vt:lpstr>Calc!Extract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silvia arias garcía</dc:creator>
  <cp:lastModifiedBy>silvia arias garcía</cp:lastModifiedBy>
  <dcterms:created xsi:type="dcterms:W3CDTF">2024-06-06T10:59:38Z</dcterms:created>
  <dcterms:modified xsi:type="dcterms:W3CDTF">2024-06-16T18:45:00Z</dcterms:modified>
</cp:coreProperties>
</file>